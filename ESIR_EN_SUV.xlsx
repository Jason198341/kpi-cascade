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f_PartTest" sheetId="1" state="visible" r:id="rId1"/>
    <sheet xmlns:r="http://schemas.openxmlformats.org/officeDocument/2006/relationships" name="Ref_Schedule" sheetId="2" state="visible" r:id="rId2"/>
    <sheet xmlns:r="http://schemas.openxmlformats.org/officeDocument/2006/relationships" name="Tracker" sheetId="3" state="visible" r:id="rId3"/>
  </sheets>
  <definedNames>
    <definedName name="_xlnm._FilterDatabase" localSheetId="0" hidden="1">'Ref_PartTest'!$A$1:$L$25</definedName>
    <definedName name="_xlnm._FilterDatabase" localSheetId="2" hidden="1">'Tracker'!$A$4:$W$80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9"/>
    </font>
    <font>
      <name val="Malgun Gothic"/>
      <sz val="10"/>
    </font>
    <font>
      <name val="Malgun Gothic"/>
      <b val="1"/>
      <sz val="10"/>
    </font>
    <font>
      <name val="Malgun Gothic"/>
      <sz val="9"/>
    </font>
    <font>
      <name val="Malgun Gothic"/>
      <b val="1"/>
      <color rgb="00FFFFFF"/>
      <sz val="16"/>
    </font>
    <font>
      <name val="Malgun Gothic"/>
      <b val="1"/>
      <color rgb="001B2A4A"/>
      <sz val="8"/>
    </font>
    <font>
      <name val="Malgun Gothic"/>
      <b val="1"/>
      <color rgb="007D6608"/>
      <sz val="8"/>
    </font>
    <font>
      <name val="Malgun Gothic"/>
      <b val="1"/>
      <color rgb="00FFFFFF"/>
      <sz val="12"/>
    </font>
    <font>
      <name val="Malgun Gothic"/>
      <b val="1"/>
      <color rgb="001B2A4A"/>
      <sz val="2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B7950B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3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left" vertical="center" wrapText="1"/>
    </xf>
    <xf numFmtId="165" fontId="2" fillId="11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9" fontId="2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name val="Malgun Gothic"/>
        <b val="1"/>
        <color rgb="00FFFFFF"/>
        <sz val="10"/>
      </font>
      <fill>
        <patternFill>
          <bgColor rgb="00E74C3C"/>
        </patternFill>
      </fill>
    </dxf>
    <dxf>
      <font>
        <name val="Malgun Gothic"/>
        <b val="1"/>
        <color rgb="002C3E50"/>
        <sz val="10"/>
      </font>
      <fill>
        <patternFill>
          <bgColor rgb="00BDC3C7"/>
        </patternFill>
      </fill>
    </dxf>
    <dxf>
      <font>
        <name val="Malgun Gothic"/>
        <b val="1"/>
        <color rgb="002C3E50"/>
        <sz val="10"/>
      </font>
      <fill>
        <patternFill>
          <bgColor rgb="00D6E4F0"/>
        </patternFill>
      </fill>
    </dxf>
    <dxf>
      <font>
        <name val="Malgun Gothic"/>
        <b val="1"/>
        <color rgb="00C0392B"/>
        <sz val="10"/>
      </font>
      <fill>
        <patternFill>
          <bgColor rgb="00FADBD8"/>
        </patternFill>
      </fill>
    </dxf>
    <dxf>
      <font>
        <name val="Malgun Gothic"/>
        <b val="1"/>
        <color rgb="00B7950B"/>
        <sz val="10"/>
      </font>
      <fill>
        <patternFill>
          <bgColor rgb="00FEF9E7"/>
        </patternFill>
      </fill>
    </dxf>
    <dxf>
      <font>
        <name val="Malgun Gothic"/>
        <b val="1"/>
        <color rgb="00E67E22"/>
        <sz val="10"/>
      </font>
      <fill>
        <patternFill>
          <bgColor rgb="00FDEBD0"/>
        </patternFill>
      </fill>
    </dxf>
    <dxf>
      <font>
        <name val="Malgun Gothic"/>
        <b val="1"/>
        <color rgb="002471A3"/>
        <sz val="10"/>
      </font>
      <fill>
        <patternFill>
          <bgColor rgb="00AED6F1"/>
        </patternFill>
      </fill>
    </dxf>
    <dxf>
      <font>
        <name val="Malgun Gothic"/>
        <b val="1"/>
        <color rgb="0027AE60"/>
        <sz val="10"/>
      </font>
      <fill>
        <patternFill>
          <bgColor rgb="00ABEBC6"/>
        </patternFill>
      </fill>
    </dxf>
    <dxf>
      <font>
        <name val="Malgun Gothic"/>
        <b val="1"/>
        <color rgb="00FFFFFF"/>
        <sz val="10"/>
      </font>
      <fill>
        <patternFill>
          <bgColor rgb="0027AE60"/>
        </patternFill>
      </fill>
    </dxf>
    <dxf>
      <font>
        <name val="Malgun Gothic"/>
        <b val="1"/>
        <color rgb="00E74C3C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ADBD8"/>
        </patternFill>
      </fill>
    </dxf>
    <dxf>
      <font>
        <name val="Malgun Gothic"/>
        <b val="1"/>
        <sz val="10"/>
      </font>
      <fill>
        <patternFill>
          <bgColor rgb="00FDEBD0"/>
        </patternFill>
      </fill>
    </dxf>
    <dxf>
      <font>
        <name val="Malgun Gothic"/>
        <b val="1"/>
        <sz val="10"/>
      </font>
      <fill>
        <patternFill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98DB"/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6" customWidth="1" min="5" max="5"/>
    <col width="8" customWidth="1" min="6" max="6"/>
    <col width="18" customWidth="1" min="7" max="7"/>
    <col width="24" customWidth="1" min="8" max="8"/>
    <col width="16" customWidth="1" min="9" max="9"/>
    <col width="24" customWidth="1" min="10" max="10"/>
    <col width="24" customWidth="1" min="11" max="11"/>
    <col width="10" customWidth="1" min="12" max="12"/>
  </cols>
  <sheetData>
    <row r="1">
      <c r="A1" s="1" t="inlineStr">
        <is>
          <t>System</t>
        </is>
      </c>
      <c r="B1" s="1" t="inlineStr">
        <is>
          <t>Part Name</t>
        </is>
      </c>
      <c r="C1" s="1" t="inlineStr">
        <is>
          <t>ES Spec No.</t>
        </is>
      </c>
      <c r="D1" s="1" t="inlineStr">
        <is>
          <t>Spec Title</t>
        </is>
      </c>
      <c r="E1" s="1" t="inlineStr">
        <is>
          <t>Cat</t>
        </is>
      </c>
      <c r="F1" s="1" t="inlineStr">
        <is>
          <t>Duration
(days)</t>
        </is>
      </c>
      <c r="G1" s="1" t="inlineStr">
        <is>
          <t>담당 협력사</t>
        </is>
      </c>
      <c r="H1" s="1" t="inlineStr">
        <is>
          <t>협력사 담당자</t>
        </is>
      </c>
      <c r="I1" s="1" t="inlineStr">
        <is>
          <t>주변부품 협력사</t>
        </is>
      </c>
      <c r="J1" s="1" t="inlineStr">
        <is>
          <t>주변부품 담당자</t>
        </is>
      </c>
      <c r="K1" s="1" t="inlineStr">
        <is>
          <t>BIW 담당자</t>
        </is>
      </c>
      <c r="L1" s="1" t="inlineStr">
        <is>
          <t>예산처리</t>
        </is>
      </c>
    </row>
    <row r="2">
      <c r="A2" s="2" t="inlineStr">
        <is>
          <t>Console</t>
        </is>
      </c>
      <c r="B2" s="3" t="inlineStr">
        <is>
          <t>센터콘솔</t>
        </is>
      </c>
      <c r="C2" s="2" t="inlineStr">
        <is>
          <t>ES 95400-05</t>
        </is>
      </c>
      <c r="D2" s="3" t="inlineStr">
        <is>
          <t>EMC 시험</t>
        </is>
      </c>
      <c r="E2" s="4" t="inlineStr">
        <is>
          <t>B</t>
        </is>
      </c>
      <c r="F2" s="2" t="n">
        <v>14</v>
      </c>
      <c r="G2" s="2" t="inlineStr">
        <is>
          <t>HS R&amp;A</t>
        </is>
      </c>
      <c r="H2" s="3" t="inlineStr">
        <is>
          <t>박민수 010-1234-0001</t>
        </is>
      </c>
      <c r="I2" s="2" t="inlineStr">
        <is>
          <t>Seoyon</t>
        </is>
      </c>
      <c r="J2" s="3" t="inlineStr">
        <is>
          <t>김태호 010-2345-0001</t>
        </is>
      </c>
      <c r="K2" s="3" t="inlineStr">
        <is>
          <t>이정우 010-3456-0001</t>
        </is>
      </c>
      <c r="L2" s="2" t="inlineStr">
        <is>
          <t>✓</t>
        </is>
      </c>
    </row>
    <row r="3">
      <c r="A3" s="2" t="inlineStr">
        <is>
          <t>Console</t>
        </is>
      </c>
      <c r="B3" s="3" t="inlineStr">
        <is>
          <t>센터콘솔</t>
        </is>
      </c>
      <c r="C3" s="2" t="inlineStr">
        <is>
          <t>MS-300-57</t>
        </is>
      </c>
      <c r="D3" s="3" t="inlineStr">
        <is>
          <t>VOC 방출 시험</t>
        </is>
      </c>
      <c r="E3" s="5" t="inlineStr">
        <is>
          <t>C</t>
        </is>
      </c>
      <c r="F3" s="2" t="n">
        <v>14</v>
      </c>
      <c r="G3" s="2" t="inlineStr">
        <is>
          <t>HS R&amp;A</t>
        </is>
      </c>
      <c r="H3" s="3" t="inlineStr">
        <is>
          <t>박민수 010-1234-0001</t>
        </is>
      </c>
      <c r="I3" s="2" t="inlineStr"/>
      <c r="J3" s="3" t="inlineStr"/>
      <c r="K3" s="3" t="inlineStr"/>
      <c r="L3" s="2" t="inlineStr">
        <is>
          <t>✓</t>
        </is>
      </c>
    </row>
    <row r="4">
      <c r="A4" s="2" t="inlineStr">
        <is>
          <t>Console</t>
        </is>
      </c>
      <c r="B4" s="3" t="inlineStr">
        <is>
          <t>센터콘솔</t>
        </is>
      </c>
      <c r="C4" s="2" t="inlineStr">
        <is>
          <t>ES-90500</t>
        </is>
      </c>
      <c r="D4" s="3" t="inlineStr">
        <is>
          <t>BSR 시험</t>
        </is>
      </c>
      <c r="E4" s="6" t="inlineStr">
        <is>
          <t>A</t>
        </is>
      </c>
      <c r="F4" s="2" t="n">
        <v>14</v>
      </c>
      <c r="G4" s="2" t="inlineStr">
        <is>
          <t>HS R&amp;A</t>
        </is>
      </c>
      <c r="H4" s="3" t="inlineStr">
        <is>
          <t>박민수 010-1234-0001</t>
        </is>
      </c>
      <c r="I4" s="2" t="inlineStr">
        <is>
          <t>Hyundai Mobis</t>
        </is>
      </c>
      <c r="J4" s="3" t="inlineStr">
        <is>
          <t>장현석 010-2345-0002</t>
        </is>
      </c>
      <c r="K4" s="3" t="inlineStr">
        <is>
          <t>이정우 010-3456-0001</t>
        </is>
      </c>
      <c r="L4" s="2" t="inlineStr">
        <is>
          <t>✓</t>
        </is>
      </c>
    </row>
    <row r="5">
      <c r="A5" s="2" t="inlineStr">
        <is>
          <t>Console</t>
        </is>
      </c>
      <c r="B5" s="3" t="inlineStr">
        <is>
          <t>센터콘솔</t>
        </is>
      </c>
      <c r="C5" s="2" t="inlineStr">
        <is>
          <t>ES-90101</t>
        </is>
      </c>
      <c r="D5" s="3" t="inlineStr">
        <is>
          <t>치수 검사</t>
        </is>
      </c>
      <c r="E5" s="5" t="inlineStr">
        <is>
          <t>C</t>
        </is>
      </c>
      <c r="F5" s="2" t="n">
        <v>3</v>
      </c>
      <c r="G5" s="2" t="inlineStr">
        <is>
          <t>HS R&amp;A</t>
        </is>
      </c>
      <c r="H5" s="3" t="inlineStr">
        <is>
          <t>박민수 010-1234-0001</t>
        </is>
      </c>
      <c r="I5" s="2" t="inlineStr"/>
      <c r="J5" s="3" t="inlineStr"/>
      <c r="K5" s="3" t="inlineStr"/>
      <c r="L5" s="2" t="inlineStr">
        <is>
          <t>✓</t>
        </is>
      </c>
    </row>
    <row r="6">
      <c r="A6" s="2" t="inlineStr">
        <is>
          <t>Console</t>
        </is>
      </c>
      <c r="B6" s="3" t="inlineStr">
        <is>
          <t>콘솔리드</t>
        </is>
      </c>
      <c r="C6" s="2" t="inlineStr">
        <is>
          <t>FMVSS 302</t>
        </is>
      </c>
      <c r="D6" s="3" t="inlineStr">
        <is>
          <t>연소성 시험</t>
        </is>
      </c>
      <c r="E6" s="5" t="inlineStr">
        <is>
          <t>C</t>
        </is>
      </c>
      <c r="F6" s="2" t="n">
        <v>3</v>
      </c>
      <c r="G6" s="2" t="inlineStr">
        <is>
          <t>HS R&amp;A</t>
        </is>
      </c>
      <c r="H6" s="3" t="inlineStr">
        <is>
          <t>박민수 010-1234-0001</t>
        </is>
      </c>
      <c r="I6" s="2" t="inlineStr"/>
      <c r="J6" s="3" t="inlineStr"/>
      <c r="K6" s="3" t="inlineStr"/>
      <c r="L6" s="2" t="inlineStr">
        <is>
          <t>✓</t>
        </is>
      </c>
    </row>
    <row r="7">
      <c r="A7" s="2" t="inlineStr">
        <is>
          <t>Console</t>
        </is>
      </c>
      <c r="B7" s="3" t="inlineStr">
        <is>
          <t>콘솔리드</t>
        </is>
      </c>
      <c r="C7" s="2" t="inlineStr">
        <is>
          <t>ES-92030</t>
        </is>
      </c>
      <c r="D7" s="3" t="inlineStr">
        <is>
          <t>힌지 내구 시험</t>
        </is>
      </c>
      <c r="E7" s="5" t="inlineStr">
        <is>
          <t>C</t>
        </is>
      </c>
      <c r="F7" s="2" t="n">
        <v>10</v>
      </c>
      <c r="G7" s="2" t="inlineStr">
        <is>
          <t>HS R&amp;A</t>
        </is>
      </c>
      <c r="H7" s="3" t="inlineStr">
        <is>
          <t>박민수 010-1234-0001</t>
        </is>
      </c>
      <c r="I7" s="2" t="inlineStr"/>
      <c r="J7" s="3" t="inlineStr"/>
      <c r="K7" s="3" t="inlineStr"/>
      <c r="L7" s="2" t="inlineStr">
        <is>
          <t>미처리</t>
        </is>
      </c>
    </row>
    <row r="8">
      <c r="A8" s="2" t="inlineStr">
        <is>
          <t>Console</t>
        </is>
      </c>
      <c r="B8" s="3" t="inlineStr">
        <is>
          <t>콘솔리드</t>
        </is>
      </c>
      <c r="C8" s="2" t="inlineStr">
        <is>
          <t>ES-91300</t>
        </is>
      </c>
      <c r="D8" s="3" t="inlineStr">
        <is>
          <t>조작력 시험</t>
        </is>
      </c>
      <c r="E8" s="5" t="inlineStr">
        <is>
          <t>C</t>
        </is>
      </c>
      <c r="F8" s="2" t="n">
        <v>5</v>
      </c>
      <c r="G8" s="2" t="inlineStr">
        <is>
          <t>HS R&amp;A</t>
        </is>
      </c>
      <c r="H8" s="3" t="inlineStr">
        <is>
          <t>박민수 010-1234-0001</t>
        </is>
      </c>
      <c r="I8" s="2" t="inlineStr"/>
      <c r="J8" s="3" t="inlineStr"/>
      <c r="K8" s="3" t="inlineStr"/>
      <c r="L8" s="2" t="inlineStr">
        <is>
          <t>✓</t>
        </is>
      </c>
    </row>
    <row r="9">
      <c r="A9" s="2" t="inlineStr">
        <is>
          <t>Cockpit</t>
        </is>
      </c>
      <c r="B9" s="3" t="inlineStr">
        <is>
          <t>칵핏모듈</t>
        </is>
      </c>
      <c r="C9" s="2" t="inlineStr">
        <is>
          <t>ES 95400-05</t>
        </is>
      </c>
      <c r="D9" s="3" t="inlineStr">
        <is>
          <t>EMC 시험</t>
        </is>
      </c>
      <c r="E9" s="6" t="inlineStr">
        <is>
          <t>A</t>
        </is>
      </c>
      <c r="F9" s="2" t="n">
        <v>14</v>
      </c>
      <c r="G9" s="2" t="inlineStr">
        <is>
          <t>Hyundai Mobis</t>
        </is>
      </c>
      <c r="H9" s="3" t="inlineStr">
        <is>
          <t>장현석 010-2345-0002</t>
        </is>
      </c>
      <c r="I9" s="2" t="inlineStr">
        <is>
          <t>HS R&amp;A</t>
        </is>
      </c>
      <c r="J9" s="3" t="inlineStr">
        <is>
          <t>박민수 010-1234-0001</t>
        </is>
      </c>
      <c r="K9" s="3" t="inlineStr">
        <is>
          <t>이정우 010-3456-0001</t>
        </is>
      </c>
      <c r="L9" s="2" t="inlineStr">
        <is>
          <t>✓</t>
        </is>
      </c>
    </row>
    <row r="10">
      <c r="A10" s="2" t="inlineStr">
        <is>
          <t>Cockpit</t>
        </is>
      </c>
      <c r="B10" s="3" t="inlineStr">
        <is>
          <t>칵핏모듈</t>
        </is>
      </c>
      <c r="C10" s="2" t="inlineStr">
        <is>
          <t>ES-90500</t>
        </is>
      </c>
      <c r="D10" s="3" t="inlineStr">
        <is>
          <t>BSR 시험</t>
        </is>
      </c>
      <c r="E10" s="6" t="inlineStr">
        <is>
          <t>A</t>
        </is>
      </c>
      <c r="F10" s="2" t="n">
        <v>14</v>
      </c>
      <c r="G10" s="2" t="inlineStr">
        <is>
          <t>Hyundai Mobis</t>
        </is>
      </c>
      <c r="H10" s="3" t="inlineStr">
        <is>
          <t>장현석 010-2345-0002</t>
        </is>
      </c>
      <c r="I10" s="2" t="inlineStr">
        <is>
          <t>Faurecia</t>
        </is>
      </c>
      <c r="J10" s="3" t="inlineStr">
        <is>
          <t>David 010-2345-0003</t>
        </is>
      </c>
      <c r="K10" s="3" t="inlineStr">
        <is>
          <t>이정우 010-3456-0001</t>
        </is>
      </c>
      <c r="L10" s="2" t="inlineStr">
        <is>
          <t>✓</t>
        </is>
      </c>
    </row>
    <row r="11">
      <c r="A11" s="2" t="inlineStr">
        <is>
          <t>Trim</t>
        </is>
      </c>
      <c r="B11" s="3" t="inlineStr">
        <is>
          <t>도어트림(앞)</t>
        </is>
      </c>
      <c r="C11" s="2" t="inlineStr">
        <is>
          <t>MS-300-57</t>
        </is>
      </c>
      <c r="D11" s="3" t="inlineStr">
        <is>
          <t>VOC 방출 시험</t>
        </is>
      </c>
      <c r="E11" s="5" t="inlineStr">
        <is>
          <t>C</t>
        </is>
      </c>
      <c r="F11" s="2" t="n">
        <v>14</v>
      </c>
      <c r="G11" s="2" t="inlineStr">
        <is>
          <t>Faurecia</t>
        </is>
      </c>
      <c r="H11" s="3" t="inlineStr">
        <is>
          <t>David 010-2345-0003</t>
        </is>
      </c>
      <c r="I11" s="2" t="inlineStr"/>
      <c r="J11" s="3" t="inlineStr"/>
      <c r="K11" s="3" t="inlineStr"/>
      <c r="L11" s="2" t="inlineStr">
        <is>
          <t>✓</t>
        </is>
      </c>
    </row>
    <row r="12">
      <c r="A12" s="2" t="inlineStr">
        <is>
          <t>Trim</t>
        </is>
      </c>
      <c r="B12" s="3" t="inlineStr">
        <is>
          <t>도어트림(앞)</t>
        </is>
      </c>
      <c r="C12" s="2" t="inlineStr">
        <is>
          <t>ES-90101</t>
        </is>
      </c>
      <c r="D12" s="3" t="inlineStr">
        <is>
          <t>치수 검사</t>
        </is>
      </c>
      <c r="E12" s="4" t="inlineStr">
        <is>
          <t>B</t>
        </is>
      </c>
      <c r="F12" s="2" t="n">
        <v>3</v>
      </c>
      <c r="G12" s="2" t="inlineStr">
        <is>
          <t>Faurecia</t>
        </is>
      </c>
      <c r="H12" s="3" t="inlineStr">
        <is>
          <t>David 010-2345-0003</t>
        </is>
      </c>
      <c r="I12" s="2" t="inlineStr">
        <is>
          <t>Seoyon</t>
        </is>
      </c>
      <c r="J12" s="3" t="inlineStr">
        <is>
          <t>김태호 010-2345-0001</t>
        </is>
      </c>
      <c r="K12" s="3" t="inlineStr"/>
      <c r="L12" s="2" t="inlineStr">
        <is>
          <t>✓</t>
        </is>
      </c>
    </row>
    <row r="13">
      <c r="A13" s="2" t="inlineStr">
        <is>
          <t>Trim</t>
        </is>
      </c>
      <c r="B13" s="3" t="inlineStr">
        <is>
          <t>도어트림(앞)</t>
        </is>
      </c>
      <c r="C13" s="2" t="inlineStr">
        <is>
          <t>ES-91300</t>
        </is>
      </c>
      <c r="D13" s="3" t="inlineStr">
        <is>
          <t>조작력 시험</t>
        </is>
      </c>
      <c r="E13" s="4" t="inlineStr">
        <is>
          <t>B</t>
        </is>
      </c>
      <c r="F13" s="2" t="n">
        <v>5</v>
      </c>
      <c r="G13" s="2" t="inlineStr">
        <is>
          <t>Faurecia</t>
        </is>
      </c>
      <c r="H13" s="3" t="inlineStr">
        <is>
          <t>David 010-2345-0003</t>
        </is>
      </c>
      <c r="I13" s="2" t="inlineStr">
        <is>
          <t>Seoyon</t>
        </is>
      </c>
      <c r="J13" s="3" t="inlineStr">
        <is>
          <t>김태호 010-2345-0001</t>
        </is>
      </c>
      <c r="K13" s="3" t="inlineStr"/>
      <c r="L13" s="2" t="inlineStr">
        <is>
          <t>미처리</t>
        </is>
      </c>
    </row>
    <row r="14">
      <c r="A14" s="2" t="inlineStr">
        <is>
          <t>Trim</t>
        </is>
      </c>
      <c r="B14" s="3" t="inlineStr">
        <is>
          <t>도어트림(뒤)</t>
        </is>
      </c>
      <c r="C14" s="2" t="inlineStr">
        <is>
          <t>MS-300-57</t>
        </is>
      </c>
      <c r="D14" s="3" t="inlineStr">
        <is>
          <t>VOC 방출 시험</t>
        </is>
      </c>
      <c r="E14" s="5" t="inlineStr">
        <is>
          <t>C</t>
        </is>
      </c>
      <c r="F14" s="2" t="n">
        <v>14</v>
      </c>
      <c r="G14" s="2" t="inlineStr">
        <is>
          <t>Faurecia</t>
        </is>
      </c>
      <c r="H14" s="3" t="inlineStr">
        <is>
          <t>David 010-2345-0003</t>
        </is>
      </c>
      <c r="I14" s="2" t="inlineStr"/>
      <c r="J14" s="3" t="inlineStr"/>
      <c r="K14" s="3" t="inlineStr"/>
      <c r="L14" s="2" t="inlineStr">
        <is>
          <t>✓</t>
        </is>
      </c>
    </row>
    <row r="15">
      <c r="A15" s="2" t="inlineStr">
        <is>
          <t>Trim</t>
        </is>
      </c>
      <c r="B15" s="3" t="inlineStr">
        <is>
          <t>도어트림(뒤)</t>
        </is>
      </c>
      <c r="C15" s="2" t="inlineStr">
        <is>
          <t>ES-90101</t>
        </is>
      </c>
      <c r="D15" s="3" t="inlineStr">
        <is>
          <t>치수 검사</t>
        </is>
      </c>
      <c r="E15" s="4" t="inlineStr">
        <is>
          <t>B</t>
        </is>
      </c>
      <c r="F15" s="2" t="n">
        <v>3</v>
      </c>
      <c r="G15" s="2" t="inlineStr">
        <is>
          <t>Faurecia</t>
        </is>
      </c>
      <c r="H15" s="3" t="inlineStr">
        <is>
          <t>David 010-2345-0003</t>
        </is>
      </c>
      <c r="I15" s="2" t="inlineStr">
        <is>
          <t>Seoyon</t>
        </is>
      </c>
      <c r="J15" s="3" t="inlineStr">
        <is>
          <t>김태호 010-2345-0001</t>
        </is>
      </c>
      <c r="K15" s="3" t="inlineStr"/>
      <c r="L15" s="2" t="inlineStr">
        <is>
          <t>✓</t>
        </is>
      </c>
    </row>
    <row r="16">
      <c r="A16" s="2" t="inlineStr">
        <is>
          <t>Trim</t>
        </is>
      </c>
      <c r="B16" s="3" t="inlineStr">
        <is>
          <t>필러트림 A</t>
        </is>
      </c>
      <c r="C16" s="2" t="inlineStr">
        <is>
          <t>MS-300-34</t>
        </is>
      </c>
      <c r="D16" s="3" t="inlineStr">
        <is>
          <t>내후성 시험</t>
        </is>
      </c>
      <c r="E16" s="5" t="inlineStr">
        <is>
          <t>C</t>
        </is>
      </c>
      <c r="F16" s="2" t="n">
        <v>21</v>
      </c>
      <c r="G16" s="2" t="inlineStr">
        <is>
          <t>Seoyon</t>
        </is>
      </c>
      <c r="H16" s="3" t="inlineStr">
        <is>
          <t>김태호 010-2345-0001</t>
        </is>
      </c>
      <c r="I16" s="2" t="inlineStr"/>
      <c r="J16" s="3" t="inlineStr"/>
      <c r="K16" s="3" t="inlineStr"/>
      <c r="L16" s="2" t="inlineStr">
        <is>
          <t>✓</t>
        </is>
      </c>
    </row>
    <row r="17">
      <c r="A17" s="2" t="inlineStr">
        <is>
          <t>Trim</t>
        </is>
      </c>
      <c r="B17" s="3" t="inlineStr">
        <is>
          <t>필러트림 B</t>
        </is>
      </c>
      <c r="C17" s="2" t="inlineStr">
        <is>
          <t>MS-300-34</t>
        </is>
      </c>
      <c r="D17" s="3" t="inlineStr">
        <is>
          <t>내후성 시험</t>
        </is>
      </c>
      <c r="E17" s="5" t="inlineStr">
        <is>
          <t>C</t>
        </is>
      </c>
      <c r="F17" s="2" t="n">
        <v>21</v>
      </c>
      <c r="G17" s="2" t="inlineStr">
        <is>
          <t>Seoyon</t>
        </is>
      </c>
      <c r="H17" s="3" t="inlineStr">
        <is>
          <t>김태호 010-2345-0001</t>
        </is>
      </c>
      <c r="I17" s="2" t="inlineStr"/>
      <c r="J17" s="3" t="inlineStr"/>
      <c r="K17" s="3" t="inlineStr"/>
      <c r="L17" s="2" t="inlineStr">
        <is>
          <t>✓</t>
        </is>
      </c>
    </row>
    <row r="18">
      <c r="A18" s="2" t="inlineStr">
        <is>
          <t>Trim</t>
        </is>
      </c>
      <c r="B18" s="3" t="inlineStr">
        <is>
          <t>필러트림 C</t>
        </is>
      </c>
      <c r="C18" s="2" t="inlineStr">
        <is>
          <t>MS-300-34</t>
        </is>
      </c>
      <c r="D18" s="3" t="inlineStr">
        <is>
          <t>내후성 시험</t>
        </is>
      </c>
      <c r="E18" s="5" t="inlineStr">
        <is>
          <t>C</t>
        </is>
      </c>
      <c r="F18" s="2" t="n">
        <v>21</v>
      </c>
      <c r="G18" s="2" t="inlineStr">
        <is>
          <t>Seoyon</t>
        </is>
      </c>
      <c r="H18" s="3" t="inlineStr">
        <is>
          <t>김태호 010-2345-0001</t>
        </is>
      </c>
      <c r="I18" s="2" t="inlineStr"/>
      <c r="J18" s="3" t="inlineStr"/>
      <c r="K18" s="3" t="inlineStr"/>
      <c r="L18" s="2" t="inlineStr">
        <is>
          <t>✓</t>
        </is>
      </c>
    </row>
    <row r="19">
      <c r="A19" s="2" t="inlineStr">
        <is>
          <t>Trim</t>
        </is>
      </c>
      <c r="B19" s="3" t="inlineStr">
        <is>
          <t>패키지트레이</t>
        </is>
      </c>
      <c r="C19" s="2" t="inlineStr">
        <is>
          <t>ECE R17</t>
        </is>
      </c>
      <c r="D19" s="3" t="inlineStr">
        <is>
          <t>수하물 충격 시험</t>
        </is>
      </c>
      <c r="E19" s="6" t="inlineStr">
        <is>
          <t>A</t>
        </is>
      </c>
      <c r="F19" s="2" t="n">
        <v>7</v>
      </c>
      <c r="G19" s="2" t="inlineStr">
        <is>
          <t>HS R&amp;A</t>
        </is>
      </c>
      <c r="H19" s="3" t="inlineStr">
        <is>
          <t>박민수 010-1234-0001</t>
        </is>
      </c>
      <c r="I19" s="2" t="inlineStr">
        <is>
          <t>Faurecia</t>
        </is>
      </c>
      <c r="J19" s="3" t="inlineStr">
        <is>
          <t>David 010-2345-0003</t>
        </is>
      </c>
      <c r="K19" s="3" t="inlineStr">
        <is>
          <t>이정우 010-3456-0001</t>
        </is>
      </c>
      <c r="L19" s="2" t="inlineStr">
        <is>
          <t>✓</t>
        </is>
      </c>
    </row>
    <row r="20">
      <c r="A20" s="2" t="inlineStr">
        <is>
          <t>Trim</t>
        </is>
      </c>
      <c r="B20" s="3" t="inlineStr">
        <is>
          <t>헤드라이너</t>
        </is>
      </c>
      <c r="C20" s="2" t="inlineStr">
        <is>
          <t>ES 80062</t>
        </is>
      </c>
      <c r="D20" s="3" t="inlineStr">
        <is>
          <t>포깅 시험</t>
        </is>
      </c>
      <c r="E20" s="5" t="inlineStr">
        <is>
          <t>C</t>
        </is>
      </c>
      <c r="F20" s="2" t="n">
        <v>7</v>
      </c>
      <c r="G20" s="2" t="inlineStr">
        <is>
          <t>Seoyon E-Hwa</t>
        </is>
      </c>
      <c r="H20" s="3" t="inlineStr">
        <is>
          <t>유동관 010-2345-0004</t>
        </is>
      </c>
      <c r="I20" s="2" t="inlineStr"/>
      <c r="J20" s="3" t="inlineStr"/>
      <c r="K20" s="3" t="inlineStr"/>
      <c r="L20" s="2" t="inlineStr">
        <is>
          <t>✓</t>
        </is>
      </c>
    </row>
    <row r="21">
      <c r="A21" s="2" t="inlineStr">
        <is>
          <t>Seat</t>
        </is>
      </c>
      <c r="B21" s="3" t="inlineStr">
        <is>
          <t>시트(앞)</t>
        </is>
      </c>
      <c r="C21" s="2" t="inlineStr">
        <is>
          <t>ES-93100</t>
        </is>
      </c>
      <c r="D21" s="3" t="inlineStr">
        <is>
          <t>시트 내구 시험</t>
        </is>
      </c>
      <c r="E21" s="6" t="inlineStr">
        <is>
          <t>A</t>
        </is>
      </c>
      <c r="F21" s="2" t="n">
        <v>21</v>
      </c>
      <c r="G21" s="2" t="inlineStr">
        <is>
          <t>Hyundai Transys</t>
        </is>
      </c>
      <c r="H21" s="3" t="inlineStr">
        <is>
          <t>최진호 010-2345-0005</t>
        </is>
      </c>
      <c r="I21" s="2" t="inlineStr">
        <is>
          <t>HS R&amp;A</t>
        </is>
      </c>
      <c r="J21" s="3" t="inlineStr">
        <is>
          <t>박민수 010-1234-0001</t>
        </is>
      </c>
      <c r="K21" s="3" t="inlineStr">
        <is>
          <t>이정우 010-3456-0001</t>
        </is>
      </c>
      <c r="L21" s="2" t="inlineStr">
        <is>
          <t>✓</t>
        </is>
      </c>
    </row>
    <row r="22">
      <c r="A22" s="2" t="inlineStr">
        <is>
          <t>Seat</t>
        </is>
      </c>
      <c r="B22" s="3" t="inlineStr">
        <is>
          <t>시트(앞)</t>
        </is>
      </c>
      <c r="C22" s="2" t="inlineStr">
        <is>
          <t>ES-93000</t>
        </is>
      </c>
      <c r="D22" s="3" t="inlineStr">
        <is>
          <t>H-Point 검증</t>
        </is>
      </c>
      <c r="E22" s="6" t="inlineStr">
        <is>
          <t>A</t>
        </is>
      </c>
      <c r="F22" s="2" t="n">
        <v>14</v>
      </c>
      <c r="G22" s="2" t="inlineStr">
        <is>
          <t>Hyundai Transys</t>
        </is>
      </c>
      <c r="H22" s="3" t="inlineStr">
        <is>
          <t>최진호 010-2345-0005</t>
        </is>
      </c>
      <c r="I22" s="2" t="inlineStr">
        <is>
          <t>Hyundai Mobis</t>
        </is>
      </c>
      <c r="J22" s="3" t="inlineStr">
        <is>
          <t>장현석 010-2345-0002</t>
        </is>
      </c>
      <c r="K22" s="3" t="inlineStr">
        <is>
          <t>이정우 010-3456-0001</t>
        </is>
      </c>
      <c r="L22" s="2" t="inlineStr">
        <is>
          <t>미처리</t>
        </is>
      </c>
    </row>
    <row r="23">
      <c r="A23" s="2" t="inlineStr">
        <is>
          <t>Seat</t>
        </is>
      </c>
      <c r="B23" s="3" t="inlineStr">
        <is>
          <t>시트(앞)</t>
        </is>
      </c>
      <c r="C23" s="2" t="inlineStr">
        <is>
          <t>FMVSS 210</t>
        </is>
      </c>
      <c r="D23" s="3" t="inlineStr">
        <is>
          <t>안전벨트 앵커리지</t>
        </is>
      </c>
      <c r="E23" s="6" t="inlineStr">
        <is>
          <t>A</t>
        </is>
      </c>
      <c r="F23" s="2" t="n">
        <v>14</v>
      </c>
      <c r="G23" s="2" t="inlineStr">
        <is>
          <t>Hyundai Transys</t>
        </is>
      </c>
      <c r="H23" s="3" t="inlineStr">
        <is>
          <t>최진호 010-2345-0005</t>
        </is>
      </c>
      <c r="I23" s="2" t="inlineStr">
        <is>
          <t>Hyundai Mobis</t>
        </is>
      </c>
      <c r="J23" s="3" t="inlineStr">
        <is>
          <t>장현석 010-2345-0002</t>
        </is>
      </c>
      <c r="K23" s="3" t="inlineStr">
        <is>
          <t>이정우 010-3456-0001</t>
        </is>
      </c>
      <c r="L23" s="2" t="inlineStr">
        <is>
          <t>✓</t>
        </is>
      </c>
    </row>
    <row r="24">
      <c r="A24" s="2" t="inlineStr">
        <is>
          <t>Seat</t>
        </is>
      </c>
      <c r="B24" s="3" t="inlineStr">
        <is>
          <t>시트(뒤)</t>
        </is>
      </c>
      <c r="C24" s="2" t="inlineStr">
        <is>
          <t>ECE R14</t>
        </is>
      </c>
      <c r="D24" s="3" t="inlineStr">
        <is>
          <t>ISOFIX 강도 시험</t>
        </is>
      </c>
      <c r="E24" s="6" t="inlineStr">
        <is>
          <t>A</t>
        </is>
      </c>
      <c r="F24" s="2" t="n">
        <v>10</v>
      </c>
      <c r="G24" s="2" t="inlineStr">
        <is>
          <t>Hyundai Transys</t>
        </is>
      </c>
      <c r="H24" s="3" t="inlineStr">
        <is>
          <t>최진호 010-2345-0005</t>
        </is>
      </c>
      <c r="I24" s="2" t="inlineStr">
        <is>
          <t>Hyundai Mobis</t>
        </is>
      </c>
      <c r="J24" s="3" t="inlineStr">
        <is>
          <t>장현석 010-2345-0002</t>
        </is>
      </c>
      <c r="K24" s="3" t="inlineStr">
        <is>
          <t>이정우 010-3456-0001</t>
        </is>
      </c>
      <c r="L24" s="2" t="inlineStr">
        <is>
          <t>✓</t>
        </is>
      </c>
    </row>
    <row r="25">
      <c r="A25" s="2" t="inlineStr">
        <is>
          <t>Seat</t>
        </is>
      </c>
      <c r="B25" s="3" t="inlineStr">
        <is>
          <t>시트(뒤)</t>
        </is>
      </c>
      <c r="C25" s="2" t="inlineStr">
        <is>
          <t>MS-300-55</t>
        </is>
      </c>
      <c r="D25" s="3" t="inlineStr">
        <is>
          <t>냄새 시험</t>
        </is>
      </c>
      <c r="E25" s="5" t="inlineStr">
        <is>
          <t>C</t>
        </is>
      </c>
      <c r="F25" s="2" t="n">
        <v>5</v>
      </c>
      <c r="G25" s="2" t="inlineStr">
        <is>
          <t>Hyundai Transys</t>
        </is>
      </c>
      <c r="H25" s="3" t="inlineStr">
        <is>
          <t>최진호 010-2345-0005</t>
        </is>
      </c>
      <c r="I25" s="2" t="inlineStr"/>
      <c r="J25" s="3" t="inlineStr"/>
      <c r="K25" s="3" t="inlineStr"/>
      <c r="L25" s="2" t="inlineStr">
        <is>
          <t>✓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Note</t>
        </is>
      </c>
    </row>
    <row r="2">
      <c r="A2" s="7" t="inlineStr">
        <is>
          <t>Vehicle Code</t>
        </is>
      </c>
      <c r="B2" s="8" t="inlineStr">
        <is>
          <t>EN_SUV</t>
        </is>
      </c>
      <c r="C2" s="9" t="inlineStr"/>
    </row>
    <row r="3">
      <c r="A3" s="7" t="inlineStr">
        <is>
          <t>Vehicle Name</t>
        </is>
      </c>
      <c r="B3" s="8" t="inlineStr">
        <is>
          <t>EN SUV</t>
        </is>
      </c>
      <c r="C3" s="9" t="inlineStr"/>
    </row>
    <row r="4">
      <c r="A4" s="7" t="inlineStr">
        <is>
          <t>T0 도면배포</t>
        </is>
      </c>
      <c r="B4" s="10" t="n">
        <v>46054</v>
      </c>
      <c r="C4" s="9" t="inlineStr">
        <is>
          <t>기준일</t>
        </is>
      </c>
    </row>
    <row r="5">
      <c r="A5" s="7" t="inlineStr">
        <is>
          <t>계획서 기한</t>
        </is>
      </c>
      <c r="B5" s="10">
        <f>B4+14</f>
        <v/>
      </c>
      <c r="C5" s="9" t="inlineStr">
        <is>
          <t>T0 + 14일</t>
        </is>
      </c>
    </row>
    <row r="6">
      <c r="A6" s="7" t="inlineStr">
        <is>
          <t>부품준비 기한</t>
        </is>
      </c>
      <c r="B6" s="10">
        <f>B4+49</f>
        <v/>
      </c>
      <c r="C6" s="9" t="inlineStr">
        <is>
          <t>T0 + 49일</t>
        </is>
      </c>
    </row>
    <row r="7">
      <c r="A7" s="7" t="inlineStr">
        <is>
          <t>시험시작 기한</t>
        </is>
      </c>
      <c r="B7" s="10">
        <f>B4+63</f>
        <v/>
      </c>
      <c r="C7" s="9" t="inlineStr">
        <is>
          <t>T0 + 63일</t>
        </is>
      </c>
    </row>
    <row r="8">
      <c r="A8" s="7" t="inlineStr">
        <is>
          <t>성적서 기한</t>
        </is>
      </c>
      <c r="B8" s="10">
        <f>B4+98</f>
        <v/>
      </c>
      <c r="C8" s="9" t="inlineStr">
        <is>
          <t>T0 + 98일</t>
        </is>
      </c>
    </row>
    <row r="9">
      <c r="A9" s="7" t="inlineStr">
        <is>
          <t>Proto Build</t>
        </is>
      </c>
      <c r="B9" s="10" t="n">
        <v>46143</v>
      </c>
      <c r="C9" s="9" t="inlineStr"/>
    </row>
    <row r="10">
      <c r="A10" s="7" t="inlineStr">
        <is>
          <t>Master Car</t>
        </is>
      </c>
      <c r="B10" s="10" t="n">
        <v>46218</v>
      </c>
      <c r="C10" s="9" t="inlineStr"/>
    </row>
    <row r="11">
      <c r="A11" s="7" t="inlineStr">
        <is>
          <t>Test Deadline</t>
        </is>
      </c>
      <c r="B11" s="10">
        <f>B9-30</f>
        <v/>
      </c>
      <c r="C11" s="9" t="inlineStr">
        <is>
          <t>MC - 30일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W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6" customWidth="1" min="5" max="5"/>
    <col width="5" customWidth="1" min="6" max="6"/>
    <col width="14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7" customWidth="1" min="21" max="21"/>
    <col width="8" customWidth="1" min="22" max="22"/>
    <col width="22" customWidth="1" min="23" max="23"/>
  </cols>
  <sheetData>
    <row r="1">
      <c r="A1" s="11" t="inlineStr">
        <is>
          <t>ESIR Tracker — EN_SUV EN SUV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</row>
    <row r="3">
      <c r="A3" s="1" t="inlineStr">
        <is>
          <t>No</t>
        </is>
      </c>
      <c r="B3" s="1" t="inlineStr">
        <is>
          <t>System</t>
        </is>
      </c>
      <c r="C3" s="1" t="inlineStr">
        <is>
          <t>Part Name</t>
        </is>
      </c>
      <c r="D3" s="1" t="inlineStr">
        <is>
          <t>ES Spec</t>
        </is>
      </c>
      <c r="E3" s="1" t="inlineStr">
        <is>
          <t>Spec Title</t>
        </is>
      </c>
      <c r="F3" s="1" t="inlineStr">
        <is>
          <t>Cat</t>
        </is>
      </c>
      <c r="G3" s="1" t="inlineStr">
        <is>
          <t>Supplier</t>
        </is>
      </c>
      <c r="H3" s="1" t="inlineStr">
        <is>
          <t>Budget</t>
        </is>
      </c>
      <c r="I3" s="1" t="inlineStr">
        <is>
          <t>Plan
Due</t>
        </is>
      </c>
      <c r="J3" s="1" t="inlineStr">
        <is>
          <t>Parts
Due</t>
        </is>
      </c>
      <c r="K3" s="1" t="inlineStr">
        <is>
          <t>Test
Start Due</t>
        </is>
      </c>
      <c r="L3" s="1" t="inlineStr">
        <is>
          <t>Test
End Due</t>
        </is>
      </c>
      <c r="M3" s="1" t="inlineStr">
        <is>
          <t>Report
Due</t>
        </is>
      </c>
      <c r="N3" s="13" t="inlineStr">
        <is>
          <t>Plan
✓</t>
        </is>
      </c>
      <c r="O3" s="13" t="inlineStr">
        <is>
          <t>Review
Result</t>
        </is>
      </c>
      <c r="P3" s="13" t="inlineStr">
        <is>
          <t>Parts
✓</t>
        </is>
      </c>
      <c r="Q3" s="13" t="inlineStr">
        <is>
          <t>Test Start
✓</t>
        </is>
      </c>
      <c r="R3" s="13" t="inlineStr">
        <is>
          <t>Test End
✓</t>
        </is>
      </c>
      <c r="S3" s="13" t="inlineStr">
        <is>
          <t>Report
✓</t>
        </is>
      </c>
      <c r="T3" s="1" t="inlineStr">
        <is>
          <t>Status</t>
        </is>
      </c>
      <c r="U3" s="1" t="inlineStr">
        <is>
          <t>Progress</t>
        </is>
      </c>
      <c r="V3" s="1" t="inlineStr">
        <is>
          <t>D-Day</t>
        </is>
      </c>
      <c r="W3" s="1" t="inlineStr">
        <is>
          <t>Next Action</t>
        </is>
      </c>
    </row>
    <row r="4">
      <c r="A4" s="14" t="inlineStr">
        <is>
          <t>번호</t>
        </is>
      </c>
      <c r="B4" s="14" t="inlineStr">
        <is>
          <t>시스템</t>
        </is>
      </c>
      <c r="C4" s="14" t="inlineStr">
        <is>
          <t>파트명</t>
        </is>
      </c>
      <c r="D4" s="14" t="inlineStr">
        <is>
          <t>ES 스펙</t>
        </is>
      </c>
      <c r="E4" s="14" t="inlineStr">
        <is>
          <t>시험명</t>
        </is>
      </c>
      <c r="F4" s="14" t="inlineStr">
        <is>
          <t>등급</t>
        </is>
      </c>
      <c r="G4" s="14" t="inlineStr">
        <is>
          <t>협력사</t>
        </is>
      </c>
      <c r="H4" s="14" t="inlineStr">
        <is>
          <t>예산</t>
        </is>
      </c>
      <c r="I4" s="14" t="inlineStr">
        <is>
          <t>계획서
기한</t>
        </is>
      </c>
      <c r="J4" s="14" t="inlineStr">
        <is>
          <t>부품준비
기한</t>
        </is>
      </c>
      <c r="K4" s="14" t="inlineStr">
        <is>
          <t>시험시작
기한</t>
        </is>
      </c>
      <c r="L4" s="14" t="inlineStr">
        <is>
          <t>시험완료
기한</t>
        </is>
      </c>
      <c r="M4" s="14" t="inlineStr">
        <is>
          <t>성적서
기한</t>
        </is>
      </c>
      <c r="N4" s="15" t="inlineStr">
        <is>
          <t>계획서
✓</t>
        </is>
      </c>
      <c r="O4" s="15" t="inlineStr">
        <is>
          <t>검토
결과</t>
        </is>
      </c>
      <c r="P4" s="15" t="inlineStr">
        <is>
          <t>부품
✓</t>
        </is>
      </c>
      <c r="Q4" s="15" t="inlineStr">
        <is>
          <t>시험시작
✓</t>
        </is>
      </c>
      <c r="R4" s="15" t="inlineStr">
        <is>
          <t>시험완료
✓</t>
        </is>
      </c>
      <c r="S4" s="15" t="inlineStr">
        <is>
          <t>성적서
✓</t>
        </is>
      </c>
      <c r="T4" s="14" t="inlineStr">
        <is>
          <t>상태</t>
        </is>
      </c>
      <c r="U4" s="14" t="inlineStr">
        <is>
          <t>진행률</t>
        </is>
      </c>
      <c r="V4" s="14" t="inlineStr">
        <is>
          <t>잔여일</t>
        </is>
      </c>
      <c r="W4" s="14" t="inlineStr">
        <is>
          <t>다음조치</t>
        </is>
      </c>
    </row>
    <row r="5">
      <c r="A5" s="2" t="n">
        <v>1</v>
      </c>
      <c r="B5" s="16">
        <f>INDEX('Ref_PartTest'!A:A,2)</f>
        <v/>
      </c>
      <c r="C5" s="17">
        <f>INDEX('Ref_PartTest'!B:B,2)</f>
        <v/>
      </c>
      <c r="D5" s="16">
        <f>INDEX('Ref_PartTest'!C:C,2)</f>
        <v/>
      </c>
      <c r="E5" s="17">
        <f>INDEX('Ref_PartTest'!D:D,2)</f>
        <v/>
      </c>
      <c r="F5" s="16">
        <f>INDEX('Ref_PartTest'!E:E,2)</f>
        <v/>
      </c>
      <c r="G5" s="16">
        <f>INDEX('Ref_PartTest'!G:G,2)</f>
        <v/>
      </c>
      <c r="H5" s="16">
        <f>INDEX('Ref_PartTest'!L:L,2)</f>
        <v/>
      </c>
      <c r="I5" s="18">
        <f>'Ref_Schedule'!$B$5</f>
        <v/>
      </c>
      <c r="J5" s="18">
        <f>'Ref_Schedule'!$B$6</f>
        <v/>
      </c>
      <c r="K5" s="18">
        <f>'Ref_Schedule'!$B$7</f>
        <v/>
      </c>
      <c r="L5" s="18">
        <f>K5+INDEX('Ref_PartTest'!F:F,2)</f>
        <v/>
      </c>
      <c r="M5" s="18">
        <f>'Ref_Schedule'!$B$8</f>
        <v/>
      </c>
      <c r="N5" s="19" t="n"/>
      <c r="O5" s="19" t="n"/>
      <c r="P5" s="19" t="n"/>
      <c r="Q5" s="19" t="n"/>
      <c r="R5" s="19" t="n"/>
      <c r="S5" s="19" t="n"/>
      <c r="T5" s="8">
        <f>IF(AND(S5&lt;&gt;"",R5&lt;&gt;""),"11-결과등록완료",IF(AND(R5&lt;&gt;"",S5=""),"10-시험완료",IF(AND(Q5&lt;&gt;"",R5=""),"09-시험준비중",IF(AND(P5&lt;&gt;"",Q5=""),"08-단품준비완료",IF(O5="Approved","05-계획서승인",IF(O5="Revision Needed","04-검토중_보완",IF(O5="Under Review","03-검토중",IF(AND(N5&lt;&gt;"",O5=""),"02-제출_미검토","01-미제출"))))))))</f>
        <v/>
      </c>
      <c r="U5" s="20">
        <f>IF(T5="11-결과등록완료",1,IF(T5="12-조건부승인",0.9,IF(T5="10-시험완료",0.85,IF(T5="09-시험준비중",0.55,IF(T5="08-단품준비완료",0.4,IF(T5="07-미인수",0.3,IF(T5="05-계획서승인",0.2,IF(T5="06-BIW중단",0.15,IF(T5="03-검토중",0.1,IF(T5="02-제출_미검토",0.05,IF(T5="04-검토중_보완",0.05,0)))))))))))</f>
        <v/>
      </c>
      <c r="V5" s="2">
        <f>IF(S5&lt;&gt;"","—",IF(M5="","",M5-TODAY()))</f>
        <v/>
      </c>
      <c r="W5" s="21">
        <f>IF(T5="11-결과등록완료","— 완료",IF(T5="01-미제출",IF(I5&lt;TODAY(),"계획서 제출 독촉 (OVERDUE)","계획서 제출 대기"),IF(T5="02-제출_미검토","검토 착수 필요",IF(T5="03-검토중","승인 처리 대기",IF(T5="04-검토중_보완","보완 → 재제출 독촉",IF(T5="05-계획서승인","부품 준비 현황 확인",IF(T5="06-BIW중단","BIW팀 확인 → 일정 재수립",IF(T5="07-미인수","협력사 인수 독촉",IF(T5="08-단품준비완료","시험 일정 확인",IF(T5="09-시험준비중","시험 모니터링",IF(T5="10-시험완료","성적서 등록 독촉",IF(T5="12-조건부승인","조건부 승인 판단","—"))))))))))))</f>
        <v/>
      </c>
    </row>
    <row r="6">
      <c r="A6" s="2" t="n">
        <v>2</v>
      </c>
      <c r="B6" s="16">
        <f>INDEX('Ref_PartTest'!A:A,3)</f>
        <v/>
      </c>
      <c r="C6" s="17">
        <f>INDEX('Ref_PartTest'!B:B,3)</f>
        <v/>
      </c>
      <c r="D6" s="16">
        <f>INDEX('Ref_PartTest'!C:C,3)</f>
        <v/>
      </c>
      <c r="E6" s="17">
        <f>INDEX('Ref_PartTest'!D:D,3)</f>
        <v/>
      </c>
      <c r="F6" s="16">
        <f>INDEX('Ref_PartTest'!E:E,3)</f>
        <v/>
      </c>
      <c r="G6" s="16">
        <f>INDEX('Ref_PartTest'!G:G,3)</f>
        <v/>
      </c>
      <c r="H6" s="16">
        <f>INDEX('Ref_PartTest'!L:L,3)</f>
        <v/>
      </c>
      <c r="I6" s="18">
        <f>'Ref_Schedule'!$B$5</f>
        <v/>
      </c>
      <c r="J6" s="18">
        <f>'Ref_Schedule'!$B$6</f>
        <v/>
      </c>
      <c r="K6" s="18">
        <f>'Ref_Schedule'!$B$7</f>
        <v/>
      </c>
      <c r="L6" s="18">
        <f>K6+INDEX('Ref_PartTest'!F:F,3)</f>
        <v/>
      </c>
      <c r="M6" s="18">
        <f>'Ref_Schedule'!$B$8</f>
        <v/>
      </c>
      <c r="N6" s="19" t="inlineStr">
        <is>
          <t>✓</t>
        </is>
      </c>
      <c r="O6" s="19" t="n"/>
      <c r="P6" s="19" t="n"/>
      <c r="Q6" s="19" t="n"/>
      <c r="R6" s="19" t="n"/>
      <c r="S6" s="19" t="n"/>
      <c r="T6" s="8">
        <f>IF(AND(S6&lt;&gt;"",R6&lt;&gt;""),"11-결과등록완료",IF(AND(R6&lt;&gt;"",S6=""),"10-시험완료",IF(AND(Q6&lt;&gt;"",R6=""),"09-시험준비중",IF(AND(P6&lt;&gt;"",Q6=""),"08-단품준비완료",IF(O6="Approved","05-계획서승인",IF(O6="Revision Needed","04-검토중_보완",IF(O6="Under Review","03-검토중",IF(AND(N6&lt;&gt;"",O6=""),"02-제출_미검토","01-미제출"))))))))</f>
        <v/>
      </c>
      <c r="U6" s="20">
        <f>IF(T6="11-결과등록완료",1,IF(T6="12-조건부승인",0.9,IF(T6="10-시험완료",0.85,IF(T6="09-시험준비중",0.55,IF(T6="08-단품준비완료",0.4,IF(T6="07-미인수",0.3,IF(T6="05-계획서승인",0.2,IF(T6="06-BIW중단",0.15,IF(T6="03-검토중",0.1,IF(T6="02-제출_미검토",0.05,IF(T6="04-검토중_보완",0.05,0)))))))))))</f>
        <v/>
      </c>
      <c r="V6" s="2">
        <f>IF(S6&lt;&gt;"","—",IF(M6="","",M6-TODAY()))</f>
        <v/>
      </c>
      <c r="W6" s="21">
        <f>IF(T6="11-결과등록완료","— 완료",IF(T6="01-미제출",IF(I6&lt;TODAY(),"계획서 제출 독촉 (OVERDUE)","계획서 제출 대기"),IF(T6="02-제출_미검토","검토 착수 필요",IF(T6="03-검토중","승인 처리 대기",IF(T6="04-검토중_보완","보완 → 재제출 독촉",IF(T6="05-계획서승인","부품 준비 현황 확인",IF(T6="06-BIW중단","BIW팀 확인 → 일정 재수립",IF(T6="07-미인수","협력사 인수 독촉",IF(T6="08-단품준비완료","시험 일정 확인",IF(T6="09-시험준비중","시험 모니터링",IF(T6="10-시험완료","성적서 등록 독촉",IF(T6="12-조건부승인","조건부 승인 판단","—"))))))))))))</f>
        <v/>
      </c>
    </row>
    <row r="7">
      <c r="A7" s="2" t="n">
        <v>3</v>
      </c>
      <c r="B7" s="16">
        <f>INDEX('Ref_PartTest'!A:A,4)</f>
        <v/>
      </c>
      <c r="C7" s="17">
        <f>INDEX('Ref_PartTest'!B:B,4)</f>
        <v/>
      </c>
      <c r="D7" s="16">
        <f>INDEX('Ref_PartTest'!C:C,4)</f>
        <v/>
      </c>
      <c r="E7" s="17">
        <f>INDEX('Ref_PartTest'!D:D,4)</f>
        <v/>
      </c>
      <c r="F7" s="16">
        <f>INDEX('Ref_PartTest'!E:E,4)</f>
        <v/>
      </c>
      <c r="G7" s="16">
        <f>INDEX('Ref_PartTest'!G:G,4)</f>
        <v/>
      </c>
      <c r="H7" s="16">
        <f>INDEX('Ref_PartTest'!L:L,4)</f>
        <v/>
      </c>
      <c r="I7" s="18">
        <f>'Ref_Schedule'!$B$5</f>
        <v/>
      </c>
      <c r="J7" s="18">
        <f>'Ref_Schedule'!$B$6</f>
        <v/>
      </c>
      <c r="K7" s="18">
        <f>'Ref_Schedule'!$B$7</f>
        <v/>
      </c>
      <c r="L7" s="18">
        <f>K7+INDEX('Ref_PartTest'!F:F,4)</f>
        <v/>
      </c>
      <c r="M7" s="18">
        <f>'Ref_Schedule'!$B$8</f>
        <v/>
      </c>
      <c r="N7" s="19" t="inlineStr">
        <is>
          <t>✓</t>
        </is>
      </c>
      <c r="O7" s="19" t="inlineStr">
        <is>
          <t>Under Review</t>
        </is>
      </c>
      <c r="P7" s="19" t="n"/>
      <c r="Q7" s="19" t="n"/>
      <c r="R7" s="19" t="n"/>
      <c r="S7" s="19" t="n"/>
      <c r="T7" s="8">
        <f>IF(AND(S7&lt;&gt;"",R7&lt;&gt;""),"11-결과등록완료",IF(AND(R7&lt;&gt;"",S7=""),"10-시험완료",IF(AND(Q7&lt;&gt;"",R7=""),"09-시험준비중",IF(AND(P7&lt;&gt;"",Q7=""),"08-단품준비완료",IF(O7="Approved","05-계획서승인",IF(O7="Revision Needed","04-검토중_보완",IF(O7="Under Review","03-검토중",IF(AND(N7&lt;&gt;"",O7=""),"02-제출_미검토","01-미제출"))))))))</f>
        <v/>
      </c>
      <c r="U7" s="20">
        <f>IF(T7="11-결과등록완료",1,IF(T7="12-조건부승인",0.9,IF(T7="10-시험완료",0.85,IF(T7="09-시험준비중",0.55,IF(T7="08-단품준비완료",0.4,IF(T7="07-미인수",0.3,IF(T7="05-계획서승인",0.2,IF(T7="06-BIW중단",0.15,IF(T7="03-검토중",0.1,IF(T7="02-제출_미검토",0.05,IF(T7="04-검토중_보완",0.05,0)))))))))))</f>
        <v/>
      </c>
      <c r="V7" s="2">
        <f>IF(S7&lt;&gt;"","—",IF(M7="","",M7-TODAY()))</f>
        <v/>
      </c>
      <c r="W7" s="21">
        <f>IF(T7="11-결과등록완료","— 완료",IF(T7="01-미제출",IF(I7&lt;TODAY(),"계획서 제출 독촉 (OVERDUE)","계획서 제출 대기"),IF(T7="02-제출_미검토","검토 착수 필요",IF(T7="03-검토중","승인 처리 대기",IF(T7="04-검토중_보완","보완 → 재제출 독촉",IF(T7="05-계획서승인","부품 준비 현황 확인",IF(T7="06-BIW중단","BIW팀 확인 → 일정 재수립",IF(T7="07-미인수","협력사 인수 독촉",IF(T7="08-단품준비완료","시험 일정 확인",IF(T7="09-시험준비중","시험 모니터링",IF(T7="10-시험완료","성적서 등록 독촉",IF(T7="12-조건부승인","조건부 승인 판단","—"))))))))))))</f>
        <v/>
      </c>
    </row>
    <row r="8">
      <c r="A8" s="2" t="n">
        <v>4</v>
      </c>
      <c r="B8" s="16">
        <f>INDEX('Ref_PartTest'!A:A,5)</f>
        <v/>
      </c>
      <c r="C8" s="17">
        <f>INDEX('Ref_PartTest'!B:B,5)</f>
        <v/>
      </c>
      <c r="D8" s="16">
        <f>INDEX('Ref_PartTest'!C:C,5)</f>
        <v/>
      </c>
      <c r="E8" s="17">
        <f>INDEX('Ref_PartTest'!D:D,5)</f>
        <v/>
      </c>
      <c r="F8" s="16">
        <f>INDEX('Ref_PartTest'!E:E,5)</f>
        <v/>
      </c>
      <c r="G8" s="16">
        <f>INDEX('Ref_PartTest'!G:G,5)</f>
        <v/>
      </c>
      <c r="H8" s="16">
        <f>INDEX('Ref_PartTest'!L:L,5)</f>
        <v/>
      </c>
      <c r="I8" s="18">
        <f>'Ref_Schedule'!$B$5</f>
        <v/>
      </c>
      <c r="J8" s="18">
        <f>'Ref_Schedule'!$B$6</f>
        <v/>
      </c>
      <c r="K8" s="18">
        <f>'Ref_Schedule'!$B$7</f>
        <v/>
      </c>
      <c r="L8" s="18">
        <f>K8+INDEX('Ref_PartTest'!F:F,5)</f>
        <v/>
      </c>
      <c r="M8" s="18">
        <f>'Ref_Schedule'!$B$8</f>
        <v/>
      </c>
      <c r="N8" s="19" t="inlineStr">
        <is>
          <t>✓</t>
        </is>
      </c>
      <c r="O8" s="19" t="inlineStr">
        <is>
          <t>Revision Needed</t>
        </is>
      </c>
      <c r="P8" s="19" t="n"/>
      <c r="Q8" s="19" t="n"/>
      <c r="R8" s="19" t="n"/>
      <c r="S8" s="19" t="n"/>
      <c r="T8" s="8">
        <f>IF(AND(S8&lt;&gt;"",R8&lt;&gt;""),"11-결과등록완료",IF(AND(R8&lt;&gt;"",S8=""),"10-시험완료",IF(AND(Q8&lt;&gt;"",R8=""),"09-시험준비중",IF(AND(P8&lt;&gt;"",Q8=""),"08-단품준비완료",IF(O8="Approved","05-계획서승인",IF(O8="Revision Needed","04-검토중_보완",IF(O8="Under Review","03-검토중",IF(AND(N8&lt;&gt;"",O8=""),"02-제출_미검토","01-미제출"))))))))</f>
        <v/>
      </c>
      <c r="U8" s="20">
        <f>IF(T8="11-결과등록완료",1,IF(T8="12-조건부승인",0.9,IF(T8="10-시험완료",0.85,IF(T8="09-시험준비중",0.55,IF(T8="08-단품준비완료",0.4,IF(T8="07-미인수",0.3,IF(T8="05-계획서승인",0.2,IF(T8="06-BIW중단",0.15,IF(T8="03-검토중",0.1,IF(T8="02-제출_미검토",0.05,IF(T8="04-검토중_보완",0.05,0)))))))))))</f>
        <v/>
      </c>
      <c r="V8" s="2">
        <f>IF(S8&lt;&gt;"","—",IF(M8="","",M8-TODAY()))</f>
        <v/>
      </c>
      <c r="W8" s="21">
        <f>IF(T8="11-결과등록완료","— 완료",IF(T8="01-미제출",IF(I8&lt;TODAY(),"계획서 제출 독촉 (OVERDUE)","계획서 제출 대기"),IF(T8="02-제출_미검토","검토 착수 필요",IF(T8="03-검토중","승인 처리 대기",IF(T8="04-검토중_보완","보완 → 재제출 독촉",IF(T8="05-계획서승인","부품 준비 현황 확인",IF(T8="06-BIW중단","BIW팀 확인 → 일정 재수립",IF(T8="07-미인수","협력사 인수 독촉",IF(T8="08-단품준비완료","시험 일정 확인",IF(T8="09-시험준비중","시험 모니터링",IF(T8="10-시험완료","성적서 등록 독촉",IF(T8="12-조건부승인","조건부 승인 판단","—"))))))))))))</f>
        <v/>
      </c>
    </row>
    <row r="9">
      <c r="A9" s="2" t="n">
        <v>5</v>
      </c>
      <c r="B9" s="16">
        <f>INDEX('Ref_PartTest'!A:A,6)</f>
        <v/>
      </c>
      <c r="C9" s="17">
        <f>INDEX('Ref_PartTest'!B:B,6)</f>
        <v/>
      </c>
      <c r="D9" s="16">
        <f>INDEX('Ref_PartTest'!C:C,6)</f>
        <v/>
      </c>
      <c r="E9" s="17">
        <f>INDEX('Ref_PartTest'!D:D,6)</f>
        <v/>
      </c>
      <c r="F9" s="16">
        <f>INDEX('Ref_PartTest'!E:E,6)</f>
        <v/>
      </c>
      <c r="G9" s="16">
        <f>INDEX('Ref_PartTest'!G:G,6)</f>
        <v/>
      </c>
      <c r="H9" s="16">
        <f>INDEX('Ref_PartTest'!L:L,6)</f>
        <v/>
      </c>
      <c r="I9" s="18">
        <f>'Ref_Schedule'!$B$5</f>
        <v/>
      </c>
      <c r="J9" s="18">
        <f>'Ref_Schedule'!$B$6</f>
        <v/>
      </c>
      <c r="K9" s="18">
        <f>'Ref_Schedule'!$B$7</f>
        <v/>
      </c>
      <c r="L9" s="18">
        <f>K9+INDEX('Ref_PartTest'!F:F,6)</f>
        <v/>
      </c>
      <c r="M9" s="18">
        <f>'Ref_Schedule'!$B$8</f>
        <v/>
      </c>
      <c r="N9" s="19" t="inlineStr">
        <is>
          <t>✓</t>
        </is>
      </c>
      <c r="O9" s="19" t="inlineStr">
        <is>
          <t>Approved</t>
        </is>
      </c>
      <c r="P9" s="19" t="n"/>
      <c r="Q9" s="19" t="n"/>
      <c r="R9" s="19" t="n"/>
      <c r="S9" s="19" t="n"/>
      <c r="T9" s="8">
        <f>IF(AND(S9&lt;&gt;"",R9&lt;&gt;""),"11-결과등록완료",IF(AND(R9&lt;&gt;"",S9=""),"10-시험완료",IF(AND(Q9&lt;&gt;"",R9=""),"09-시험준비중",IF(AND(P9&lt;&gt;"",Q9=""),"08-단품준비완료",IF(O9="Approved","05-계획서승인",IF(O9="Revision Needed","04-검토중_보완",IF(O9="Under Review","03-검토중",IF(AND(N9&lt;&gt;"",O9=""),"02-제출_미검토","01-미제출"))))))))</f>
        <v/>
      </c>
      <c r="U9" s="20">
        <f>IF(T9="11-결과등록완료",1,IF(T9="12-조건부승인",0.9,IF(T9="10-시험완료",0.85,IF(T9="09-시험준비중",0.55,IF(T9="08-단품준비완료",0.4,IF(T9="07-미인수",0.3,IF(T9="05-계획서승인",0.2,IF(T9="06-BIW중단",0.15,IF(T9="03-검토중",0.1,IF(T9="02-제출_미검토",0.05,IF(T9="04-검토중_보완",0.05,0)))))))))))</f>
        <v/>
      </c>
      <c r="V9" s="2">
        <f>IF(S9&lt;&gt;"","—",IF(M9="","",M9-TODAY()))</f>
        <v/>
      </c>
      <c r="W9" s="21">
        <f>IF(T9="11-결과등록완료","— 완료",IF(T9="01-미제출",IF(I9&lt;TODAY(),"계획서 제출 독촉 (OVERDUE)","계획서 제출 대기"),IF(T9="02-제출_미검토","검토 착수 필요",IF(T9="03-검토중","승인 처리 대기",IF(T9="04-검토중_보완","보완 → 재제출 독촉",IF(T9="05-계획서승인","부품 준비 현황 확인",IF(T9="06-BIW중단","BIW팀 확인 → 일정 재수립",IF(T9="07-미인수","협력사 인수 독촉",IF(T9="08-단품준비완료","시험 일정 확인",IF(T9="09-시험준비중","시험 모니터링",IF(T9="10-시험완료","성적서 등록 독촉",IF(T9="12-조건부승인","조건부 승인 판단","—"))))))))))))</f>
        <v/>
      </c>
    </row>
    <row r="10">
      <c r="A10" s="2" t="n">
        <v>6</v>
      </c>
      <c r="B10" s="16">
        <f>INDEX('Ref_PartTest'!A:A,7)</f>
        <v/>
      </c>
      <c r="C10" s="17">
        <f>INDEX('Ref_PartTest'!B:B,7)</f>
        <v/>
      </c>
      <c r="D10" s="16">
        <f>INDEX('Ref_PartTest'!C:C,7)</f>
        <v/>
      </c>
      <c r="E10" s="17">
        <f>INDEX('Ref_PartTest'!D:D,7)</f>
        <v/>
      </c>
      <c r="F10" s="16">
        <f>INDEX('Ref_PartTest'!E:E,7)</f>
        <v/>
      </c>
      <c r="G10" s="16">
        <f>INDEX('Ref_PartTest'!G:G,7)</f>
        <v/>
      </c>
      <c r="H10" s="16">
        <f>INDEX('Ref_PartTest'!L:L,7)</f>
        <v/>
      </c>
      <c r="I10" s="18">
        <f>'Ref_Schedule'!$B$5</f>
        <v/>
      </c>
      <c r="J10" s="18">
        <f>'Ref_Schedule'!$B$6</f>
        <v/>
      </c>
      <c r="K10" s="18">
        <f>'Ref_Schedule'!$B$7</f>
        <v/>
      </c>
      <c r="L10" s="18">
        <f>K10+INDEX('Ref_PartTest'!F:F,7)</f>
        <v/>
      </c>
      <c r="M10" s="18">
        <f>'Ref_Schedule'!$B$8</f>
        <v/>
      </c>
      <c r="N10" s="19" t="inlineStr">
        <is>
          <t>✓</t>
        </is>
      </c>
      <c r="O10" s="19" t="inlineStr">
        <is>
          <t>Approved</t>
        </is>
      </c>
      <c r="P10" s="19" t="inlineStr">
        <is>
          <t>✓</t>
        </is>
      </c>
      <c r="Q10" s="19" t="n"/>
      <c r="R10" s="19" t="n"/>
      <c r="S10" s="19" t="n"/>
      <c r="T10" s="8">
        <f>IF(AND(S10&lt;&gt;"",R10&lt;&gt;""),"11-결과등록완료",IF(AND(R10&lt;&gt;"",S10=""),"10-시험완료",IF(AND(Q10&lt;&gt;"",R10=""),"09-시험준비중",IF(AND(P10&lt;&gt;"",Q10=""),"08-단품준비완료",IF(O10="Approved","05-계획서승인",IF(O10="Revision Needed","04-검토중_보완",IF(O10="Under Review","03-검토중",IF(AND(N10&lt;&gt;"",O10=""),"02-제출_미검토","01-미제출"))))))))</f>
        <v/>
      </c>
      <c r="U10" s="20">
        <f>IF(T10="11-결과등록완료",1,IF(T10="12-조건부승인",0.9,IF(T10="10-시험완료",0.85,IF(T10="09-시험준비중",0.55,IF(T10="08-단품준비완료",0.4,IF(T10="07-미인수",0.3,IF(T10="05-계획서승인",0.2,IF(T10="06-BIW중단",0.15,IF(T10="03-검토중",0.1,IF(T10="02-제출_미검토",0.05,IF(T10="04-검토중_보완",0.05,0)))))))))))</f>
        <v/>
      </c>
      <c r="V10" s="2">
        <f>IF(S10&lt;&gt;"","—",IF(M10="","",M10-TODAY()))</f>
        <v/>
      </c>
      <c r="W10" s="21">
        <f>IF(T10="11-결과등록완료","— 완료",IF(T10="01-미제출",IF(I10&lt;TODAY(),"계획서 제출 독촉 (OVERDUE)","계획서 제출 대기"),IF(T10="02-제출_미검토","검토 착수 필요",IF(T10="03-검토중","승인 처리 대기",IF(T10="04-검토중_보완","보완 → 재제출 독촉",IF(T10="05-계획서승인","부품 준비 현황 확인",IF(T10="06-BIW중단","BIW팀 확인 → 일정 재수립",IF(T10="07-미인수","협력사 인수 독촉",IF(T10="08-단품준비완료","시험 일정 확인",IF(T10="09-시험준비중","시험 모니터링",IF(T10="10-시험완료","성적서 등록 독촉",IF(T10="12-조건부승인","조건부 승인 판단","—"))))))))))))</f>
        <v/>
      </c>
    </row>
    <row r="11">
      <c r="A11" s="2" t="n">
        <v>7</v>
      </c>
      <c r="B11" s="16">
        <f>INDEX('Ref_PartTest'!A:A,8)</f>
        <v/>
      </c>
      <c r="C11" s="17">
        <f>INDEX('Ref_PartTest'!B:B,8)</f>
        <v/>
      </c>
      <c r="D11" s="16">
        <f>INDEX('Ref_PartTest'!C:C,8)</f>
        <v/>
      </c>
      <c r="E11" s="17">
        <f>INDEX('Ref_PartTest'!D:D,8)</f>
        <v/>
      </c>
      <c r="F11" s="16">
        <f>INDEX('Ref_PartTest'!E:E,8)</f>
        <v/>
      </c>
      <c r="G11" s="16">
        <f>INDEX('Ref_PartTest'!G:G,8)</f>
        <v/>
      </c>
      <c r="H11" s="16">
        <f>INDEX('Ref_PartTest'!L:L,8)</f>
        <v/>
      </c>
      <c r="I11" s="18">
        <f>'Ref_Schedule'!$B$5</f>
        <v/>
      </c>
      <c r="J11" s="18">
        <f>'Ref_Schedule'!$B$6</f>
        <v/>
      </c>
      <c r="K11" s="18">
        <f>'Ref_Schedule'!$B$7</f>
        <v/>
      </c>
      <c r="L11" s="18">
        <f>K11+INDEX('Ref_PartTest'!F:F,8)</f>
        <v/>
      </c>
      <c r="M11" s="18">
        <f>'Ref_Schedule'!$B$8</f>
        <v/>
      </c>
      <c r="N11" s="19" t="inlineStr">
        <is>
          <t>✓</t>
        </is>
      </c>
      <c r="O11" s="19" t="inlineStr">
        <is>
          <t>Approved</t>
        </is>
      </c>
      <c r="P11" s="19" t="inlineStr">
        <is>
          <t>✓</t>
        </is>
      </c>
      <c r="Q11" s="19" t="inlineStr">
        <is>
          <t>✓</t>
        </is>
      </c>
      <c r="R11" s="19" t="n"/>
      <c r="S11" s="19" t="n"/>
      <c r="T11" s="8">
        <f>IF(AND(S11&lt;&gt;"",R11&lt;&gt;""),"11-결과등록완료",IF(AND(R11&lt;&gt;"",S11=""),"10-시험완료",IF(AND(Q11&lt;&gt;"",R11=""),"09-시험준비중",IF(AND(P11&lt;&gt;"",Q11=""),"08-단품준비완료",IF(O11="Approved","05-계획서승인",IF(O11="Revision Needed","04-검토중_보완",IF(O11="Under Review","03-검토중",IF(AND(N11&lt;&gt;"",O11=""),"02-제출_미검토","01-미제출"))))))))</f>
        <v/>
      </c>
      <c r="U11" s="20">
        <f>IF(T11="11-결과등록완료",1,IF(T11="12-조건부승인",0.9,IF(T11="10-시험완료",0.85,IF(T11="09-시험준비중",0.55,IF(T11="08-단품준비완료",0.4,IF(T11="07-미인수",0.3,IF(T11="05-계획서승인",0.2,IF(T11="06-BIW중단",0.15,IF(T11="03-검토중",0.1,IF(T11="02-제출_미검토",0.05,IF(T11="04-검토중_보완",0.05,0)))))))))))</f>
        <v/>
      </c>
      <c r="V11" s="2">
        <f>IF(S11&lt;&gt;"","—",IF(M11="","",M11-TODAY()))</f>
        <v/>
      </c>
      <c r="W11" s="21">
        <f>IF(T11="11-결과등록완료","— 완료",IF(T11="01-미제출",IF(I11&lt;TODAY(),"계획서 제출 독촉 (OVERDUE)","계획서 제출 대기"),IF(T11="02-제출_미검토","검토 착수 필요",IF(T11="03-검토중","승인 처리 대기",IF(T11="04-검토중_보완","보완 → 재제출 독촉",IF(T11="05-계획서승인","부품 준비 현황 확인",IF(T11="06-BIW중단","BIW팀 확인 → 일정 재수립",IF(T11="07-미인수","협력사 인수 독촉",IF(T11="08-단품준비완료","시험 일정 확인",IF(T11="09-시험준비중","시험 모니터링",IF(T11="10-시험완료","성적서 등록 독촉",IF(T11="12-조건부승인","조건부 승인 판단","—"))))))))))))</f>
        <v/>
      </c>
    </row>
    <row r="12">
      <c r="A12" s="2" t="n">
        <v>8</v>
      </c>
      <c r="B12" s="16">
        <f>INDEX('Ref_PartTest'!A:A,9)</f>
        <v/>
      </c>
      <c r="C12" s="17">
        <f>INDEX('Ref_PartTest'!B:B,9)</f>
        <v/>
      </c>
      <c r="D12" s="16">
        <f>INDEX('Ref_PartTest'!C:C,9)</f>
        <v/>
      </c>
      <c r="E12" s="17">
        <f>INDEX('Ref_PartTest'!D:D,9)</f>
        <v/>
      </c>
      <c r="F12" s="16">
        <f>INDEX('Ref_PartTest'!E:E,9)</f>
        <v/>
      </c>
      <c r="G12" s="16">
        <f>INDEX('Ref_PartTest'!G:G,9)</f>
        <v/>
      </c>
      <c r="H12" s="16">
        <f>INDEX('Ref_PartTest'!L:L,9)</f>
        <v/>
      </c>
      <c r="I12" s="18">
        <f>'Ref_Schedule'!$B$5</f>
        <v/>
      </c>
      <c r="J12" s="18">
        <f>'Ref_Schedule'!$B$6</f>
        <v/>
      </c>
      <c r="K12" s="18">
        <f>'Ref_Schedule'!$B$7</f>
        <v/>
      </c>
      <c r="L12" s="18">
        <f>K12+INDEX('Ref_PartTest'!F:F,9)</f>
        <v/>
      </c>
      <c r="M12" s="18">
        <f>'Ref_Schedule'!$B$8</f>
        <v/>
      </c>
      <c r="N12" s="19" t="inlineStr">
        <is>
          <t>✓</t>
        </is>
      </c>
      <c r="O12" s="19" t="inlineStr">
        <is>
          <t>Approved</t>
        </is>
      </c>
      <c r="P12" s="19" t="inlineStr">
        <is>
          <t>✓</t>
        </is>
      </c>
      <c r="Q12" s="19" t="inlineStr">
        <is>
          <t>✓</t>
        </is>
      </c>
      <c r="R12" s="19" t="inlineStr">
        <is>
          <t>✓</t>
        </is>
      </c>
      <c r="S12" s="19" t="n"/>
      <c r="T12" s="8">
        <f>IF(AND(S12&lt;&gt;"",R12&lt;&gt;""),"11-결과등록완료",IF(AND(R12&lt;&gt;"",S12=""),"10-시험완료",IF(AND(Q12&lt;&gt;"",R12=""),"09-시험준비중",IF(AND(P12&lt;&gt;"",Q12=""),"08-단품준비완료",IF(O12="Approved","05-계획서승인",IF(O12="Revision Needed","04-검토중_보완",IF(O12="Under Review","03-검토중",IF(AND(N12&lt;&gt;"",O12=""),"02-제출_미검토","01-미제출"))))))))</f>
        <v/>
      </c>
      <c r="U12" s="20">
        <f>IF(T12="11-결과등록완료",1,IF(T12="12-조건부승인",0.9,IF(T12="10-시험완료",0.85,IF(T12="09-시험준비중",0.55,IF(T12="08-단품준비완료",0.4,IF(T12="07-미인수",0.3,IF(T12="05-계획서승인",0.2,IF(T12="06-BIW중단",0.15,IF(T12="03-검토중",0.1,IF(T12="02-제출_미검토",0.05,IF(T12="04-검토중_보완",0.05,0)))))))))))</f>
        <v/>
      </c>
      <c r="V12" s="2">
        <f>IF(S12&lt;&gt;"","—",IF(M12="","",M12-TODAY()))</f>
        <v/>
      </c>
      <c r="W12" s="21">
        <f>IF(T12="11-결과등록완료","— 완료",IF(T12="01-미제출",IF(I12&lt;TODAY(),"계획서 제출 독촉 (OVERDUE)","계획서 제출 대기"),IF(T12="02-제출_미검토","검토 착수 필요",IF(T12="03-검토중","승인 처리 대기",IF(T12="04-검토중_보완","보완 → 재제출 독촉",IF(T12="05-계획서승인","부품 준비 현황 확인",IF(T12="06-BIW중단","BIW팀 확인 → 일정 재수립",IF(T12="07-미인수","협력사 인수 독촉",IF(T12="08-단품준비완료","시험 일정 확인",IF(T12="09-시험준비중","시험 모니터링",IF(T12="10-시험완료","성적서 등록 독촉",IF(T12="12-조건부승인","조건부 승인 판단","—"))))))))))))</f>
        <v/>
      </c>
    </row>
    <row r="13">
      <c r="A13" s="2" t="n">
        <v>9</v>
      </c>
      <c r="B13" s="16">
        <f>INDEX('Ref_PartTest'!A:A,10)</f>
        <v/>
      </c>
      <c r="C13" s="17">
        <f>INDEX('Ref_PartTest'!B:B,10)</f>
        <v/>
      </c>
      <c r="D13" s="16">
        <f>INDEX('Ref_PartTest'!C:C,10)</f>
        <v/>
      </c>
      <c r="E13" s="17">
        <f>INDEX('Ref_PartTest'!D:D,10)</f>
        <v/>
      </c>
      <c r="F13" s="16">
        <f>INDEX('Ref_PartTest'!E:E,10)</f>
        <v/>
      </c>
      <c r="G13" s="16">
        <f>INDEX('Ref_PartTest'!G:G,10)</f>
        <v/>
      </c>
      <c r="H13" s="16">
        <f>INDEX('Ref_PartTest'!L:L,10)</f>
        <v/>
      </c>
      <c r="I13" s="18">
        <f>'Ref_Schedule'!$B$5</f>
        <v/>
      </c>
      <c r="J13" s="18">
        <f>'Ref_Schedule'!$B$6</f>
        <v/>
      </c>
      <c r="K13" s="18">
        <f>'Ref_Schedule'!$B$7</f>
        <v/>
      </c>
      <c r="L13" s="18">
        <f>K13+INDEX('Ref_PartTest'!F:F,10)</f>
        <v/>
      </c>
      <c r="M13" s="18">
        <f>'Ref_Schedule'!$B$8</f>
        <v/>
      </c>
      <c r="N13" s="19" t="inlineStr">
        <is>
          <t>✓</t>
        </is>
      </c>
      <c r="O13" s="19" t="inlineStr">
        <is>
          <t>Approved</t>
        </is>
      </c>
      <c r="P13" s="19" t="inlineStr">
        <is>
          <t>✓</t>
        </is>
      </c>
      <c r="Q13" s="19" t="inlineStr">
        <is>
          <t>✓</t>
        </is>
      </c>
      <c r="R13" s="19" t="inlineStr">
        <is>
          <t>✓</t>
        </is>
      </c>
      <c r="S13" s="19" t="inlineStr">
        <is>
          <t>✓</t>
        </is>
      </c>
      <c r="T13" s="8">
        <f>IF(AND(S13&lt;&gt;"",R13&lt;&gt;""),"11-결과등록완료",IF(AND(R13&lt;&gt;"",S13=""),"10-시험완료",IF(AND(Q13&lt;&gt;"",R13=""),"09-시험준비중",IF(AND(P13&lt;&gt;"",Q13=""),"08-단품준비완료",IF(O13="Approved","05-계획서승인",IF(O13="Revision Needed","04-검토중_보완",IF(O13="Under Review","03-검토중",IF(AND(N13&lt;&gt;"",O13=""),"02-제출_미검토","01-미제출"))))))))</f>
        <v/>
      </c>
      <c r="U13" s="20">
        <f>IF(T13="11-결과등록완료",1,IF(T13="12-조건부승인",0.9,IF(T13="10-시험완료",0.85,IF(T13="09-시험준비중",0.55,IF(T13="08-단품준비완료",0.4,IF(T13="07-미인수",0.3,IF(T13="05-계획서승인",0.2,IF(T13="06-BIW중단",0.15,IF(T13="03-검토중",0.1,IF(T13="02-제출_미검토",0.05,IF(T13="04-검토중_보완",0.05,0)))))))))))</f>
        <v/>
      </c>
      <c r="V13" s="2">
        <f>IF(S13&lt;&gt;"","—",IF(M13="","",M13-TODAY()))</f>
        <v/>
      </c>
      <c r="W13" s="21">
        <f>IF(T13="11-결과등록완료","— 완료",IF(T13="01-미제출",IF(I13&lt;TODAY(),"계획서 제출 독촉 (OVERDUE)","계획서 제출 대기"),IF(T13="02-제출_미검토","검토 착수 필요",IF(T13="03-검토중","승인 처리 대기",IF(T13="04-검토중_보완","보완 → 재제출 독촉",IF(T13="05-계획서승인","부품 준비 현황 확인",IF(T13="06-BIW중단","BIW팀 확인 → 일정 재수립",IF(T13="07-미인수","협력사 인수 독촉",IF(T13="08-단품준비완료","시험 일정 확인",IF(T13="09-시험준비중","시험 모니터링",IF(T13="10-시험완료","성적서 등록 독촉",IF(T13="12-조건부승인","조건부 승인 판단","—"))))))))))))</f>
        <v/>
      </c>
    </row>
    <row r="14">
      <c r="A14" s="2" t="n">
        <v>10</v>
      </c>
      <c r="B14" s="16">
        <f>INDEX('Ref_PartTest'!A:A,11)</f>
        <v/>
      </c>
      <c r="C14" s="17">
        <f>INDEX('Ref_PartTest'!B:B,11)</f>
        <v/>
      </c>
      <c r="D14" s="16">
        <f>INDEX('Ref_PartTest'!C:C,11)</f>
        <v/>
      </c>
      <c r="E14" s="17">
        <f>INDEX('Ref_PartTest'!D:D,11)</f>
        <v/>
      </c>
      <c r="F14" s="16">
        <f>INDEX('Ref_PartTest'!E:E,11)</f>
        <v/>
      </c>
      <c r="G14" s="16">
        <f>INDEX('Ref_PartTest'!G:G,11)</f>
        <v/>
      </c>
      <c r="H14" s="16">
        <f>INDEX('Ref_PartTest'!L:L,11)</f>
        <v/>
      </c>
      <c r="I14" s="18">
        <f>'Ref_Schedule'!$B$5</f>
        <v/>
      </c>
      <c r="J14" s="18">
        <f>'Ref_Schedule'!$B$6</f>
        <v/>
      </c>
      <c r="K14" s="18">
        <f>'Ref_Schedule'!$B$7</f>
        <v/>
      </c>
      <c r="L14" s="18">
        <f>K14+INDEX('Ref_PartTest'!F:F,11)</f>
        <v/>
      </c>
      <c r="M14" s="18">
        <f>'Ref_Schedule'!$B$8</f>
        <v/>
      </c>
      <c r="N14" s="19" t="inlineStr">
        <is>
          <t>✓</t>
        </is>
      </c>
      <c r="O14" s="19" t="inlineStr">
        <is>
          <t>Approved</t>
        </is>
      </c>
      <c r="P14" s="19" t="inlineStr">
        <is>
          <t>✓</t>
        </is>
      </c>
      <c r="Q14" s="19" t="n"/>
      <c r="R14" s="19" t="n"/>
      <c r="S14" s="19" t="n"/>
      <c r="T14" s="8" t="inlineStr">
        <is>
          <t>06-BIW중단</t>
        </is>
      </c>
      <c r="U14" s="20">
        <f>IF(T14="11-결과등록완료",1,IF(T14="12-조건부승인",0.9,IF(T14="10-시험완료",0.85,IF(T14="09-시험준비중",0.55,IF(T14="08-단품준비완료",0.4,IF(T14="07-미인수",0.3,IF(T14="05-계획서승인",0.2,IF(T14="06-BIW중단",0.15,IF(T14="03-검토중",0.1,IF(T14="02-제출_미검토",0.05,IF(T14="04-검토중_보완",0.05,0)))))))))))</f>
        <v/>
      </c>
      <c r="V14" s="2">
        <f>IF(S14&lt;&gt;"","—",IF(M14="","",M14-TODAY()))</f>
        <v/>
      </c>
      <c r="W14" s="21">
        <f>IF(T14="11-결과등록완료","— 완료",IF(T14="01-미제출",IF(I14&lt;TODAY(),"계획서 제출 독촉 (OVERDUE)","계획서 제출 대기"),IF(T14="02-제출_미검토","검토 착수 필요",IF(T14="03-검토중","승인 처리 대기",IF(T14="04-검토중_보완","보완 → 재제출 독촉",IF(T14="05-계획서승인","부품 준비 현황 확인",IF(T14="06-BIW중단","BIW팀 확인 → 일정 재수립",IF(T14="07-미인수","협력사 인수 독촉",IF(T14="08-단품준비완료","시험 일정 확인",IF(T14="09-시험준비중","시험 모니터링",IF(T14="10-시험완료","성적서 등록 독촉",IF(T14="12-조건부승인","조건부 승인 판단","—"))))))))))))</f>
        <v/>
      </c>
    </row>
    <row r="15">
      <c r="A15" s="2" t="n">
        <v>11</v>
      </c>
      <c r="B15" s="16">
        <f>INDEX('Ref_PartTest'!A:A,12)</f>
        <v/>
      </c>
      <c r="C15" s="17">
        <f>INDEX('Ref_PartTest'!B:B,12)</f>
        <v/>
      </c>
      <c r="D15" s="16">
        <f>INDEX('Ref_PartTest'!C:C,12)</f>
        <v/>
      </c>
      <c r="E15" s="17">
        <f>INDEX('Ref_PartTest'!D:D,12)</f>
        <v/>
      </c>
      <c r="F15" s="16">
        <f>INDEX('Ref_PartTest'!E:E,12)</f>
        <v/>
      </c>
      <c r="G15" s="16">
        <f>INDEX('Ref_PartTest'!G:G,12)</f>
        <v/>
      </c>
      <c r="H15" s="16">
        <f>INDEX('Ref_PartTest'!L:L,12)</f>
        <v/>
      </c>
      <c r="I15" s="18">
        <f>'Ref_Schedule'!$B$5</f>
        <v/>
      </c>
      <c r="J15" s="18">
        <f>'Ref_Schedule'!$B$6</f>
        <v/>
      </c>
      <c r="K15" s="18">
        <f>'Ref_Schedule'!$B$7</f>
        <v/>
      </c>
      <c r="L15" s="18">
        <f>K15+INDEX('Ref_PartTest'!F:F,12)</f>
        <v/>
      </c>
      <c r="M15" s="18">
        <f>'Ref_Schedule'!$B$8</f>
        <v/>
      </c>
      <c r="N15" s="19" t="inlineStr">
        <is>
          <t>✓</t>
        </is>
      </c>
      <c r="O15" s="19" t="inlineStr">
        <is>
          <t>Approved</t>
        </is>
      </c>
      <c r="P15" s="19" t="inlineStr">
        <is>
          <t>✓</t>
        </is>
      </c>
      <c r="Q15" s="19" t="n"/>
      <c r="R15" s="19" t="n"/>
      <c r="S15" s="19" t="n"/>
      <c r="T15" s="8" t="inlineStr">
        <is>
          <t>07-미인수</t>
        </is>
      </c>
      <c r="U15" s="20">
        <f>IF(T15="11-결과등록완료",1,IF(T15="12-조건부승인",0.9,IF(T15="10-시험완료",0.85,IF(T15="09-시험준비중",0.55,IF(T15="08-단품준비완료",0.4,IF(T15="07-미인수",0.3,IF(T15="05-계획서승인",0.2,IF(T15="06-BIW중단",0.15,IF(T15="03-검토중",0.1,IF(T15="02-제출_미검토",0.05,IF(T15="04-검토중_보완",0.05,0)))))))))))</f>
        <v/>
      </c>
      <c r="V15" s="2">
        <f>IF(S15&lt;&gt;"","—",IF(M15="","",M15-TODAY()))</f>
        <v/>
      </c>
      <c r="W15" s="21">
        <f>IF(T15="11-결과등록완료","— 완료",IF(T15="01-미제출",IF(I15&lt;TODAY(),"계획서 제출 독촉 (OVERDUE)","계획서 제출 대기"),IF(T15="02-제출_미검토","검토 착수 필요",IF(T15="03-검토중","승인 처리 대기",IF(T15="04-검토중_보완","보완 → 재제출 독촉",IF(T15="05-계획서승인","부품 준비 현황 확인",IF(T15="06-BIW중단","BIW팀 확인 → 일정 재수립",IF(T15="07-미인수","협력사 인수 독촉",IF(T15="08-단품준비완료","시험 일정 확인",IF(T15="09-시험준비중","시험 모니터링",IF(T15="10-시험완료","성적서 등록 독촉",IF(T15="12-조건부승인","조건부 승인 판단","—"))))))))))))</f>
        <v/>
      </c>
    </row>
    <row r="16">
      <c r="A16" s="2" t="n">
        <v>12</v>
      </c>
      <c r="B16" s="16">
        <f>INDEX('Ref_PartTest'!A:A,13)</f>
        <v/>
      </c>
      <c r="C16" s="17">
        <f>INDEX('Ref_PartTest'!B:B,13)</f>
        <v/>
      </c>
      <c r="D16" s="16">
        <f>INDEX('Ref_PartTest'!C:C,13)</f>
        <v/>
      </c>
      <c r="E16" s="17">
        <f>INDEX('Ref_PartTest'!D:D,13)</f>
        <v/>
      </c>
      <c r="F16" s="16">
        <f>INDEX('Ref_PartTest'!E:E,13)</f>
        <v/>
      </c>
      <c r="G16" s="16">
        <f>INDEX('Ref_PartTest'!G:G,13)</f>
        <v/>
      </c>
      <c r="H16" s="16">
        <f>INDEX('Ref_PartTest'!L:L,13)</f>
        <v/>
      </c>
      <c r="I16" s="18">
        <f>'Ref_Schedule'!$B$5</f>
        <v/>
      </c>
      <c r="J16" s="18">
        <f>'Ref_Schedule'!$B$6</f>
        <v/>
      </c>
      <c r="K16" s="18">
        <f>'Ref_Schedule'!$B$7</f>
        <v/>
      </c>
      <c r="L16" s="18">
        <f>K16+INDEX('Ref_PartTest'!F:F,13)</f>
        <v/>
      </c>
      <c r="M16" s="18">
        <f>'Ref_Schedule'!$B$8</f>
        <v/>
      </c>
      <c r="N16" s="19" t="inlineStr">
        <is>
          <t>✓</t>
        </is>
      </c>
      <c r="O16" s="19" t="inlineStr">
        <is>
          <t>Approved</t>
        </is>
      </c>
      <c r="P16" s="19" t="inlineStr">
        <is>
          <t>✓</t>
        </is>
      </c>
      <c r="Q16" s="19" t="inlineStr">
        <is>
          <t>✓</t>
        </is>
      </c>
      <c r="R16" s="19" t="inlineStr">
        <is>
          <t>✓</t>
        </is>
      </c>
      <c r="S16" s="19" t="inlineStr">
        <is>
          <t>✓</t>
        </is>
      </c>
      <c r="T16" s="8" t="inlineStr">
        <is>
          <t>12-조건부승인</t>
        </is>
      </c>
      <c r="U16" s="20">
        <f>IF(T16="11-결과등록완료",1,IF(T16="12-조건부승인",0.9,IF(T16="10-시험완료",0.85,IF(T16="09-시험준비중",0.55,IF(T16="08-단품준비완료",0.4,IF(T16="07-미인수",0.3,IF(T16="05-계획서승인",0.2,IF(T16="06-BIW중단",0.15,IF(T16="03-검토중",0.1,IF(T16="02-제출_미검토",0.05,IF(T16="04-검토중_보완",0.05,0)))))))))))</f>
        <v/>
      </c>
      <c r="V16" s="2">
        <f>IF(S16&lt;&gt;"","—",IF(M16="","",M16-TODAY()))</f>
        <v/>
      </c>
      <c r="W16" s="21">
        <f>IF(T16="11-결과등록완료","— 완료",IF(T16="01-미제출",IF(I16&lt;TODAY(),"계획서 제출 독촉 (OVERDUE)","계획서 제출 대기"),IF(T16="02-제출_미검토","검토 착수 필요",IF(T16="03-검토중","승인 처리 대기",IF(T16="04-검토중_보완","보완 → 재제출 독촉",IF(T16="05-계획서승인","부품 준비 현황 확인",IF(T16="06-BIW중단","BIW팀 확인 → 일정 재수립",IF(T16="07-미인수","협력사 인수 독촉",IF(T16="08-단품준비완료","시험 일정 확인",IF(T16="09-시험준비중","시험 모니터링",IF(T16="10-시험완료","성적서 등록 독촉",IF(T16="12-조건부승인","조건부 승인 판단","—"))))))))))))</f>
        <v/>
      </c>
    </row>
    <row r="17">
      <c r="A17" s="2" t="n">
        <v>13</v>
      </c>
      <c r="B17" s="16">
        <f>INDEX('Ref_PartTest'!A:A,14)</f>
        <v/>
      </c>
      <c r="C17" s="17">
        <f>INDEX('Ref_PartTest'!B:B,14)</f>
        <v/>
      </c>
      <c r="D17" s="16">
        <f>INDEX('Ref_PartTest'!C:C,14)</f>
        <v/>
      </c>
      <c r="E17" s="17">
        <f>INDEX('Ref_PartTest'!D:D,14)</f>
        <v/>
      </c>
      <c r="F17" s="16">
        <f>INDEX('Ref_PartTest'!E:E,14)</f>
        <v/>
      </c>
      <c r="G17" s="16">
        <f>INDEX('Ref_PartTest'!G:G,14)</f>
        <v/>
      </c>
      <c r="H17" s="16">
        <f>INDEX('Ref_PartTest'!L:L,14)</f>
        <v/>
      </c>
      <c r="I17" s="18">
        <f>'Ref_Schedule'!$B$5</f>
        <v/>
      </c>
      <c r="J17" s="18">
        <f>'Ref_Schedule'!$B$6</f>
        <v/>
      </c>
      <c r="K17" s="18">
        <f>'Ref_Schedule'!$B$7</f>
        <v/>
      </c>
      <c r="L17" s="18">
        <f>K17+INDEX('Ref_PartTest'!F:F,14)</f>
        <v/>
      </c>
      <c r="M17" s="18">
        <f>'Ref_Schedule'!$B$8</f>
        <v/>
      </c>
      <c r="N17" s="19" t="n"/>
      <c r="O17" s="19" t="n"/>
      <c r="P17" s="19" t="n"/>
      <c r="Q17" s="19" t="n"/>
      <c r="R17" s="19" t="n"/>
      <c r="S17" s="19" t="n"/>
      <c r="T17" s="8">
        <f>IF(AND(S17&lt;&gt;"",R17&lt;&gt;""),"11-결과등록완료",IF(AND(R17&lt;&gt;"",S17=""),"10-시험완료",IF(AND(Q17&lt;&gt;"",R17=""),"09-시험준비중",IF(AND(P17&lt;&gt;"",Q17=""),"08-단품준비완료",IF(O17="Approved","05-계획서승인",IF(O17="Revision Needed","04-검토중_보완",IF(O17="Under Review","03-검토중",IF(AND(N17&lt;&gt;"",O17=""),"02-제출_미검토","01-미제출"))))))))</f>
        <v/>
      </c>
      <c r="U17" s="20">
        <f>IF(T17="11-결과등록완료",1,IF(T17="12-조건부승인",0.9,IF(T17="10-시험완료",0.85,IF(T17="09-시험준비중",0.55,IF(T17="08-단품준비완료",0.4,IF(T17="07-미인수",0.3,IF(T17="05-계획서승인",0.2,IF(T17="06-BIW중단",0.15,IF(T17="03-검토중",0.1,IF(T17="02-제출_미검토",0.05,IF(T17="04-검토중_보완",0.05,0)))))))))))</f>
        <v/>
      </c>
      <c r="V17" s="2">
        <f>IF(S17&lt;&gt;"","—",IF(M17="","",M17-TODAY()))</f>
        <v/>
      </c>
      <c r="W17" s="21">
        <f>IF(T17="11-결과등록완료","— 완료",IF(T17="01-미제출",IF(I17&lt;TODAY(),"계획서 제출 독촉 (OVERDUE)","계획서 제출 대기"),IF(T17="02-제출_미검토","검토 착수 필요",IF(T17="03-검토중","승인 처리 대기",IF(T17="04-검토중_보완","보완 → 재제출 독촉",IF(T17="05-계획서승인","부품 준비 현황 확인",IF(T17="06-BIW중단","BIW팀 확인 → 일정 재수립",IF(T17="07-미인수","협력사 인수 독촉",IF(T17="08-단품준비완료","시험 일정 확인",IF(T17="09-시험준비중","시험 모니터링",IF(T17="10-시험완료","성적서 등록 독촉",IF(T17="12-조건부승인","조건부 승인 판단","—"))))))))))))</f>
        <v/>
      </c>
    </row>
    <row r="18">
      <c r="A18" s="2" t="n">
        <v>14</v>
      </c>
      <c r="B18" s="16">
        <f>INDEX('Ref_PartTest'!A:A,15)</f>
        <v/>
      </c>
      <c r="C18" s="17">
        <f>INDEX('Ref_PartTest'!B:B,15)</f>
        <v/>
      </c>
      <c r="D18" s="16">
        <f>INDEX('Ref_PartTest'!C:C,15)</f>
        <v/>
      </c>
      <c r="E18" s="17">
        <f>INDEX('Ref_PartTest'!D:D,15)</f>
        <v/>
      </c>
      <c r="F18" s="16">
        <f>INDEX('Ref_PartTest'!E:E,15)</f>
        <v/>
      </c>
      <c r="G18" s="16">
        <f>INDEX('Ref_PartTest'!G:G,15)</f>
        <v/>
      </c>
      <c r="H18" s="16">
        <f>INDEX('Ref_PartTest'!L:L,15)</f>
        <v/>
      </c>
      <c r="I18" s="18">
        <f>'Ref_Schedule'!$B$5</f>
        <v/>
      </c>
      <c r="J18" s="18">
        <f>'Ref_Schedule'!$B$6</f>
        <v/>
      </c>
      <c r="K18" s="18">
        <f>'Ref_Schedule'!$B$7</f>
        <v/>
      </c>
      <c r="L18" s="18">
        <f>K18+INDEX('Ref_PartTest'!F:F,15)</f>
        <v/>
      </c>
      <c r="M18" s="18">
        <f>'Ref_Schedule'!$B$8</f>
        <v/>
      </c>
      <c r="N18" s="19" t="inlineStr">
        <is>
          <t>✓</t>
        </is>
      </c>
      <c r="O18" s="19" t="n"/>
      <c r="P18" s="19" t="n"/>
      <c r="Q18" s="19" t="n"/>
      <c r="R18" s="19" t="n"/>
      <c r="S18" s="19" t="n"/>
      <c r="T18" s="8">
        <f>IF(AND(S18&lt;&gt;"",R18&lt;&gt;""),"11-결과등록완료",IF(AND(R18&lt;&gt;"",S18=""),"10-시험완료",IF(AND(Q18&lt;&gt;"",R18=""),"09-시험준비중",IF(AND(P18&lt;&gt;"",Q18=""),"08-단품준비완료",IF(O18="Approved","05-계획서승인",IF(O18="Revision Needed","04-검토중_보완",IF(O18="Under Review","03-검토중",IF(AND(N18&lt;&gt;"",O18=""),"02-제출_미검토","01-미제출"))))))))</f>
        <v/>
      </c>
      <c r="U18" s="20">
        <f>IF(T18="11-결과등록완료",1,IF(T18="12-조건부승인",0.9,IF(T18="10-시험완료",0.85,IF(T18="09-시험준비중",0.55,IF(T18="08-단품준비완료",0.4,IF(T18="07-미인수",0.3,IF(T18="05-계획서승인",0.2,IF(T18="06-BIW중단",0.15,IF(T18="03-검토중",0.1,IF(T18="02-제출_미검토",0.05,IF(T18="04-검토중_보완",0.05,0)))))))))))</f>
        <v/>
      </c>
      <c r="V18" s="2">
        <f>IF(S18&lt;&gt;"","—",IF(M18="","",M18-TODAY()))</f>
        <v/>
      </c>
      <c r="W18" s="21">
        <f>IF(T18="11-결과등록완료","— 완료",IF(T18="01-미제출",IF(I18&lt;TODAY(),"계획서 제출 독촉 (OVERDUE)","계획서 제출 대기"),IF(T18="02-제출_미검토","검토 착수 필요",IF(T18="03-검토중","승인 처리 대기",IF(T18="04-검토중_보완","보완 → 재제출 독촉",IF(T18="05-계획서승인","부품 준비 현황 확인",IF(T18="06-BIW중단","BIW팀 확인 → 일정 재수립",IF(T18="07-미인수","협력사 인수 독촉",IF(T18="08-단품준비완료","시험 일정 확인",IF(T18="09-시험준비중","시험 모니터링",IF(T18="10-시험완료","성적서 등록 독촉",IF(T18="12-조건부승인","조건부 승인 판단","—"))))))))))))</f>
        <v/>
      </c>
    </row>
    <row r="19">
      <c r="A19" s="2" t="n">
        <v>15</v>
      </c>
      <c r="B19" s="16">
        <f>INDEX('Ref_PartTest'!A:A,16)</f>
        <v/>
      </c>
      <c r="C19" s="17">
        <f>INDEX('Ref_PartTest'!B:B,16)</f>
        <v/>
      </c>
      <c r="D19" s="16">
        <f>INDEX('Ref_PartTest'!C:C,16)</f>
        <v/>
      </c>
      <c r="E19" s="17">
        <f>INDEX('Ref_PartTest'!D:D,16)</f>
        <v/>
      </c>
      <c r="F19" s="16">
        <f>INDEX('Ref_PartTest'!E:E,16)</f>
        <v/>
      </c>
      <c r="G19" s="16">
        <f>INDEX('Ref_PartTest'!G:G,16)</f>
        <v/>
      </c>
      <c r="H19" s="16">
        <f>INDEX('Ref_PartTest'!L:L,16)</f>
        <v/>
      </c>
      <c r="I19" s="18">
        <f>'Ref_Schedule'!$B$5</f>
        <v/>
      </c>
      <c r="J19" s="18">
        <f>'Ref_Schedule'!$B$6</f>
        <v/>
      </c>
      <c r="K19" s="18">
        <f>'Ref_Schedule'!$B$7</f>
        <v/>
      </c>
      <c r="L19" s="18">
        <f>K19+INDEX('Ref_PartTest'!F:F,16)</f>
        <v/>
      </c>
      <c r="M19" s="18">
        <f>'Ref_Schedule'!$B$8</f>
        <v/>
      </c>
      <c r="N19" s="19" t="inlineStr">
        <is>
          <t>✓</t>
        </is>
      </c>
      <c r="O19" s="19" t="inlineStr">
        <is>
          <t>Under Review</t>
        </is>
      </c>
      <c r="P19" s="19" t="n"/>
      <c r="Q19" s="19" t="n"/>
      <c r="R19" s="19" t="n"/>
      <c r="S19" s="19" t="n"/>
      <c r="T19" s="8">
        <f>IF(AND(S19&lt;&gt;"",R19&lt;&gt;""),"11-결과등록완료",IF(AND(R19&lt;&gt;"",S19=""),"10-시험완료",IF(AND(Q19&lt;&gt;"",R19=""),"09-시험준비중",IF(AND(P19&lt;&gt;"",Q19=""),"08-단품준비완료",IF(O19="Approved","05-계획서승인",IF(O19="Revision Needed","04-검토중_보완",IF(O19="Under Review","03-검토중",IF(AND(N19&lt;&gt;"",O19=""),"02-제출_미검토","01-미제출"))))))))</f>
        <v/>
      </c>
      <c r="U19" s="20">
        <f>IF(T19="11-결과등록완료",1,IF(T19="12-조건부승인",0.9,IF(T19="10-시험완료",0.85,IF(T19="09-시험준비중",0.55,IF(T19="08-단품준비완료",0.4,IF(T19="07-미인수",0.3,IF(T19="05-계획서승인",0.2,IF(T19="06-BIW중단",0.15,IF(T19="03-검토중",0.1,IF(T19="02-제출_미검토",0.05,IF(T19="04-검토중_보완",0.05,0)))))))))))</f>
        <v/>
      </c>
      <c r="V19" s="2">
        <f>IF(S19&lt;&gt;"","—",IF(M19="","",M19-TODAY()))</f>
        <v/>
      </c>
      <c r="W19" s="21">
        <f>IF(T19="11-결과등록완료","— 완료",IF(T19="01-미제출",IF(I19&lt;TODAY(),"계획서 제출 독촉 (OVERDUE)","계획서 제출 대기"),IF(T19="02-제출_미검토","검토 착수 필요",IF(T19="03-검토중","승인 처리 대기",IF(T19="04-검토중_보완","보완 → 재제출 독촉",IF(T19="05-계획서승인","부품 준비 현황 확인",IF(T19="06-BIW중단","BIW팀 확인 → 일정 재수립",IF(T19="07-미인수","협력사 인수 독촉",IF(T19="08-단품준비완료","시험 일정 확인",IF(T19="09-시험준비중","시험 모니터링",IF(T19="10-시험완료","성적서 등록 독촉",IF(T19="12-조건부승인","조건부 승인 판단","—"))))))))))))</f>
        <v/>
      </c>
    </row>
    <row r="20">
      <c r="A20" s="2" t="n">
        <v>16</v>
      </c>
      <c r="B20" s="16">
        <f>INDEX('Ref_PartTest'!A:A,17)</f>
        <v/>
      </c>
      <c r="C20" s="17">
        <f>INDEX('Ref_PartTest'!B:B,17)</f>
        <v/>
      </c>
      <c r="D20" s="16">
        <f>INDEX('Ref_PartTest'!C:C,17)</f>
        <v/>
      </c>
      <c r="E20" s="17">
        <f>INDEX('Ref_PartTest'!D:D,17)</f>
        <v/>
      </c>
      <c r="F20" s="16">
        <f>INDEX('Ref_PartTest'!E:E,17)</f>
        <v/>
      </c>
      <c r="G20" s="16">
        <f>INDEX('Ref_PartTest'!G:G,17)</f>
        <v/>
      </c>
      <c r="H20" s="16">
        <f>INDEX('Ref_PartTest'!L:L,17)</f>
        <v/>
      </c>
      <c r="I20" s="18">
        <f>'Ref_Schedule'!$B$5</f>
        <v/>
      </c>
      <c r="J20" s="18">
        <f>'Ref_Schedule'!$B$6</f>
        <v/>
      </c>
      <c r="K20" s="18">
        <f>'Ref_Schedule'!$B$7</f>
        <v/>
      </c>
      <c r="L20" s="18">
        <f>K20+INDEX('Ref_PartTest'!F:F,17)</f>
        <v/>
      </c>
      <c r="M20" s="18">
        <f>'Ref_Schedule'!$B$8</f>
        <v/>
      </c>
      <c r="N20" s="19" t="inlineStr">
        <is>
          <t>✓</t>
        </is>
      </c>
      <c r="O20" s="19" t="inlineStr">
        <is>
          <t>Revision Needed</t>
        </is>
      </c>
      <c r="P20" s="19" t="n"/>
      <c r="Q20" s="19" t="n"/>
      <c r="R20" s="19" t="n"/>
      <c r="S20" s="19" t="n"/>
      <c r="T20" s="8">
        <f>IF(AND(S20&lt;&gt;"",R20&lt;&gt;""),"11-결과등록완료",IF(AND(R20&lt;&gt;"",S20=""),"10-시험완료",IF(AND(Q20&lt;&gt;"",R20=""),"09-시험준비중",IF(AND(P20&lt;&gt;"",Q20=""),"08-단품준비완료",IF(O20="Approved","05-계획서승인",IF(O20="Revision Needed","04-검토중_보완",IF(O20="Under Review","03-검토중",IF(AND(N20&lt;&gt;"",O20=""),"02-제출_미검토","01-미제출"))))))))</f>
        <v/>
      </c>
      <c r="U20" s="20">
        <f>IF(T20="11-결과등록완료",1,IF(T20="12-조건부승인",0.9,IF(T20="10-시험완료",0.85,IF(T20="09-시험준비중",0.55,IF(T20="08-단품준비완료",0.4,IF(T20="07-미인수",0.3,IF(T20="05-계획서승인",0.2,IF(T20="06-BIW중단",0.15,IF(T20="03-검토중",0.1,IF(T20="02-제출_미검토",0.05,IF(T20="04-검토중_보완",0.05,0)))))))))))</f>
        <v/>
      </c>
      <c r="V20" s="2">
        <f>IF(S20&lt;&gt;"","—",IF(M20="","",M20-TODAY()))</f>
        <v/>
      </c>
      <c r="W20" s="21">
        <f>IF(T20="11-결과등록완료","— 완료",IF(T20="01-미제출",IF(I20&lt;TODAY(),"계획서 제출 독촉 (OVERDUE)","계획서 제출 대기"),IF(T20="02-제출_미검토","검토 착수 필요",IF(T20="03-검토중","승인 처리 대기",IF(T20="04-검토중_보완","보완 → 재제출 독촉",IF(T20="05-계획서승인","부품 준비 현황 확인",IF(T20="06-BIW중단","BIW팀 확인 → 일정 재수립",IF(T20="07-미인수","협력사 인수 독촉",IF(T20="08-단품준비완료","시험 일정 확인",IF(T20="09-시험준비중","시험 모니터링",IF(T20="10-시험완료","성적서 등록 독촉",IF(T20="12-조건부승인","조건부 승인 판단","—"))))))))))))</f>
        <v/>
      </c>
    </row>
    <row r="21">
      <c r="A21" s="2" t="n">
        <v>17</v>
      </c>
      <c r="B21" s="16">
        <f>INDEX('Ref_PartTest'!A:A,18)</f>
        <v/>
      </c>
      <c r="C21" s="17">
        <f>INDEX('Ref_PartTest'!B:B,18)</f>
        <v/>
      </c>
      <c r="D21" s="16">
        <f>INDEX('Ref_PartTest'!C:C,18)</f>
        <v/>
      </c>
      <c r="E21" s="17">
        <f>INDEX('Ref_PartTest'!D:D,18)</f>
        <v/>
      </c>
      <c r="F21" s="16">
        <f>INDEX('Ref_PartTest'!E:E,18)</f>
        <v/>
      </c>
      <c r="G21" s="16">
        <f>INDEX('Ref_PartTest'!G:G,18)</f>
        <v/>
      </c>
      <c r="H21" s="16">
        <f>INDEX('Ref_PartTest'!L:L,18)</f>
        <v/>
      </c>
      <c r="I21" s="18">
        <f>'Ref_Schedule'!$B$5</f>
        <v/>
      </c>
      <c r="J21" s="18">
        <f>'Ref_Schedule'!$B$6</f>
        <v/>
      </c>
      <c r="K21" s="18">
        <f>'Ref_Schedule'!$B$7</f>
        <v/>
      </c>
      <c r="L21" s="18">
        <f>K21+INDEX('Ref_PartTest'!F:F,18)</f>
        <v/>
      </c>
      <c r="M21" s="18">
        <f>'Ref_Schedule'!$B$8</f>
        <v/>
      </c>
      <c r="N21" s="19" t="inlineStr">
        <is>
          <t>✓</t>
        </is>
      </c>
      <c r="O21" s="19" t="inlineStr">
        <is>
          <t>Approved</t>
        </is>
      </c>
      <c r="P21" s="19" t="n"/>
      <c r="Q21" s="19" t="n"/>
      <c r="R21" s="19" t="n"/>
      <c r="S21" s="19" t="n"/>
      <c r="T21" s="8">
        <f>IF(AND(S21&lt;&gt;"",R21&lt;&gt;""),"11-결과등록완료",IF(AND(R21&lt;&gt;"",S21=""),"10-시험완료",IF(AND(Q21&lt;&gt;"",R21=""),"09-시험준비중",IF(AND(P21&lt;&gt;"",Q21=""),"08-단품준비완료",IF(O21="Approved","05-계획서승인",IF(O21="Revision Needed","04-검토중_보완",IF(O21="Under Review","03-검토중",IF(AND(N21&lt;&gt;"",O21=""),"02-제출_미검토","01-미제출"))))))))</f>
        <v/>
      </c>
      <c r="U21" s="20">
        <f>IF(T21="11-결과등록완료",1,IF(T21="12-조건부승인",0.9,IF(T21="10-시험완료",0.85,IF(T21="09-시험준비중",0.55,IF(T21="08-단품준비완료",0.4,IF(T21="07-미인수",0.3,IF(T21="05-계획서승인",0.2,IF(T21="06-BIW중단",0.15,IF(T21="03-검토중",0.1,IF(T21="02-제출_미검토",0.05,IF(T21="04-검토중_보완",0.05,0)))))))))))</f>
        <v/>
      </c>
      <c r="V21" s="2">
        <f>IF(S21&lt;&gt;"","—",IF(M21="","",M21-TODAY()))</f>
        <v/>
      </c>
      <c r="W21" s="21">
        <f>IF(T21="11-결과등록완료","— 완료",IF(T21="01-미제출",IF(I21&lt;TODAY(),"계획서 제출 독촉 (OVERDUE)","계획서 제출 대기"),IF(T21="02-제출_미검토","검토 착수 필요",IF(T21="03-검토중","승인 처리 대기",IF(T21="04-검토중_보완","보완 → 재제출 독촉",IF(T21="05-계획서승인","부품 준비 현황 확인",IF(T21="06-BIW중단","BIW팀 확인 → 일정 재수립",IF(T21="07-미인수","협력사 인수 독촉",IF(T21="08-단품준비완료","시험 일정 확인",IF(T21="09-시험준비중","시험 모니터링",IF(T21="10-시험완료","성적서 등록 독촉",IF(T21="12-조건부승인","조건부 승인 판단","—"))))))))))))</f>
        <v/>
      </c>
    </row>
    <row r="22">
      <c r="A22" s="2" t="n">
        <v>18</v>
      </c>
      <c r="B22" s="16">
        <f>INDEX('Ref_PartTest'!A:A,19)</f>
        <v/>
      </c>
      <c r="C22" s="17">
        <f>INDEX('Ref_PartTest'!B:B,19)</f>
        <v/>
      </c>
      <c r="D22" s="16">
        <f>INDEX('Ref_PartTest'!C:C,19)</f>
        <v/>
      </c>
      <c r="E22" s="17">
        <f>INDEX('Ref_PartTest'!D:D,19)</f>
        <v/>
      </c>
      <c r="F22" s="16">
        <f>INDEX('Ref_PartTest'!E:E,19)</f>
        <v/>
      </c>
      <c r="G22" s="16">
        <f>INDEX('Ref_PartTest'!G:G,19)</f>
        <v/>
      </c>
      <c r="H22" s="16">
        <f>INDEX('Ref_PartTest'!L:L,19)</f>
        <v/>
      </c>
      <c r="I22" s="18">
        <f>'Ref_Schedule'!$B$5</f>
        <v/>
      </c>
      <c r="J22" s="18">
        <f>'Ref_Schedule'!$B$6</f>
        <v/>
      </c>
      <c r="K22" s="18">
        <f>'Ref_Schedule'!$B$7</f>
        <v/>
      </c>
      <c r="L22" s="18">
        <f>K22+INDEX('Ref_PartTest'!F:F,19)</f>
        <v/>
      </c>
      <c r="M22" s="18">
        <f>'Ref_Schedule'!$B$8</f>
        <v/>
      </c>
      <c r="N22" s="19" t="inlineStr">
        <is>
          <t>✓</t>
        </is>
      </c>
      <c r="O22" s="19" t="inlineStr">
        <is>
          <t>Approved</t>
        </is>
      </c>
      <c r="P22" s="19" t="inlineStr">
        <is>
          <t>✓</t>
        </is>
      </c>
      <c r="Q22" s="19" t="n"/>
      <c r="R22" s="19" t="n"/>
      <c r="S22" s="19" t="n"/>
      <c r="T22" s="8">
        <f>IF(AND(S22&lt;&gt;"",R22&lt;&gt;""),"11-결과등록완료",IF(AND(R22&lt;&gt;"",S22=""),"10-시험완료",IF(AND(Q22&lt;&gt;"",R22=""),"09-시험준비중",IF(AND(P22&lt;&gt;"",Q22=""),"08-단품준비완료",IF(O22="Approved","05-계획서승인",IF(O22="Revision Needed","04-검토중_보완",IF(O22="Under Review","03-검토중",IF(AND(N22&lt;&gt;"",O22=""),"02-제출_미검토","01-미제출"))))))))</f>
        <v/>
      </c>
      <c r="U22" s="20">
        <f>IF(T22="11-결과등록완료",1,IF(T22="12-조건부승인",0.9,IF(T22="10-시험완료",0.85,IF(T22="09-시험준비중",0.55,IF(T22="08-단품준비완료",0.4,IF(T22="07-미인수",0.3,IF(T22="05-계획서승인",0.2,IF(T22="06-BIW중단",0.15,IF(T22="03-검토중",0.1,IF(T22="02-제출_미검토",0.05,IF(T22="04-검토중_보완",0.05,0)))))))))))</f>
        <v/>
      </c>
      <c r="V22" s="2">
        <f>IF(S22&lt;&gt;"","—",IF(M22="","",M22-TODAY()))</f>
        <v/>
      </c>
      <c r="W22" s="21">
        <f>IF(T22="11-결과등록완료","— 완료",IF(T22="01-미제출",IF(I22&lt;TODAY(),"계획서 제출 독촉 (OVERDUE)","계획서 제출 대기"),IF(T22="02-제출_미검토","검토 착수 필요",IF(T22="03-검토중","승인 처리 대기",IF(T22="04-검토중_보완","보완 → 재제출 독촉",IF(T22="05-계획서승인","부품 준비 현황 확인",IF(T22="06-BIW중단","BIW팀 확인 → 일정 재수립",IF(T22="07-미인수","협력사 인수 독촉",IF(T22="08-단품준비완료","시험 일정 확인",IF(T22="09-시험준비중","시험 모니터링",IF(T22="10-시험완료","성적서 등록 독촉",IF(T22="12-조건부승인","조건부 승인 판단","—"))))))))))))</f>
        <v/>
      </c>
    </row>
    <row r="23">
      <c r="A23" s="2" t="n">
        <v>19</v>
      </c>
      <c r="B23" s="16">
        <f>INDEX('Ref_PartTest'!A:A,20)</f>
        <v/>
      </c>
      <c r="C23" s="17">
        <f>INDEX('Ref_PartTest'!B:B,20)</f>
        <v/>
      </c>
      <c r="D23" s="16">
        <f>INDEX('Ref_PartTest'!C:C,20)</f>
        <v/>
      </c>
      <c r="E23" s="17">
        <f>INDEX('Ref_PartTest'!D:D,20)</f>
        <v/>
      </c>
      <c r="F23" s="16">
        <f>INDEX('Ref_PartTest'!E:E,20)</f>
        <v/>
      </c>
      <c r="G23" s="16">
        <f>INDEX('Ref_PartTest'!G:G,20)</f>
        <v/>
      </c>
      <c r="H23" s="16">
        <f>INDEX('Ref_PartTest'!L:L,20)</f>
        <v/>
      </c>
      <c r="I23" s="18">
        <f>'Ref_Schedule'!$B$5</f>
        <v/>
      </c>
      <c r="J23" s="18">
        <f>'Ref_Schedule'!$B$6</f>
        <v/>
      </c>
      <c r="K23" s="18">
        <f>'Ref_Schedule'!$B$7</f>
        <v/>
      </c>
      <c r="L23" s="18">
        <f>K23+INDEX('Ref_PartTest'!F:F,20)</f>
        <v/>
      </c>
      <c r="M23" s="18">
        <f>'Ref_Schedule'!$B$8</f>
        <v/>
      </c>
      <c r="N23" s="19" t="inlineStr">
        <is>
          <t>✓</t>
        </is>
      </c>
      <c r="O23" s="19" t="inlineStr">
        <is>
          <t>Approved</t>
        </is>
      </c>
      <c r="P23" s="19" t="inlineStr">
        <is>
          <t>✓</t>
        </is>
      </c>
      <c r="Q23" s="19" t="inlineStr">
        <is>
          <t>✓</t>
        </is>
      </c>
      <c r="R23" s="19" t="n"/>
      <c r="S23" s="19" t="n"/>
      <c r="T23" s="8">
        <f>IF(AND(S23&lt;&gt;"",R23&lt;&gt;""),"11-결과등록완료",IF(AND(R23&lt;&gt;"",S23=""),"10-시험완료",IF(AND(Q23&lt;&gt;"",R23=""),"09-시험준비중",IF(AND(P23&lt;&gt;"",Q23=""),"08-단품준비완료",IF(O23="Approved","05-계획서승인",IF(O23="Revision Needed","04-검토중_보완",IF(O23="Under Review","03-검토중",IF(AND(N23&lt;&gt;"",O23=""),"02-제출_미검토","01-미제출"))))))))</f>
        <v/>
      </c>
      <c r="U23" s="20">
        <f>IF(T23="11-결과등록완료",1,IF(T23="12-조건부승인",0.9,IF(T23="10-시험완료",0.85,IF(T23="09-시험준비중",0.55,IF(T23="08-단품준비완료",0.4,IF(T23="07-미인수",0.3,IF(T23="05-계획서승인",0.2,IF(T23="06-BIW중단",0.15,IF(T23="03-검토중",0.1,IF(T23="02-제출_미검토",0.05,IF(T23="04-검토중_보완",0.05,0)))))))))))</f>
        <v/>
      </c>
      <c r="V23" s="2">
        <f>IF(S23&lt;&gt;"","—",IF(M23="","",M23-TODAY()))</f>
        <v/>
      </c>
      <c r="W23" s="21">
        <f>IF(T23="11-결과등록완료","— 완료",IF(T23="01-미제출",IF(I23&lt;TODAY(),"계획서 제출 독촉 (OVERDUE)","계획서 제출 대기"),IF(T23="02-제출_미검토","검토 착수 필요",IF(T23="03-검토중","승인 처리 대기",IF(T23="04-검토중_보완","보완 → 재제출 독촉",IF(T23="05-계획서승인","부품 준비 현황 확인",IF(T23="06-BIW중단","BIW팀 확인 → 일정 재수립",IF(T23="07-미인수","협력사 인수 독촉",IF(T23="08-단품준비완료","시험 일정 확인",IF(T23="09-시험준비중","시험 모니터링",IF(T23="10-시험완료","성적서 등록 독촉",IF(T23="12-조건부승인","조건부 승인 판단","—"))))))))))))</f>
        <v/>
      </c>
    </row>
    <row r="24">
      <c r="A24" s="2" t="n">
        <v>20</v>
      </c>
      <c r="B24" s="16">
        <f>INDEX('Ref_PartTest'!A:A,21)</f>
        <v/>
      </c>
      <c r="C24" s="17">
        <f>INDEX('Ref_PartTest'!B:B,21)</f>
        <v/>
      </c>
      <c r="D24" s="16">
        <f>INDEX('Ref_PartTest'!C:C,21)</f>
        <v/>
      </c>
      <c r="E24" s="17">
        <f>INDEX('Ref_PartTest'!D:D,21)</f>
        <v/>
      </c>
      <c r="F24" s="16">
        <f>INDEX('Ref_PartTest'!E:E,21)</f>
        <v/>
      </c>
      <c r="G24" s="16">
        <f>INDEX('Ref_PartTest'!G:G,21)</f>
        <v/>
      </c>
      <c r="H24" s="16">
        <f>INDEX('Ref_PartTest'!L:L,21)</f>
        <v/>
      </c>
      <c r="I24" s="18">
        <f>'Ref_Schedule'!$B$5</f>
        <v/>
      </c>
      <c r="J24" s="18">
        <f>'Ref_Schedule'!$B$6</f>
        <v/>
      </c>
      <c r="K24" s="18">
        <f>'Ref_Schedule'!$B$7</f>
        <v/>
      </c>
      <c r="L24" s="18">
        <f>K24+INDEX('Ref_PartTest'!F:F,21)</f>
        <v/>
      </c>
      <c r="M24" s="18">
        <f>'Ref_Schedule'!$B$8</f>
        <v/>
      </c>
      <c r="N24" s="19" t="inlineStr">
        <is>
          <t>✓</t>
        </is>
      </c>
      <c r="O24" s="19" t="inlineStr">
        <is>
          <t>Approved</t>
        </is>
      </c>
      <c r="P24" s="19" t="inlineStr">
        <is>
          <t>✓</t>
        </is>
      </c>
      <c r="Q24" s="19" t="inlineStr">
        <is>
          <t>✓</t>
        </is>
      </c>
      <c r="R24" s="19" t="inlineStr">
        <is>
          <t>✓</t>
        </is>
      </c>
      <c r="S24" s="19" t="n"/>
      <c r="T24" s="8">
        <f>IF(AND(S24&lt;&gt;"",R24&lt;&gt;""),"11-결과등록완료",IF(AND(R24&lt;&gt;"",S24=""),"10-시험완료",IF(AND(Q24&lt;&gt;"",R24=""),"09-시험준비중",IF(AND(P24&lt;&gt;"",Q24=""),"08-단품준비완료",IF(O24="Approved","05-계획서승인",IF(O24="Revision Needed","04-검토중_보완",IF(O24="Under Review","03-검토중",IF(AND(N24&lt;&gt;"",O24=""),"02-제출_미검토","01-미제출"))))))))</f>
        <v/>
      </c>
      <c r="U24" s="20">
        <f>IF(T24="11-결과등록완료",1,IF(T24="12-조건부승인",0.9,IF(T24="10-시험완료",0.85,IF(T24="09-시험준비중",0.55,IF(T24="08-단품준비완료",0.4,IF(T24="07-미인수",0.3,IF(T24="05-계획서승인",0.2,IF(T24="06-BIW중단",0.15,IF(T24="03-검토중",0.1,IF(T24="02-제출_미검토",0.05,IF(T24="04-검토중_보완",0.05,0)))))))))))</f>
        <v/>
      </c>
      <c r="V24" s="2">
        <f>IF(S24&lt;&gt;"","—",IF(M24="","",M24-TODAY()))</f>
        <v/>
      </c>
      <c r="W24" s="21">
        <f>IF(T24="11-결과등록완료","— 완료",IF(T24="01-미제출",IF(I24&lt;TODAY(),"계획서 제출 독촉 (OVERDUE)","계획서 제출 대기"),IF(T24="02-제출_미검토","검토 착수 필요",IF(T24="03-검토중","승인 처리 대기",IF(T24="04-검토중_보완","보완 → 재제출 독촉",IF(T24="05-계획서승인","부품 준비 현황 확인",IF(T24="06-BIW중단","BIW팀 확인 → 일정 재수립",IF(T24="07-미인수","협력사 인수 독촉",IF(T24="08-단품준비완료","시험 일정 확인",IF(T24="09-시험준비중","시험 모니터링",IF(T24="10-시험완료","성적서 등록 독촉",IF(T24="12-조건부승인","조건부 승인 판단","—"))))))))))))</f>
        <v/>
      </c>
    </row>
    <row r="25">
      <c r="A25" s="2" t="n">
        <v>21</v>
      </c>
      <c r="B25" s="16">
        <f>INDEX('Ref_PartTest'!A:A,22)</f>
        <v/>
      </c>
      <c r="C25" s="17">
        <f>INDEX('Ref_PartTest'!B:B,22)</f>
        <v/>
      </c>
      <c r="D25" s="16">
        <f>INDEX('Ref_PartTest'!C:C,22)</f>
        <v/>
      </c>
      <c r="E25" s="17">
        <f>INDEX('Ref_PartTest'!D:D,22)</f>
        <v/>
      </c>
      <c r="F25" s="16">
        <f>INDEX('Ref_PartTest'!E:E,22)</f>
        <v/>
      </c>
      <c r="G25" s="16">
        <f>INDEX('Ref_PartTest'!G:G,22)</f>
        <v/>
      </c>
      <c r="H25" s="16">
        <f>INDEX('Ref_PartTest'!L:L,22)</f>
        <v/>
      </c>
      <c r="I25" s="18">
        <f>'Ref_Schedule'!$B$5</f>
        <v/>
      </c>
      <c r="J25" s="18">
        <f>'Ref_Schedule'!$B$6</f>
        <v/>
      </c>
      <c r="K25" s="18">
        <f>'Ref_Schedule'!$B$7</f>
        <v/>
      </c>
      <c r="L25" s="18">
        <f>K25+INDEX('Ref_PartTest'!F:F,22)</f>
        <v/>
      </c>
      <c r="M25" s="18">
        <f>'Ref_Schedule'!$B$8</f>
        <v/>
      </c>
      <c r="N25" s="19" t="inlineStr">
        <is>
          <t>✓</t>
        </is>
      </c>
      <c r="O25" s="19" t="inlineStr">
        <is>
          <t>Approved</t>
        </is>
      </c>
      <c r="P25" s="19" t="inlineStr">
        <is>
          <t>✓</t>
        </is>
      </c>
      <c r="Q25" s="19" t="inlineStr">
        <is>
          <t>✓</t>
        </is>
      </c>
      <c r="R25" s="19" t="inlineStr">
        <is>
          <t>✓</t>
        </is>
      </c>
      <c r="S25" s="19" t="inlineStr">
        <is>
          <t>✓</t>
        </is>
      </c>
      <c r="T25" s="8">
        <f>IF(AND(S25&lt;&gt;"",R25&lt;&gt;""),"11-결과등록완료",IF(AND(R25&lt;&gt;"",S25=""),"10-시험완료",IF(AND(Q25&lt;&gt;"",R25=""),"09-시험준비중",IF(AND(P25&lt;&gt;"",Q25=""),"08-단품준비완료",IF(O25="Approved","05-계획서승인",IF(O25="Revision Needed","04-검토중_보완",IF(O25="Under Review","03-검토중",IF(AND(N25&lt;&gt;"",O25=""),"02-제출_미검토","01-미제출"))))))))</f>
        <v/>
      </c>
      <c r="U25" s="20">
        <f>IF(T25="11-결과등록완료",1,IF(T25="12-조건부승인",0.9,IF(T25="10-시험완료",0.85,IF(T25="09-시험준비중",0.55,IF(T25="08-단품준비완료",0.4,IF(T25="07-미인수",0.3,IF(T25="05-계획서승인",0.2,IF(T25="06-BIW중단",0.15,IF(T25="03-검토중",0.1,IF(T25="02-제출_미검토",0.05,IF(T25="04-검토중_보완",0.05,0)))))))))))</f>
        <v/>
      </c>
      <c r="V25" s="2">
        <f>IF(S25&lt;&gt;"","—",IF(M25="","",M25-TODAY()))</f>
        <v/>
      </c>
      <c r="W25" s="21">
        <f>IF(T25="11-결과등록완료","— 완료",IF(T25="01-미제출",IF(I25&lt;TODAY(),"계획서 제출 독촉 (OVERDUE)","계획서 제출 대기"),IF(T25="02-제출_미검토","검토 착수 필요",IF(T25="03-검토중","승인 처리 대기",IF(T25="04-검토중_보완","보완 → 재제출 독촉",IF(T25="05-계획서승인","부품 준비 현황 확인",IF(T25="06-BIW중단","BIW팀 확인 → 일정 재수립",IF(T25="07-미인수","협력사 인수 독촉",IF(T25="08-단품준비완료","시험 일정 확인",IF(T25="09-시험준비중","시험 모니터링",IF(T25="10-시험완료","성적서 등록 독촉",IF(T25="12-조건부승인","조건부 승인 판단","—"))))))))))))</f>
        <v/>
      </c>
    </row>
    <row r="26">
      <c r="A26" s="2" t="n">
        <v>22</v>
      </c>
      <c r="B26" s="16">
        <f>INDEX('Ref_PartTest'!A:A,23)</f>
        <v/>
      </c>
      <c r="C26" s="17">
        <f>INDEX('Ref_PartTest'!B:B,23)</f>
        <v/>
      </c>
      <c r="D26" s="16">
        <f>INDEX('Ref_PartTest'!C:C,23)</f>
        <v/>
      </c>
      <c r="E26" s="17">
        <f>INDEX('Ref_PartTest'!D:D,23)</f>
        <v/>
      </c>
      <c r="F26" s="16">
        <f>INDEX('Ref_PartTest'!E:E,23)</f>
        <v/>
      </c>
      <c r="G26" s="16">
        <f>INDEX('Ref_PartTest'!G:G,23)</f>
        <v/>
      </c>
      <c r="H26" s="16">
        <f>INDEX('Ref_PartTest'!L:L,23)</f>
        <v/>
      </c>
      <c r="I26" s="18">
        <f>'Ref_Schedule'!$B$5</f>
        <v/>
      </c>
      <c r="J26" s="18">
        <f>'Ref_Schedule'!$B$6</f>
        <v/>
      </c>
      <c r="K26" s="18">
        <f>'Ref_Schedule'!$B$7</f>
        <v/>
      </c>
      <c r="L26" s="18">
        <f>K26+INDEX('Ref_PartTest'!F:F,23)</f>
        <v/>
      </c>
      <c r="M26" s="18">
        <f>'Ref_Schedule'!$B$8</f>
        <v/>
      </c>
      <c r="N26" s="19" t="inlineStr">
        <is>
          <t>✓</t>
        </is>
      </c>
      <c r="O26" s="19" t="inlineStr">
        <is>
          <t>Approved</t>
        </is>
      </c>
      <c r="P26" s="19" t="inlineStr">
        <is>
          <t>✓</t>
        </is>
      </c>
      <c r="Q26" s="19" t="n"/>
      <c r="R26" s="19" t="n"/>
      <c r="S26" s="19" t="n"/>
      <c r="T26" s="8" t="inlineStr">
        <is>
          <t>06-BIW중단</t>
        </is>
      </c>
      <c r="U26" s="20">
        <f>IF(T26="11-결과등록완료",1,IF(T26="12-조건부승인",0.9,IF(T26="10-시험완료",0.85,IF(T26="09-시험준비중",0.55,IF(T26="08-단품준비완료",0.4,IF(T26="07-미인수",0.3,IF(T26="05-계획서승인",0.2,IF(T26="06-BIW중단",0.15,IF(T26="03-검토중",0.1,IF(T26="02-제출_미검토",0.05,IF(T26="04-검토중_보완",0.05,0)))))))))))</f>
        <v/>
      </c>
      <c r="V26" s="2">
        <f>IF(S26&lt;&gt;"","—",IF(M26="","",M26-TODAY()))</f>
        <v/>
      </c>
      <c r="W26" s="21">
        <f>IF(T26="11-결과등록완료","— 완료",IF(T26="01-미제출",IF(I26&lt;TODAY(),"계획서 제출 독촉 (OVERDUE)","계획서 제출 대기"),IF(T26="02-제출_미검토","검토 착수 필요",IF(T26="03-검토중","승인 처리 대기",IF(T26="04-검토중_보완","보완 → 재제출 독촉",IF(T26="05-계획서승인","부품 준비 현황 확인",IF(T26="06-BIW중단","BIW팀 확인 → 일정 재수립",IF(T26="07-미인수","협력사 인수 독촉",IF(T26="08-단품준비완료","시험 일정 확인",IF(T26="09-시험준비중","시험 모니터링",IF(T26="10-시험완료","성적서 등록 독촉",IF(T26="12-조건부승인","조건부 승인 판단","—"))))))))))))</f>
        <v/>
      </c>
    </row>
    <row r="27">
      <c r="A27" s="2" t="n">
        <v>23</v>
      </c>
      <c r="B27" s="16">
        <f>INDEX('Ref_PartTest'!A:A,24)</f>
        <v/>
      </c>
      <c r="C27" s="17">
        <f>INDEX('Ref_PartTest'!B:B,24)</f>
        <v/>
      </c>
      <c r="D27" s="16">
        <f>INDEX('Ref_PartTest'!C:C,24)</f>
        <v/>
      </c>
      <c r="E27" s="17">
        <f>INDEX('Ref_PartTest'!D:D,24)</f>
        <v/>
      </c>
      <c r="F27" s="16">
        <f>INDEX('Ref_PartTest'!E:E,24)</f>
        <v/>
      </c>
      <c r="G27" s="16">
        <f>INDEX('Ref_PartTest'!G:G,24)</f>
        <v/>
      </c>
      <c r="H27" s="16">
        <f>INDEX('Ref_PartTest'!L:L,24)</f>
        <v/>
      </c>
      <c r="I27" s="18">
        <f>'Ref_Schedule'!$B$5</f>
        <v/>
      </c>
      <c r="J27" s="18">
        <f>'Ref_Schedule'!$B$6</f>
        <v/>
      </c>
      <c r="K27" s="18">
        <f>'Ref_Schedule'!$B$7</f>
        <v/>
      </c>
      <c r="L27" s="18">
        <f>K27+INDEX('Ref_PartTest'!F:F,24)</f>
        <v/>
      </c>
      <c r="M27" s="18">
        <f>'Ref_Schedule'!$B$8</f>
        <v/>
      </c>
      <c r="N27" s="19" t="inlineStr">
        <is>
          <t>✓</t>
        </is>
      </c>
      <c r="O27" s="19" t="inlineStr">
        <is>
          <t>Approved</t>
        </is>
      </c>
      <c r="P27" s="19" t="inlineStr">
        <is>
          <t>✓</t>
        </is>
      </c>
      <c r="Q27" s="19" t="n"/>
      <c r="R27" s="19" t="n"/>
      <c r="S27" s="19" t="n"/>
      <c r="T27" s="8" t="inlineStr">
        <is>
          <t>07-미인수</t>
        </is>
      </c>
      <c r="U27" s="20">
        <f>IF(T27="11-결과등록완료",1,IF(T27="12-조건부승인",0.9,IF(T27="10-시험완료",0.85,IF(T27="09-시험준비중",0.55,IF(T27="08-단품준비완료",0.4,IF(T27="07-미인수",0.3,IF(T27="05-계획서승인",0.2,IF(T27="06-BIW중단",0.15,IF(T27="03-검토중",0.1,IF(T27="02-제출_미검토",0.05,IF(T27="04-검토중_보완",0.05,0)))))))))))</f>
        <v/>
      </c>
      <c r="V27" s="2">
        <f>IF(S27&lt;&gt;"","—",IF(M27="","",M27-TODAY()))</f>
        <v/>
      </c>
      <c r="W27" s="21">
        <f>IF(T27="11-결과등록완료","— 완료",IF(T27="01-미제출",IF(I27&lt;TODAY(),"계획서 제출 독촉 (OVERDUE)","계획서 제출 대기"),IF(T27="02-제출_미검토","검토 착수 필요",IF(T27="03-검토중","승인 처리 대기",IF(T27="04-검토중_보완","보완 → 재제출 독촉",IF(T27="05-계획서승인","부품 준비 현황 확인",IF(T27="06-BIW중단","BIW팀 확인 → 일정 재수립",IF(T27="07-미인수","협력사 인수 독촉",IF(T27="08-단품준비완료","시험 일정 확인",IF(T27="09-시험준비중","시험 모니터링",IF(T27="10-시험완료","성적서 등록 독촉",IF(T27="12-조건부승인","조건부 승인 판단","—"))))))))))))</f>
        <v/>
      </c>
    </row>
    <row r="28">
      <c r="A28" s="2" t="n">
        <v>24</v>
      </c>
      <c r="B28" s="16">
        <f>INDEX('Ref_PartTest'!A:A,25)</f>
        <v/>
      </c>
      <c r="C28" s="17">
        <f>INDEX('Ref_PartTest'!B:B,25)</f>
        <v/>
      </c>
      <c r="D28" s="16">
        <f>INDEX('Ref_PartTest'!C:C,25)</f>
        <v/>
      </c>
      <c r="E28" s="17">
        <f>INDEX('Ref_PartTest'!D:D,25)</f>
        <v/>
      </c>
      <c r="F28" s="16">
        <f>INDEX('Ref_PartTest'!E:E,25)</f>
        <v/>
      </c>
      <c r="G28" s="16">
        <f>INDEX('Ref_PartTest'!G:G,25)</f>
        <v/>
      </c>
      <c r="H28" s="16">
        <f>INDEX('Ref_PartTest'!L:L,25)</f>
        <v/>
      </c>
      <c r="I28" s="18">
        <f>'Ref_Schedule'!$B$5</f>
        <v/>
      </c>
      <c r="J28" s="18">
        <f>'Ref_Schedule'!$B$6</f>
        <v/>
      </c>
      <c r="K28" s="18">
        <f>'Ref_Schedule'!$B$7</f>
        <v/>
      </c>
      <c r="L28" s="18">
        <f>K28+INDEX('Ref_PartTest'!F:F,25)</f>
        <v/>
      </c>
      <c r="M28" s="18">
        <f>'Ref_Schedule'!$B$8</f>
        <v/>
      </c>
      <c r="N28" s="19" t="inlineStr">
        <is>
          <t>✓</t>
        </is>
      </c>
      <c r="O28" s="19" t="inlineStr">
        <is>
          <t>Approved</t>
        </is>
      </c>
      <c r="P28" s="19" t="inlineStr">
        <is>
          <t>✓</t>
        </is>
      </c>
      <c r="Q28" s="19" t="inlineStr">
        <is>
          <t>✓</t>
        </is>
      </c>
      <c r="R28" s="19" t="inlineStr">
        <is>
          <t>✓</t>
        </is>
      </c>
      <c r="S28" s="19" t="inlineStr">
        <is>
          <t>✓</t>
        </is>
      </c>
      <c r="T28" s="8" t="inlineStr">
        <is>
          <t>12-조건부승인</t>
        </is>
      </c>
      <c r="U28" s="20">
        <f>IF(T28="11-결과등록완료",1,IF(T28="12-조건부승인",0.9,IF(T28="10-시험완료",0.85,IF(T28="09-시험준비중",0.55,IF(T28="08-단품준비완료",0.4,IF(T28="07-미인수",0.3,IF(T28="05-계획서승인",0.2,IF(T28="06-BIW중단",0.15,IF(T28="03-검토중",0.1,IF(T28="02-제출_미검토",0.05,IF(T28="04-검토중_보완",0.05,0)))))))))))</f>
        <v/>
      </c>
      <c r="V28" s="2">
        <f>IF(S28&lt;&gt;"","—",IF(M28="","",M28-TODAY()))</f>
        <v/>
      </c>
      <c r="W28" s="21">
        <f>IF(T28="11-결과등록완료","— 완료",IF(T28="01-미제출",IF(I28&lt;TODAY(),"계획서 제출 독촉 (OVERDUE)","계획서 제출 대기"),IF(T28="02-제출_미검토","검토 착수 필요",IF(T28="03-검토중","승인 처리 대기",IF(T28="04-검토중_보완","보완 → 재제출 독촉",IF(T28="05-계획서승인","부품 준비 현황 확인",IF(T28="06-BIW중단","BIW팀 확인 → 일정 재수립",IF(T28="07-미인수","협력사 인수 독촉",IF(T28="08-단품준비완료","시험 일정 확인",IF(T28="09-시험준비중","시험 모니터링",IF(T28="10-시험완료","성적서 등록 독촉",IF(T28="12-조건부승인","조건부 승인 판단","—"))))))))))))</f>
        <v/>
      </c>
    </row>
    <row r="29">
      <c r="A29" s="2">
        <f>IF(C29="","",ROW()-4)</f>
        <v/>
      </c>
      <c r="B29" s="19" t="n"/>
      <c r="C29" s="19" t="n"/>
      <c r="D29" s="19" t="n"/>
      <c r="E29" s="19" t="n"/>
      <c r="F29" s="19" t="n"/>
      <c r="G29" s="19" t="n"/>
      <c r="H29" s="19" t="n"/>
      <c r="I29" s="18">
        <f>IF(C29="","",'Ref_Schedule'!$B$5)</f>
        <v/>
      </c>
      <c r="J29" s="18">
        <f>IF(C29="","",'Ref_Schedule'!$B$6)</f>
        <v/>
      </c>
      <c r="K29" s="18">
        <f>IF(C29="","",'Ref_Schedule'!$B$7)</f>
        <v/>
      </c>
      <c r="L29" s="18">
        <f>IF(C29="","",K29+14)</f>
        <v/>
      </c>
      <c r="M29" s="18">
        <f>IF(C29="","",'Ref_Schedule'!$B$8)</f>
        <v/>
      </c>
      <c r="N29" s="19" t="n"/>
      <c r="O29" s="19" t="n"/>
      <c r="P29" s="19" t="n"/>
      <c r="Q29" s="19" t="n"/>
      <c r="R29" s="19" t="n"/>
      <c r="S29" s="19" t="n"/>
      <c r="T29" s="8">
        <f>IF(C29="","",IF(AND(S29&lt;&gt;"",R29&lt;&gt;""),"11-결과등록완료",IF(AND(R29&lt;&gt;"",S29=""),"10-시험완료",IF(AND(Q29&lt;&gt;"",R29=""),"09-시험준비중",IF(AND(P29&lt;&gt;"",Q29=""),"08-단품준비완료",IF(O29="Approved","05-계획서승인",IF(O29="Revision Needed","04-검토중_보완",IF(O29="Under Review","03-검토중",IF(AND(N29&lt;&gt;"",O29=""),"02-제출_미검토","01-미제출")))))))))</f>
        <v/>
      </c>
      <c r="U29" s="20">
        <f>IF(C29="","",IF(T29="11-결과등록완료",1,IF(T29="12-조건부승인",0.9,IF(T29="10-시험완료",0.85,IF(T29="09-시험준비중",0.55,IF(T29="08-단품준비완료",0.4,IF(T29="07-미인수",0.3,IF(T29="05-계획서승인",0.2,IF(T29="06-BIW중단",0.15,IF(T29="03-검토중",0.1,IF(T29="02-제출_미검토",0.05,IF(T29="04-검토중_보완",0.05,0))))))))))))</f>
        <v/>
      </c>
      <c r="V29" s="2">
        <f>IF(C29="","",IF(S29&lt;&gt;"","—",IF(M29="","",M29-TODAY())))</f>
        <v/>
      </c>
      <c r="W29" s="21">
        <f>IF(C29="","",IF(T29="11-결과등록완료","— 완료",IF(T29="01-미제출",IF(I29&lt;TODAY(),"계획서 제출 독촉","계획서 제출 대기"),IF(T29="02-제출_미검토","검토 착수 필요",IF(T29="03-검토중","승인 처리 대기",IF(T29="04-검토중_보완","보완 → 재제출 독촉",IF(T29="05-계획서승인","부품 준비 현황 확인",IF(T29="06-BIW중단","BIW팀 확인",IF(T29="07-미인수","협력사 인수 독촉",IF(T29="08-단품준비완료","시험 일정 확인",IF(T29="09-시험준비중","시험 모니터링",IF(T29="10-시험완료","성적서 등록 독촉",IF(T29="12-조건부승인","조건부 승인 판단","—")))))))))))))</f>
        <v/>
      </c>
    </row>
    <row r="30">
      <c r="A30" s="2">
        <f>IF(C30="","",ROW()-4)</f>
        <v/>
      </c>
      <c r="B30" s="19" t="n"/>
      <c r="C30" s="19" t="n"/>
      <c r="D30" s="19" t="n"/>
      <c r="E30" s="19" t="n"/>
      <c r="F30" s="19" t="n"/>
      <c r="G30" s="19" t="n"/>
      <c r="H30" s="19" t="n"/>
      <c r="I30" s="18">
        <f>IF(C30="","",'Ref_Schedule'!$B$5)</f>
        <v/>
      </c>
      <c r="J30" s="18">
        <f>IF(C30="","",'Ref_Schedule'!$B$6)</f>
        <v/>
      </c>
      <c r="K30" s="18">
        <f>IF(C30="","",'Ref_Schedule'!$B$7)</f>
        <v/>
      </c>
      <c r="L30" s="18">
        <f>IF(C30="","",K30+14)</f>
        <v/>
      </c>
      <c r="M30" s="18">
        <f>IF(C30="","",'Ref_Schedule'!$B$8)</f>
        <v/>
      </c>
      <c r="N30" s="19" t="n"/>
      <c r="O30" s="19" t="n"/>
      <c r="P30" s="19" t="n"/>
      <c r="Q30" s="19" t="n"/>
      <c r="R30" s="19" t="n"/>
      <c r="S30" s="19" t="n"/>
      <c r="T30" s="8">
        <f>IF(C30="","",IF(AND(S30&lt;&gt;"",R30&lt;&gt;""),"11-결과등록완료",IF(AND(R30&lt;&gt;"",S30=""),"10-시험완료",IF(AND(Q30&lt;&gt;"",R30=""),"09-시험준비중",IF(AND(P30&lt;&gt;"",Q30=""),"08-단품준비완료",IF(O30="Approved","05-계획서승인",IF(O30="Revision Needed","04-검토중_보완",IF(O30="Under Review","03-검토중",IF(AND(N30&lt;&gt;"",O30=""),"02-제출_미검토","01-미제출")))))))))</f>
        <v/>
      </c>
      <c r="U30" s="20">
        <f>IF(C30="","",IF(T30="11-결과등록완료",1,IF(T30="12-조건부승인",0.9,IF(T30="10-시험완료",0.85,IF(T30="09-시험준비중",0.55,IF(T30="08-단품준비완료",0.4,IF(T30="07-미인수",0.3,IF(T30="05-계획서승인",0.2,IF(T30="06-BIW중단",0.15,IF(T30="03-검토중",0.1,IF(T30="02-제출_미검토",0.05,IF(T30="04-검토중_보완",0.05,0))))))))))))</f>
        <v/>
      </c>
      <c r="V30" s="2">
        <f>IF(C30="","",IF(S30&lt;&gt;"","—",IF(M30="","",M30-TODAY())))</f>
        <v/>
      </c>
      <c r="W30" s="21">
        <f>IF(C30="","",IF(T30="11-결과등록완료","— 완료",IF(T30="01-미제출",IF(I30&lt;TODAY(),"계획서 제출 독촉","계획서 제출 대기"),IF(T30="02-제출_미검토","검토 착수 필요",IF(T30="03-검토중","승인 처리 대기",IF(T30="04-검토중_보완","보완 → 재제출 독촉",IF(T30="05-계획서승인","부품 준비 현황 확인",IF(T30="06-BIW중단","BIW팀 확인",IF(T30="07-미인수","협력사 인수 독촉",IF(T30="08-단품준비완료","시험 일정 확인",IF(T30="09-시험준비중","시험 모니터링",IF(T30="10-시험완료","성적서 등록 독촉",IF(T30="12-조건부승인","조건부 승인 판단","—")))))))))))))</f>
        <v/>
      </c>
    </row>
    <row r="31">
      <c r="A31" s="2">
        <f>IF(C31="","",ROW()-4)</f>
        <v/>
      </c>
      <c r="B31" s="19" t="n"/>
      <c r="C31" s="19" t="n"/>
      <c r="D31" s="19" t="n"/>
      <c r="E31" s="19" t="n"/>
      <c r="F31" s="19" t="n"/>
      <c r="G31" s="19" t="n"/>
      <c r="H31" s="19" t="n"/>
      <c r="I31" s="18">
        <f>IF(C31="","",'Ref_Schedule'!$B$5)</f>
        <v/>
      </c>
      <c r="J31" s="18">
        <f>IF(C31="","",'Ref_Schedule'!$B$6)</f>
        <v/>
      </c>
      <c r="K31" s="18">
        <f>IF(C31="","",'Ref_Schedule'!$B$7)</f>
        <v/>
      </c>
      <c r="L31" s="18">
        <f>IF(C31="","",K31+14)</f>
        <v/>
      </c>
      <c r="M31" s="18">
        <f>IF(C31="","",'Ref_Schedule'!$B$8)</f>
        <v/>
      </c>
      <c r="N31" s="19" t="n"/>
      <c r="O31" s="19" t="n"/>
      <c r="P31" s="19" t="n"/>
      <c r="Q31" s="19" t="n"/>
      <c r="R31" s="19" t="n"/>
      <c r="S31" s="19" t="n"/>
      <c r="T31" s="8">
        <f>IF(C31="","",IF(AND(S31&lt;&gt;"",R31&lt;&gt;""),"11-결과등록완료",IF(AND(R31&lt;&gt;"",S31=""),"10-시험완료",IF(AND(Q31&lt;&gt;"",R31=""),"09-시험준비중",IF(AND(P31&lt;&gt;"",Q31=""),"08-단품준비완료",IF(O31="Approved","05-계획서승인",IF(O31="Revision Needed","04-검토중_보완",IF(O31="Under Review","03-검토중",IF(AND(N31&lt;&gt;"",O31=""),"02-제출_미검토","01-미제출")))))))))</f>
        <v/>
      </c>
      <c r="U31" s="20">
        <f>IF(C31="","",IF(T31="11-결과등록완료",1,IF(T31="12-조건부승인",0.9,IF(T31="10-시험완료",0.85,IF(T31="09-시험준비중",0.55,IF(T31="08-단품준비완료",0.4,IF(T31="07-미인수",0.3,IF(T31="05-계획서승인",0.2,IF(T31="06-BIW중단",0.15,IF(T31="03-검토중",0.1,IF(T31="02-제출_미검토",0.05,IF(T31="04-검토중_보완",0.05,0))))))))))))</f>
        <v/>
      </c>
      <c r="V31" s="2">
        <f>IF(C31="","",IF(S31&lt;&gt;"","—",IF(M31="","",M31-TODAY())))</f>
        <v/>
      </c>
      <c r="W31" s="21">
        <f>IF(C31="","",IF(T31="11-결과등록완료","— 완료",IF(T31="01-미제출",IF(I31&lt;TODAY(),"계획서 제출 독촉","계획서 제출 대기"),IF(T31="02-제출_미검토","검토 착수 필요",IF(T31="03-검토중","승인 처리 대기",IF(T31="04-검토중_보완","보완 → 재제출 독촉",IF(T31="05-계획서승인","부품 준비 현황 확인",IF(T31="06-BIW중단","BIW팀 확인",IF(T31="07-미인수","협력사 인수 독촉",IF(T31="08-단품준비완료","시험 일정 확인",IF(T31="09-시험준비중","시험 모니터링",IF(T31="10-시험완료","성적서 등록 독촉",IF(T31="12-조건부승인","조건부 승인 판단","—")))))))))))))</f>
        <v/>
      </c>
    </row>
    <row r="32">
      <c r="A32" s="2">
        <f>IF(C32="","",ROW()-4)</f>
        <v/>
      </c>
      <c r="B32" s="19" t="n"/>
      <c r="C32" s="19" t="n"/>
      <c r="D32" s="19" t="n"/>
      <c r="E32" s="19" t="n"/>
      <c r="F32" s="19" t="n"/>
      <c r="G32" s="19" t="n"/>
      <c r="H32" s="19" t="n"/>
      <c r="I32" s="18">
        <f>IF(C32="","",'Ref_Schedule'!$B$5)</f>
        <v/>
      </c>
      <c r="J32" s="18">
        <f>IF(C32="","",'Ref_Schedule'!$B$6)</f>
        <v/>
      </c>
      <c r="K32" s="18">
        <f>IF(C32="","",'Ref_Schedule'!$B$7)</f>
        <v/>
      </c>
      <c r="L32" s="18">
        <f>IF(C32="","",K32+14)</f>
        <v/>
      </c>
      <c r="M32" s="18">
        <f>IF(C32="","",'Ref_Schedule'!$B$8)</f>
        <v/>
      </c>
      <c r="N32" s="19" t="n"/>
      <c r="O32" s="19" t="n"/>
      <c r="P32" s="19" t="n"/>
      <c r="Q32" s="19" t="n"/>
      <c r="R32" s="19" t="n"/>
      <c r="S32" s="19" t="n"/>
      <c r="T32" s="8">
        <f>IF(C32="","",IF(AND(S32&lt;&gt;"",R32&lt;&gt;""),"11-결과등록완료",IF(AND(R32&lt;&gt;"",S32=""),"10-시험완료",IF(AND(Q32&lt;&gt;"",R32=""),"09-시험준비중",IF(AND(P32&lt;&gt;"",Q32=""),"08-단품준비완료",IF(O32="Approved","05-계획서승인",IF(O32="Revision Needed","04-검토중_보완",IF(O32="Under Review","03-검토중",IF(AND(N32&lt;&gt;"",O32=""),"02-제출_미검토","01-미제출")))))))))</f>
        <v/>
      </c>
      <c r="U32" s="20">
        <f>IF(C32="","",IF(T32="11-결과등록완료",1,IF(T32="12-조건부승인",0.9,IF(T32="10-시험완료",0.85,IF(T32="09-시험준비중",0.55,IF(T32="08-단품준비완료",0.4,IF(T32="07-미인수",0.3,IF(T32="05-계획서승인",0.2,IF(T32="06-BIW중단",0.15,IF(T32="03-검토중",0.1,IF(T32="02-제출_미검토",0.05,IF(T32="04-검토중_보완",0.05,0))))))))))))</f>
        <v/>
      </c>
      <c r="V32" s="2">
        <f>IF(C32="","",IF(S32&lt;&gt;"","—",IF(M32="","",M32-TODAY())))</f>
        <v/>
      </c>
      <c r="W32" s="21">
        <f>IF(C32="","",IF(T32="11-결과등록완료","— 완료",IF(T32="01-미제출",IF(I32&lt;TODAY(),"계획서 제출 독촉","계획서 제출 대기"),IF(T32="02-제출_미검토","검토 착수 필요",IF(T32="03-검토중","승인 처리 대기",IF(T32="04-검토중_보완","보완 → 재제출 독촉",IF(T32="05-계획서승인","부품 준비 현황 확인",IF(T32="06-BIW중단","BIW팀 확인",IF(T32="07-미인수","협력사 인수 독촉",IF(T32="08-단품준비완료","시험 일정 확인",IF(T32="09-시험준비중","시험 모니터링",IF(T32="10-시험완료","성적서 등록 독촉",IF(T32="12-조건부승인","조건부 승인 판단","—")))))))))))))</f>
        <v/>
      </c>
    </row>
    <row r="33">
      <c r="A33" s="2">
        <f>IF(C33="","",ROW()-4)</f>
        <v/>
      </c>
      <c r="B33" s="19" t="n"/>
      <c r="C33" s="19" t="n"/>
      <c r="D33" s="19" t="n"/>
      <c r="E33" s="19" t="n"/>
      <c r="F33" s="19" t="n"/>
      <c r="G33" s="19" t="n"/>
      <c r="H33" s="19" t="n"/>
      <c r="I33" s="18">
        <f>IF(C33="","",'Ref_Schedule'!$B$5)</f>
        <v/>
      </c>
      <c r="J33" s="18">
        <f>IF(C33="","",'Ref_Schedule'!$B$6)</f>
        <v/>
      </c>
      <c r="K33" s="18">
        <f>IF(C33="","",'Ref_Schedule'!$B$7)</f>
        <v/>
      </c>
      <c r="L33" s="18">
        <f>IF(C33="","",K33+14)</f>
        <v/>
      </c>
      <c r="M33" s="18">
        <f>IF(C33="","",'Ref_Schedule'!$B$8)</f>
        <v/>
      </c>
      <c r="N33" s="19" t="n"/>
      <c r="O33" s="19" t="n"/>
      <c r="P33" s="19" t="n"/>
      <c r="Q33" s="19" t="n"/>
      <c r="R33" s="19" t="n"/>
      <c r="S33" s="19" t="n"/>
      <c r="T33" s="8">
        <f>IF(C33="","",IF(AND(S33&lt;&gt;"",R33&lt;&gt;""),"11-결과등록완료",IF(AND(R33&lt;&gt;"",S33=""),"10-시험완료",IF(AND(Q33&lt;&gt;"",R33=""),"09-시험준비중",IF(AND(P33&lt;&gt;"",Q33=""),"08-단품준비완료",IF(O33="Approved","05-계획서승인",IF(O33="Revision Needed","04-검토중_보완",IF(O33="Under Review","03-검토중",IF(AND(N33&lt;&gt;"",O33=""),"02-제출_미검토","01-미제출")))))))))</f>
        <v/>
      </c>
      <c r="U33" s="20">
        <f>IF(C33="","",IF(T33="11-결과등록완료",1,IF(T33="12-조건부승인",0.9,IF(T33="10-시험완료",0.85,IF(T33="09-시험준비중",0.55,IF(T33="08-단품준비완료",0.4,IF(T33="07-미인수",0.3,IF(T33="05-계획서승인",0.2,IF(T33="06-BIW중단",0.15,IF(T33="03-검토중",0.1,IF(T33="02-제출_미검토",0.05,IF(T33="04-검토중_보완",0.05,0))))))))))))</f>
        <v/>
      </c>
      <c r="V33" s="2">
        <f>IF(C33="","",IF(S33&lt;&gt;"","—",IF(M33="","",M33-TODAY())))</f>
        <v/>
      </c>
      <c r="W33" s="21">
        <f>IF(C33="","",IF(T33="11-결과등록완료","— 완료",IF(T33="01-미제출",IF(I33&lt;TODAY(),"계획서 제출 독촉","계획서 제출 대기"),IF(T33="02-제출_미검토","검토 착수 필요",IF(T33="03-검토중","승인 처리 대기",IF(T33="04-검토중_보완","보완 → 재제출 독촉",IF(T33="05-계획서승인","부품 준비 현황 확인",IF(T33="06-BIW중단","BIW팀 확인",IF(T33="07-미인수","협력사 인수 독촉",IF(T33="08-단품준비완료","시험 일정 확인",IF(T33="09-시험준비중","시험 모니터링",IF(T33="10-시험완료","성적서 등록 독촉",IF(T33="12-조건부승인","조건부 승인 판단","—")))))))))))))</f>
        <v/>
      </c>
    </row>
    <row r="34">
      <c r="A34" s="2">
        <f>IF(C34="","",ROW()-4)</f>
        <v/>
      </c>
      <c r="B34" s="19" t="n"/>
      <c r="C34" s="19" t="n"/>
      <c r="D34" s="19" t="n"/>
      <c r="E34" s="19" t="n"/>
      <c r="F34" s="19" t="n"/>
      <c r="G34" s="19" t="n"/>
      <c r="H34" s="19" t="n"/>
      <c r="I34" s="18">
        <f>IF(C34="","",'Ref_Schedule'!$B$5)</f>
        <v/>
      </c>
      <c r="J34" s="18">
        <f>IF(C34="","",'Ref_Schedule'!$B$6)</f>
        <v/>
      </c>
      <c r="K34" s="18">
        <f>IF(C34="","",'Ref_Schedule'!$B$7)</f>
        <v/>
      </c>
      <c r="L34" s="18">
        <f>IF(C34="","",K34+14)</f>
        <v/>
      </c>
      <c r="M34" s="18">
        <f>IF(C34="","",'Ref_Schedule'!$B$8)</f>
        <v/>
      </c>
      <c r="N34" s="19" t="n"/>
      <c r="O34" s="19" t="n"/>
      <c r="P34" s="19" t="n"/>
      <c r="Q34" s="19" t="n"/>
      <c r="R34" s="19" t="n"/>
      <c r="S34" s="19" t="n"/>
      <c r="T34" s="8">
        <f>IF(C34="","",IF(AND(S34&lt;&gt;"",R34&lt;&gt;""),"11-결과등록완료",IF(AND(R34&lt;&gt;"",S34=""),"10-시험완료",IF(AND(Q34&lt;&gt;"",R34=""),"09-시험준비중",IF(AND(P34&lt;&gt;"",Q34=""),"08-단품준비완료",IF(O34="Approved","05-계획서승인",IF(O34="Revision Needed","04-검토중_보완",IF(O34="Under Review","03-검토중",IF(AND(N34&lt;&gt;"",O34=""),"02-제출_미검토","01-미제출")))))))))</f>
        <v/>
      </c>
      <c r="U34" s="20">
        <f>IF(C34="","",IF(T34="11-결과등록완료",1,IF(T34="12-조건부승인",0.9,IF(T34="10-시험완료",0.85,IF(T34="09-시험준비중",0.55,IF(T34="08-단품준비완료",0.4,IF(T34="07-미인수",0.3,IF(T34="05-계획서승인",0.2,IF(T34="06-BIW중단",0.15,IF(T34="03-검토중",0.1,IF(T34="02-제출_미검토",0.05,IF(T34="04-검토중_보완",0.05,0))))))))))))</f>
        <v/>
      </c>
      <c r="V34" s="2">
        <f>IF(C34="","",IF(S34&lt;&gt;"","—",IF(M34="","",M34-TODAY())))</f>
        <v/>
      </c>
      <c r="W34" s="21">
        <f>IF(C34="","",IF(T34="11-결과등록완료","— 완료",IF(T34="01-미제출",IF(I34&lt;TODAY(),"계획서 제출 독촉","계획서 제출 대기"),IF(T34="02-제출_미검토","검토 착수 필요",IF(T34="03-검토중","승인 처리 대기",IF(T34="04-검토중_보완","보완 → 재제출 독촉",IF(T34="05-계획서승인","부품 준비 현황 확인",IF(T34="06-BIW중단","BIW팀 확인",IF(T34="07-미인수","협력사 인수 독촉",IF(T34="08-단품준비완료","시험 일정 확인",IF(T34="09-시험준비중","시험 모니터링",IF(T34="10-시험완료","성적서 등록 독촉",IF(T34="12-조건부승인","조건부 승인 판단","—")))))))))))))</f>
        <v/>
      </c>
    </row>
    <row r="35">
      <c r="A35" s="2">
        <f>IF(C35="","",ROW()-4)</f>
        <v/>
      </c>
      <c r="B35" s="19" t="n"/>
      <c r="C35" s="19" t="n"/>
      <c r="D35" s="19" t="n"/>
      <c r="E35" s="19" t="n"/>
      <c r="F35" s="19" t="n"/>
      <c r="G35" s="19" t="n"/>
      <c r="H35" s="19" t="n"/>
      <c r="I35" s="18">
        <f>IF(C35="","",'Ref_Schedule'!$B$5)</f>
        <v/>
      </c>
      <c r="J35" s="18">
        <f>IF(C35="","",'Ref_Schedule'!$B$6)</f>
        <v/>
      </c>
      <c r="K35" s="18">
        <f>IF(C35="","",'Ref_Schedule'!$B$7)</f>
        <v/>
      </c>
      <c r="L35" s="18">
        <f>IF(C35="","",K35+14)</f>
        <v/>
      </c>
      <c r="M35" s="18">
        <f>IF(C35="","",'Ref_Schedule'!$B$8)</f>
        <v/>
      </c>
      <c r="N35" s="19" t="n"/>
      <c r="O35" s="19" t="n"/>
      <c r="P35" s="19" t="n"/>
      <c r="Q35" s="19" t="n"/>
      <c r="R35" s="19" t="n"/>
      <c r="S35" s="19" t="n"/>
      <c r="T35" s="8">
        <f>IF(C35="","",IF(AND(S35&lt;&gt;"",R35&lt;&gt;""),"11-결과등록완료",IF(AND(R35&lt;&gt;"",S35=""),"10-시험완료",IF(AND(Q35&lt;&gt;"",R35=""),"09-시험준비중",IF(AND(P35&lt;&gt;"",Q35=""),"08-단품준비완료",IF(O35="Approved","05-계획서승인",IF(O35="Revision Needed","04-검토중_보완",IF(O35="Under Review","03-검토중",IF(AND(N35&lt;&gt;"",O35=""),"02-제출_미검토","01-미제출")))))))))</f>
        <v/>
      </c>
      <c r="U35" s="20">
        <f>IF(C35="","",IF(T35="11-결과등록완료",1,IF(T35="12-조건부승인",0.9,IF(T35="10-시험완료",0.85,IF(T35="09-시험준비중",0.55,IF(T35="08-단품준비완료",0.4,IF(T35="07-미인수",0.3,IF(T35="05-계획서승인",0.2,IF(T35="06-BIW중단",0.15,IF(T35="03-검토중",0.1,IF(T35="02-제출_미검토",0.05,IF(T35="04-검토중_보완",0.05,0))))))))))))</f>
        <v/>
      </c>
      <c r="V35" s="2">
        <f>IF(C35="","",IF(S35&lt;&gt;"","—",IF(M35="","",M35-TODAY())))</f>
        <v/>
      </c>
      <c r="W35" s="21">
        <f>IF(C35="","",IF(T35="11-결과등록완료","— 완료",IF(T35="01-미제출",IF(I35&lt;TODAY(),"계획서 제출 독촉","계획서 제출 대기"),IF(T35="02-제출_미검토","검토 착수 필요",IF(T35="03-검토중","승인 처리 대기",IF(T35="04-검토중_보완","보완 → 재제출 독촉",IF(T35="05-계획서승인","부품 준비 현황 확인",IF(T35="06-BIW중단","BIW팀 확인",IF(T35="07-미인수","협력사 인수 독촉",IF(T35="08-단품준비완료","시험 일정 확인",IF(T35="09-시험준비중","시험 모니터링",IF(T35="10-시험완료","성적서 등록 독촉",IF(T35="12-조건부승인","조건부 승인 판단","—")))))))))))))</f>
        <v/>
      </c>
    </row>
    <row r="36">
      <c r="A36" s="2">
        <f>IF(C36="","",ROW()-4)</f>
        <v/>
      </c>
      <c r="B36" s="19" t="n"/>
      <c r="C36" s="19" t="n"/>
      <c r="D36" s="19" t="n"/>
      <c r="E36" s="19" t="n"/>
      <c r="F36" s="19" t="n"/>
      <c r="G36" s="19" t="n"/>
      <c r="H36" s="19" t="n"/>
      <c r="I36" s="18">
        <f>IF(C36="","",'Ref_Schedule'!$B$5)</f>
        <v/>
      </c>
      <c r="J36" s="18">
        <f>IF(C36="","",'Ref_Schedule'!$B$6)</f>
        <v/>
      </c>
      <c r="K36" s="18">
        <f>IF(C36="","",'Ref_Schedule'!$B$7)</f>
        <v/>
      </c>
      <c r="L36" s="18">
        <f>IF(C36="","",K36+14)</f>
        <v/>
      </c>
      <c r="M36" s="18">
        <f>IF(C36="","",'Ref_Schedule'!$B$8)</f>
        <v/>
      </c>
      <c r="N36" s="19" t="n"/>
      <c r="O36" s="19" t="n"/>
      <c r="P36" s="19" t="n"/>
      <c r="Q36" s="19" t="n"/>
      <c r="R36" s="19" t="n"/>
      <c r="S36" s="19" t="n"/>
      <c r="T36" s="8">
        <f>IF(C36="","",IF(AND(S36&lt;&gt;"",R36&lt;&gt;""),"11-결과등록완료",IF(AND(R36&lt;&gt;"",S36=""),"10-시험완료",IF(AND(Q36&lt;&gt;"",R36=""),"09-시험준비중",IF(AND(P36&lt;&gt;"",Q36=""),"08-단품준비완료",IF(O36="Approved","05-계획서승인",IF(O36="Revision Needed","04-검토중_보완",IF(O36="Under Review","03-검토중",IF(AND(N36&lt;&gt;"",O36=""),"02-제출_미검토","01-미제출")))))))))</f>
        <v/>
      </c>
      <c r="U36" s="20">
        <f>IF(C36="","",IF(T36="11-결과등록완료",1,IF(T36="12-조건부승인",0.9,IF(T36="10-시험완료",0.85,IF(T36="09-시험준비중",0.55,IF(T36="08-단품준비완료",0.4,IF(T36="07-미인수",0.3,IF(T36="05-계획서승인",0.2,IF(T36="06-BIW중단",0.15,IF(T36="03-검토중",0.1,IF(T36="02-제출_미검토",0.05,IF(T36="04-검토중_보완",0.05,0))))))))))))</f>
        <v/>
      </c>
      <c r="V36" s="2">
        <f>IF(C36="","",IF(S36&lt;&gt;"","—",IF(M36="","",M36-TODAY())))</f>
        <v/>
      </c>
      <c r="W36" s="21">
        <f>IF(C36="","",IF(T36="11-결과등록완료","— 완료",IF(T36="01-미제출",IF(I36&lt;TODAY(),"계획서 제출 독촉","계획서 제출 대기"),IF(T36="02-제출_미검토","검토 착수 필요",IF(T36="03-검토중","승인 처리 대기",IF(T36="04-검토중_보완","보완 → 재제출 독촉",IF(T36="05-계획서승인","부품 준비 현황 확인",IF(T36="06-BIW중단","BIW팀 확인",IF(T36="07-미인수","협력사 인수 독촉",IF(T36="08-단품준비완료","시험 일정 확인",IF(T36="09-시험준비중","시험 모니터링",IF(T36="10-시험완료","성적서 등록 독촉",IF(T36="12-조건부승인","조건부 승인 판단","—")))))))))))))</f>
        <v/>
      </c>
    </row>
    <row r="37">
      <c r="A37" s="2">
        <f>IF(C37="","",ROW()-4)</f>
        <v/>
      </c>
      <c r="B37" s="19" t="n"/>
      <c r="C37" s="19" t="n"/>
      <c r="D37" s="19" t="n"/>
      <c r="E37" s="19" t="n"/>
      <c r="F37" s="19" t="n"/>
      <c r="G37" s="19" t="n"/>
      <c r="H37" s="19" t="n"/>
      <c r="I37" s="18">
        <f>IF(C37="","",'Ref_Schedule'!$B$5)</f>
        <v/>
      </c>
      <c r="J37" s="18">
        <f>IF(C37="","",'Ref_Schedule'!$B$6)</f>
        <v/>
      </c>
      <c r="K37" s="18">
        <f>IF(C37="","",'Ref_Schedule'!$B$7)</f>
        <v/>
      </c>
      <c r="L37" s="18">
        <f>IF(C37="","",K37+14)</f>
        <v/>
      </c>
      <c r="M37" s="18">
        <f>IF(C37="","",'Ref_Schedule'!$B$8)</f>
        <v/>
      </c>
      <c r="N37" s="19" t="n"/>
      <c r="O37" s="19" t="n"/>
      <c r="P37" s="19" t="n"/>
      <c r="Q37" s="19" t="n"/>
      <c r="R37" s="19" t="n"/>
      <c r="S37" s="19" t="n"/>
      <c r="T37" s="8">
        <f>IF(C37="","",IF(AND(S37&lt;&gt;"",R37&lt;&gt;""),"11-결과등록완료",IF(AND(R37&lt;&gt;"",S37=""),"10-시험완료",IF(AND(Q37&lt;&gt;"",R37=""),"09-시험준비중",IF(AND(P37&lt;&gt;"",Q37=""),"08-단품준비완료",IF(O37="Approved","05-계획서승인",IF(O37="Revision Needed","04-검토중_보완",IF(O37="Under Review","03-검토중",IF(AND(N37&lt;&gt;"",O37=""),"02-제출_미검토","01-미제출")))))))))</f>
        <v/>
      </c>
      <c r="U37" s="20">
        <f>IF(C37="","",IF(T37="11-결과등록완료",1,IF(T37="12-조건부승인",0.9,IF(T37="10-시험완료",0.85,IF(T37="09-시험준비중",0.55,IF(T37="08-단품준비완료",0.4,IF(T37="07-미인수",0.3,IF(T37="05-계획서승인",0.2,IF(T37="06-BIW중단",0.15,IF(T37="03-검토중",0.1,IF(T37="02-제출_미검토",0.05,IF(T37="04-검토중_보완",0.05,0))))))))))))</f>
        <v/>
      </c>
      <c r="V37" s="2">
        <f>IF(C37="","",IF(S37&lt;&gt;"","—",IF(M37="","",M37-TODAY())))</f>
        <v/>
      </c>
      <c r="W37" s="21">
        <f>IF(C37="","",IF(T37="11-결과등록완료","— 완료",IF(T37="01-미제출",IF(I37&lt;TODAY(),"계획서 제출 독촉","계획서 제출 대기"),IF(T37="02-제출_미검토","검토 착수 필요",IF(T37="03-검토중","승인 처리 대기",IF(T37="04-검토중_보완","보완 → 재제출 독촉",IF(T37="05-계획서승인","부품 준비 현황 확인",IF(T37="06-BIW중단","BIW팀 확인",IF(T37="07-미인수","협력사 인수 독촉",IF(T37="08-단품준비완료","시험 일정 확인",IF(T37="09-시험준비중","시험 모니터링",IF(T37="10-시험완료","성적서 등록 독촉",IF(T37="12-조건부승인","조건부 승인 판단","—")))))))))))))</f>
        <v/>
      </c>
    </row>
    <row r="38">
      <c r="A38" s="2">
        <f>IF(C38="","",ROW()-4)</f>
        <v/>
      </c>
      <c r="B38" s="19" t="n"/>
      <c r="C38" s="19" t="n"/>
      <c r="D38" s="19" t="n"/>
      <c r="E38" s="19" t="n"/>
      <c r="F38" s="19" t="n"/>
      <c r="G38" s="19" t="n"/>
      <c r="H38" s="19" t="n"/>
      <c r="I38" s="18">
        <f>IF(C38="","",'Ref_Schedule'!$B$5)</f>
        <v/>
      </c>
      <c r="J38" s="18">
        <f>IF(C38="","",'Ref_Schedule'!$B$6)</f>
        <v/>
      </c>
      <c r="K38" s="18">
        <f>IF(C38="","",'Ref_Schedule'!$B$7)</f>
        <v/>
      </c>
      <c r="L38" s="18">
        <f>IF(C38="","",K38+14)</f>
        <v/>
      </c>
      <c r="M38" s="18">
        <f>IF(C38="","",'Ref_Schedule'!$B$8)</f>
        <v/>
      </c>
      <c r="N38" s="19" t="n"/>
      <c r="O38" s="19" t="n"/>
      <c r="P38" s="19" t="n"/>
      <c r="Q38" s="19" t="n"/>
      <c r="R38" s="19" t="n"/>
      <c r="S38" s="19" t="n"/>
      <c r="T38" s="8">
        <f>IF(C38="","",IF(AND(S38&lt;&gt;"",R38&lt;&gt;""),"11-결과등록완료",IF(AND(R38&lt;&gt;"",S38=""),"10-시험완료",IF(AND(Q38&lt;&gt;"",R38=""),"09-시험준비중",IF(AND(P38&lt;&gt;"",Q38=""),"08-단품준비완료",IF(O38="Approved","05-계획서승인",IF(O38="Revision Needed","04-검토중_보완",IF(O38="Under Review","03-검토중",IF(AND(N38&lt;&gt;"",O38=""),"02-제출_미검토","01-미제출")))))))))</f>
        <v/>
      </c>
      <c r="U38" s="20">
        <f>IF(C38="","",IF(T38="11-결과등록완료",1,IF(T38="12-조건부승인",0.9,IF(T38="10-시험완료",0.85,IF(T38="09-시험준비중",0.55,IF(T38="08-단품준비완료",0.4,IF(T38="07-미인수",0.3,IF(T38="05-계획서승인",0.2,IF(T38="06-BIW중단",0.15,IF(T38="03-검토중",0.1,IF(T38="02-제출_미검토",0.05,IF(T38="04-검토중_보완",0.05,0))))))))))))</f>
        <v/>
      </c>
      <c r="V38" s="2">
        <f>IF(C38="","",IF(S38&lt;&gt;"","—",IF(M38="","",M38-TODAY())))</f>
        <v/>
      </c>
      <c r="W38" s="21">
        <f>IF(C38="","",IF(T38="11-결과등록완료","— 완료",IF(T38="01-미제출",IF(I38&lt;TODAY(),"계획서 제출 독촉","계획서 제출 대기"),IF(T38="02-제출_미검토","검토 착수 필요",IF(T38="03-검토중","승인 처리 대기",IF(T38="04-검토중_보완","보완 → 재제출 독촉",IF(T38="05-계획서승인","부품 준비 현황 확인",IF(T38="06-BIW중단","BIW팀 확인",IF(T38="07-미인수","협력사 인수 독촉",IF(T38="08-단품준비완료","시험 일정 확인",IF(T38="09-시험준비중","시험 모니터링",IF(T38="10-시험완료","성적서 등록 독촉",IF(T38="12-조건부승인","조건부 승인 판단","—")))))))))))))</f>
        <v/>
      </c>
    </row>
    <row r="39">
      <c r="A39" s="2">
        <f>IF(C39="","",ROW()-4)</f>
        <v/>
      </c>
      <c r="B39" s="19" t="n"/>
      <c r="C39" s="19" t="n"/>
      <c r="D39" s="19" t="n"/>
      <c r="E39" s="19" t="n"/>
      <c r="F39" s="19" t="n"/>
      <c r="G39" s="19" t="n"/>
      <c r="H39" s="19" t="n"/>
      <c r="I39" s="18">
        <f>IF(C39="","",'Ref_Schedule'!$B$5)</f>
        <v/>
      </c>
      <c r="J39" s="18">
        <f>IF(C39="","",'Ref_Schedule'!$B$6)</f>
        <v/>
      </c>
      <c r="K39" s="18">
        <f>IF(C39="","",'Ref_Schedule'!$B$7)</f>
        <v/>
      </c>
      <c r="L39" s="18">
        <f>IF(C39="","",K39+14)</f>
        <v/>
      </c>
      <c r="M39" s="18">
        <f>IF(C39="","",'Ref_Schedule'!$B$8)</f>
        <v/>
      </c>
      <c r="N39" s="19" t="n"/>
      <c r="O39" s="19" t="n"/>
      <c r="P39" s="19" t="n"/>
      <c r="Q39" s="19" t="n"/>
      <c r="R39" s="19" t="n"/>
      <c r="S39" s="19" t="n"/>
      <c r="T39" s="8">
        <f>IF(C39="","",IF(AND(S39&lt;&gt;"",R39&lt;&gt;""),"11-결과등록완료",IF(AND(R39&lt;&gt;"",S39=""),"10-시험완료",IF(AND(Q39&lt;&gt;"",R39=""),"09-시험준비중",IF(AND(P39&lt;&gt;"",Q39=""),"08-단품준비완료",IF(O39="Approved","05-계획서승인",IF(O39="Revision Needed","04-검토중_보완",IF(O39="Under Review","03-검토중",IF(AND(N39&lt;&gt;"",O39=""),"02-제출_미검토","01-미제출")))))))))</f>
        <v/>
      </c>
      <c r="U39" s="20">
        <f>IF(C39="","",IF(T39="11-결과등록완료",1,IF(T39="12-조건부승인",0.9,IF(T39="10-시험완료",0.85,IF(T39="09-시험준비중",0.55,IF(T39="08-단품준비완료",0.4,IF(T39="07-미인수",0.3,IF(T39="05-계획서승인",0.2,IF(T39="06-BIW중단",0.15,IF(T39="03-검토중",0.1,IF(T39="02-제출_미검토",0.05,IF(T39="04-검토중_보완",0.05,0))))))))))))</f>
        <v/>
      </c>
      <c r="V39" s="2">
        <f>IF(C39="","",IF(S39&lt;&gt;"","—",IF(M39="","",M39-TODAY())))</f>
        <v/>
      </c>
      <c r="W39" s="21">
        <f>IF(C39="","",IF(T39="11-결과등록완료","— 완료",IF(T39="01-미제출",IF(I39&lt;TODAY(),"계획서 제출 독촉","계획서 제출 대기"),IF(T39="02-제출_미검토","검토 착수 필요",IF(T39="03-검토중","승인 처리 대기",IF(T39="04-검토중_보완","보완 → 재제출 독촉",IF(T39="05-계획서승인","부품 준비 현황 확인",IF(T39="06-BIW중단","BIW팀 확인",IF(T39="07-미인수","협력사 인수 독촉",IF(T39="08-단품준비완료","시험 일정 확인",IF(T39="09-시험준비중","시험 모니터링",IF(T39="10-시험완료","성적서 등록 독촉",IF(T39="12-조건부승인","조건부 승인 판단","—")))))))))))))</f>
        <v/>
      </c>
    </row>
    <row r="40">
      <c r="A40" s="2">
        <f>IF(C40="","",ROW()-4)</f>
        <v/>
      </c>
      <c r="B40" s="19" t="n"/>
      <c r="C40" s="19" t="n"/>
      <c r="D40" s="19" t="n"/>
      <c r="E40" s="19" t="n"/>
      <c r="F40" s="19" t="n"/>
      <c r="G40" s="19" t="n"/>
      <c r="H40" s="19" t="n"/>
      <c r="I40" s="18">
        <f>IF(C40="","",'Ref_Schedule'!$B$5)</f>
        <v/>
      </c>
      <c r="J40" s="18">
        <f>IF(C40="","",'Ref_Schedule'!$B$6)</f>
        <v/>
      </c>
      <c r="K40" s="18">
        <f>IF(C40="","",'Ref_Schedule'!$B$7)</f>
        <v/>
      </c>
      <c r="L40" s="18">
        <f>IF(C40="","",K40+14)</f>
        <v/>
      </c>
      <c r="M40" s="18">
        <f>IF(C40="","",'Ref_Schedule'!$B$8)</f>
        <v/>
      </c>
      <c r="N40" s="19" t="n"/>
      <c r="O40" s="19" t="n"/>
      <c r="P40" s="19" t="n"/>
      <c r="Q40" s="19" t="n"/>
      <c r="R40" s="19" t="n"/>
      <c r="S40" s="19" t="n"/>
      <c r="T40" s="8">
        <f>IF(C40="","",IF(AND(S40&lt;&gt;"",R40&lt;&gt;""),"11-결과등록완료",IF(AND(R40&lt;&gt;"",S40=""),"10-시험완료",IF(AND(Q40&lt;&gt;"",R40=""),"09-시험준비중",IF(AND(P40&lt;&gt;"",Q40=""),"08-단품준비완료",IF(O40="Approved","05-계획서승인",IF(O40="Revision Needed","04-검토중_보완",IF(O40="Under Review","03-검토중",IF(AND(N40&lt;&gt;"",O40=""),"02-제출_미검토","01-미제출")))))))))</f>
        <v/>
      </c>
      <c r="U40" s="20">
        <f>IF(C40="","",IF(T40="11-결과등록완료",1,IF(T40="12-조건부승인",0.9,IF(T40="10-시험완료",0.85,IF(T40="09-시험준비중",0.55,IF(T40="08-단품준비완료",0.4,IF(T40="07-미인수",0.3,IF(T40="05-계획서승인",0.2,IF(T40="06-BIW중단",0.15,IF(T40="03-검토중",0.1,IF(T40="02-제출_미검토",0.05,IF(T40="04-검토중_보완",0.05,0))))))))))))</f>
        <v/>
      </c>
      <c r="V40" s="2">
        <f>IF(C40="","",IF(S40&lt;&gt;"","—",IF(M40="","",M40-TODAY())))</f>
        <v/>
      </c>
      <c r="W40" s="21">
        <f>IF(C40="","",IF(T40="11-결과등록완료","— 완료",IF(T40="01-미제출",IF(I40&lt;TODAY(),"계획서 제출 독촉","계획서 제출 대기"),IF(T40="02-제출_미검토","검토 착수 필요",IF(T40="03-검토중","승인 처리 대기",IF(T40="04-검토중_보완","보완 → 재제출 독촉",IF(T40="05-계획서승인","부품 준비 현황 확인",IF(T40="06-BIW중단","BIW팀 확인",IF(T40="07-미인수","협력사 인수 독촉",IF(T40="08-단품준비완료","시험 일정 확인",IF(T40="09-시험준비중","시험 모니터링",IF(T40="10-시험완료","성적서 등록 독촉",IF(T40="12-조건부승인","조건부 승인 판단","—")))))))))))))</f>
        <v/>
      </c>
    </row>
    <row r="41">
      <c r="A41" s="2">
        <f>IF(C41="","",ROW()-4)</f>
        <v/>
      </c>
      <c r="B41" s="19" t="n"/>
      <c r="C41" s="19" t="n"/>
      <c r="D41" s="19" t="n"/>
      <c r="E41" s="19" t="n"/>
      <c r="F41" s="19" t="n"/>
      <c r="G41" s="19" t="n"/>
      <c r="H41" s="19" t="n"/>
      <c r="I41" s="18">
        <f>IF(C41="","",'Ref_Schedule'!$B$5)</f>
        <v/>
      </c>
      <c r="J41" s="18">
        <f>IF(C41="","",'Ref_Schedule'!$B$6)</f>
        <v/>
      </c>
      <c r="K41" s="18">
        <f>IF(C41="","",'Ref_Schedule'!$B$7)</f>
        <v/>
      </c>
      <c r="L41" s="18">
        <f>IF(C41="","",K41+14)</f>
        <v/>
      </c>
      <c r="M41" s="18">
        <f>IF(C41="","",'Ref_Schedule'!$B$8)</f>
        <v/>
      </c>
      <c r="N41" s="19" t="n"/>
      <c r="O41" s="19" t="n"/>
      <c r="P41" s="19" t="n"/>
      <c r="Q41" s="19" t="n"/>
      <c r="R41" s="19" t="n"/>
      <c r="S41" s="19" t="n"/>
      <c r="T41" s="8">
        <f>IF(C41="","",IF(AND(S41&lt;&gt;"",R41&lt;&gt;""),"11-결과등록완료",IF(AND(R41&lt;&gt;"",S41=""),"10-시험완료",IF(AND(Q41&lt;&gt;"",R41=""),"09-시험준비중",IF(AND(P41&lt;&gt;"",Q41=""),"08-단품준비완료",IF(O41="Approved","05-계획서승인",IF(O41="Revision Needed","04-검토중_보완",IF(O41="Under Review","03-검토중",IF(AND(N41&lt;&gt;"",O41=""),"02-제출_미검토","01-미제출")))))))))</f>
        <v/>
      </c>
      <c r="U41" s="20">
        <f>IF(C41="","",IF(T41="11-결과등록완료",1,IF(T41="12-조건부승인",0.9,IF(T41="10-시험완료",0.85,IF(T41="09-시험준비중",0.55,IF(T41="08-단품준비완료",0.4,IF(T41="07-미인수",0.3,IF(T41="05-계획서승인",0.2,IF(T41="06-BIW중단",0.15,IF(T41="03-검토중",0.1,IF(T41="02-제출_미검토",0.05,IF(T41="04-검토중_보완",0.05,0))))))))))))</f>
        <v/>
      </c>
      <c r="V41" s="2">
        <f>IF(C41="","",IF(S41&lt;&gt;"","—",IF(M41="","",M41-TODAY())))</f>
        <v/>
      </c>
      <c r="W41" s="21">
        <f>IF(C41="","",IF(T41="11-결과등록완료","— 완료",IF(T41="01-미제출",IF(I41&lt;TODAY(),"계획서 제출 독촉","계획서 제출 대기"),IF(T41="02-제출_미검토","검토 착수 필요",IF(T41="03-검토중","승인 처리 대기",IF(T41="04-검토중_보완","보완 → 재제출 독촉",IF(T41="05-계획서승인","부품 준비 현황 확인",IF(T41="06-BIW중단","BIW팀 확인",IF(T41="07-미인수","협력사 인수 독촉",IF(T41="08-단품준비완료","시험 일정 확인",IF(T41="09-시험준비중","시험 모니터링",IF(T41="10-시험완료","성적서 등록 독촉",IF(T41="12-조건부승인","조건부 승인 판단","—")))))))))))))</f>
        <v/>
      </c>
    </row>
    <row r="42">
      <c r="A42" s="2">
        <f>IF(C42="","",ROW()-4)</f>
        <v/>
      </c>
      <c r="B42" s="19" t="n"/>
      <c r="C42" s="19" t="n"/>
      <c r="D42" s="19" t="n"/>
      <c r="E42" s="19" t="n"/>
      <c r="F42" s="19" t="n"/>
      <c r="G42" s="19" t="n"/>
      <c r="H42" s="19" t="n"/>
      <c r="I42" s="18">
        <f>IF(C42="","",'Ref_Schedule'!$B$5)</f>
        <v/>
      </c>
      <c r="J42" s="18">
        <f>IF(C42="","",'Ref_Schedule'!$B$6)</f>
        <v/>
      </c>
      <c r="K42" s="18">
        <f>IF(C42="","",'Ref_Schedule'!$B$7)</f>
        <v/>
      </c>
      <c r="L42" s="18">
        <f>IF(C42="","",K42+14)</f>
        <v/>
      </c>
      <c r="M42" s="18">
        <f>IF(C42="","",'Ref_Schedule'!$B$8)</f>
        <v/>
      </c>
      <c r="N42" s="19" t="n"/>
      <c r="O42" s="19" t="n"/>
      <c r="P42" s="19" t="n"/>
      <c r="Q42" s="19" t="n"/>
      <c r="R42" s="19" t="n"/>
      <c r="S42" s="19" t="n"/>
      <c r="T42" s="8">
        <f>IF(C42="","",IF(AND(S42&lt;&gt;"",R42&lt;&gt;""),"11-결과등록완료",IF(AND(R42&lt;&gt;"",S42=""),"10-시험완료",IF(AND(Q42&lt;&gt;"",R42=""),"09-시험준비중",IF(AND(P42&lt;&gt;"",Q42=""),"08-단품준비완료",IF(O42="Approved","05-계획서승인",IF(O42="Revision Needed","04-검토중_보완",IF(O42="Under Review","03-검토중",IF(AND(N42&lt;&gt;"",O42=""),"02-제출_미검토","01-미제출")))))))))</f>
        <v/>
      </c>
      <c r="U42" s="20">
        <f>IF(C42="","",IF(T42="11-결과등록완료",1,IF(T42="12-조건부승인",0.9,IF(T42="10-시험완료",0.85,IF(T42="09-시험준비중",0.55,IF(T42="08-단품준비완료",0.4,IF(T42="07-미인수",0.3,IF(T42="05-계획서승인",0.2,IF(T42="06-BIW중단",0.15,IF(T42="03-검토중",0.1,IF(T42="02-제출_미검토",0.05,IF(T42="04-검토중_보완",0.05,0))))))))))))</f>
        <v/>
      </c>
      <c r="V42" s="2">
        <f>IF(C42="","",IF(S42&lt;&gt;"","—",IF(M42="","",M42-TODAY())))</f>
        <v/>
      </c>
      <c r="W42" s="21">
        <f>IF(C42="","",IF(T42="11-결과등록완료","— 완료",IF(T42="01-미제출",IF(I42&lt;TODAY(),"계획서 제출 독촉","계획서 제출 대기"),IF(T42="02-제출_미검토","검토 착수 필요",IF(T42="03-검토중","승인 처리 대기",IF(T42="04-검토중_보완","보완 → 재제출 독촉",IF(T42="05-계획서승인","부품 준비 현황 확인",IF(T42="06-BIW중단","BIW팀 확인",IF(T42="07-미인수","협력사 인수 독촉",IF(T42="08-단품준비완료","시험 일정 확인",IF(T42="09-시험준비중","시험 모니터링",IF(T42="10-시험완료","성적서 등록 독촉",IF(T42="12-조건부승인","조건부 승인 판단","—")))))))))))))</f>
        <v/>
      </c>
    </row>
    <row r="43">
      <c r="A43" s="2">
        <f>IF(C43="","",ROW()-4)</f>
        <v/>
      </c>
      <c r="B43" s="19" t="n"/>
      <c r="C43" s="19" t="n"/>
      <c r="D43" s="19" t="n"/>
      <c r="E43" s="19" t="n"/>
      <c r="F43" s="19" t="n"/>
      <c r="G43" s="19" t="n"/>
      <c r="H43" s="19" t="n"/>
      <c r="I43" s="18">
        <f>IF(C43="","",'Ref_Schedule'!$B$5)</f>
        <v/>
      </c>
      <c r="J43" s="18">
        <f>IF(C43="","",'Ref_Schedule'!$B$6)</f>
        <v/>
      </c>
      <c r="K43" s="18">
        <f>IF(C43="","",'Ref_Schedule'!$B$7)</f>
        <v/>
      </c>
      <c r="L43" s="18">
        <f>IF(C43="","",K43+14)</f>
        <v/>
      </c>
      <c r="M43" s="18">
        <f>IF(C43="","",'Ref_Schedule'!$B$8)</f>
        <v/>
      </c>
      <c r="N43" s="19" t="n"/>
      <c r="O43" s="19" t="n"/>
      <c r="P43" s="19" t="n"/>
      <c r="Q43" s="19" t="n"/>
      <c r="R43" s="19" t="n"/>
      <c r="S43" s="19" t="n"/>
      <c r="T43" s="8">
        <f>IF(C43="","",IF(AND(S43&lt;&gt;"",R43&lt;&gt;""),"11-결과등록완료",IF(AND(R43&lt;&gt;"",S43=""),"10-시험완료",IF(AND(Q43&lt;&gt;"",R43=""),"09-시험준비중",IF(AND(P43&lt;&gt;"",Q43=""),"08-단품준비완료",IF(O43="Approved","05-계획서승인",IF(O43="Revision Needed","04-검토중_보완",IF(O43="Under Review","03-검토중",IF(AND(N43&lt;&gt;"",O43=""),"02-제출_미검토","01-미제출")))))))))</f>
        <v/>
      </c>
      <c r="U43" s="20">
        <f>IF(C43="","",IF(T43="11-결과등록완료",1,IF(T43="12-조건부승인",0.9,IF(T43="10-시험완료",0.85,IF(T43="09-시험준비중",0.55,IF(T43="08-단품준비완료",0.4,IF(T43="07-미인수",0.3,IF(T43="05-계획서승인",0.2,IF(T43="06-BIW중단",0.15,IF(T43="03-검토중",0.1,IF(T43="02-제출_미검토",0.05,IF(T43="04-검토중_보완",0.05,0))))))))))))</f>
        <v/>
      </c>
      <c r="V43" s="2">
        <f>IF(C43="","",IF(S43&lt;&gt;"","—",IF(M43="","",M43-TODAY())))</f>
        <v/>
      </c>
      <c r="W43" s="21">
        <f>IF(C43="","",IF(T43="11-결과등록완료","— 완료",IF(T43="01-미제출",IF(I43&lt;TODAY(),"계획서 제출 독촉","계획서 제출 대기"),IF(T43="02-제출_미검토","검토 착수 필요",IF(T43="03-검토중","승인 처리 대기",IF(T43="04-검토중_보완","보완 → 재제출 독촉",IF(T43="05-계획서승인","부품 준비 현황 확인",IF(T43="06-BIW중단","BIW팀 확인",IF(T43="07-미인수","협력사 인수 독촉",IF(T43="08-단품준비완료","시험 일정 확인",IF(T43="09-시험준비중","시험 모니터링",IF(T43="10-시험완료","성적서 등록 독촉",IF(T43="12-조건부승인","조건부 승인 판단","—")))))))))))))</f>
        <v/>
      </c>
    </row>
    <row r="44">
      <c r="A44" s="2">
        <f>IF(C44="","",ROW()-4)</f>
        <v/>
      </c>
      <c r="B44" s="19" t="n"/>
      <c r="C44" s="19" t="n"/>
      <c r="D44" s="19" t="n"/>
      <c r="E44" s="19" t="n"/>
      <c r="F44" s="19" t="n"/>
      <c r="G44" s="19" t="n"/>
      <c r="H44" s="19" t="n"/>
      <c r="I44" s="18">
        <f>IF(C44="","",'Ref_Schedule'!$B$5)</f>
        <v/>
      </c>
      <c r="J44" s="18">
        <f>IF(C44="","",'Ref_Schedule'!$B$6)</f>
        <v/>
      </c>
      <c r="K44" s="18">
        <f>IF(C44="","",'Ref_Schedule'!$B$7)</f>
        <v/>
      </c>
      <c r="L44" s="18">
        <f>IF(C44="","",K44+14)</f>
        <v/>
      </c>
      <c r="M44" s="18">
        <f>IF(C44="","",'Ref_Schedule'!$B$8)</f>
        <v/>
      </c>
      <c r="N44" s="19" t="n"/>
      <c r="O44" s="19" t="n"/>
      <c r="P44" s="19" t="n"/>
      <c r="Q44" s="19" t="n"/>
      <c r="R44" s="19" t="n"/>
      <c r="S44" s="19" t="n"/>
      <c r="T44" s="8">
        <f>IF(C44="","",IF(AND(S44&lt;&gt;"",R44&lt;&gt;""),"11-결과등록완료",IF(AND(R44&lt;&gt;"",S44=""),"10-시험완료",IF(AND(Q44&lt;&gt;"",R44=""),"09-시험준비중",IF(AND(P44&lt;&gt;"",Q44=""),"08-단품준비완료",IF(O44="Approved","05-계획서승인",IF(O44="Revision Needed","04-검토중_보완",IF(O44="Under Review","03-검토중",IF(AND(N44&lt;&gt;"",O44=""),"02-제출_미검토","01-미제출")))))))))</f>
        <v/>
      </c>
      <c r="U44" s="20">
        <f>IF(C44="","",IF(T44="11-결과등록완료",1,IF(T44="12-조건부승인",0.9,IF(T44="10-시험완료",0.85,IF(T44="09-시험준비중",0.55,IF(T44="08-단품준비완료",0.4,IF(T44="07-미인수",0.3,IF(T44="05-계획서승인",0.2,IF(T44="06-BIW중단",0.15,IF(T44="03-검토중",0.1,IF(T44="02-제출_미검토",0.05,IF(T44="04-검토중_보완",0.05,0))))))))))))</f>
        <v/>
      </c>
      <c r="V44" s="2">
        <f>IF(C44="","",IF(S44&lt;&gt;"","—",IF(M44="","",M44-TODAY())))</f>
        <v/>
      </c>
      <c r="W44" s="21">
        <f>IF(C44="","",IF(T44="11-결과등록완료","— 완료",IF(T44="01-미제출",IF(I44&lt;TODAY(),"계획서 제출 독촉","계획서 제출 대기"),IF(T44="02-제출_미검토","검토 착수 필요",IF(T44="03-검토중","승인 처리 대기",IF(T44="04-검토중_보완","보완 → 재제출 독촉",IF(T44="05-계획서승인","부품 준비 현황 확인",IF(T44="06-BIW중단","BIW팀 확인",IF(T44="07-미인수","협력사 인수 독촉",IF(T44="08-단품준비완료","시험 일정 확인",IF(T44="09-시험준비중","시험 모니터링",IF(T44="10-시험완료","성적서 등록 독촉",IF(T44="12-조건부승인","조건부 승인 판단","—")))))))))))))</f>
        <v/>
      </c>
    </row>
    <row r="45">
      <c r="A45" s="2">
        <f>IF(C45="","",ROW()-4)</f>
        <v/>
      </c>
      <c r="B45" s="19" t="n"/>
      <c r="C45" s="19" t="n"/>
      <c r="D45" s="19" t="n"/>
      <c r="E45" s="19" t="n"/>
      <c r="F45" s="19" t="n"/>
      <c r="G45" s="19" t="n"/>
      <c r="H45" s="19" t="n"/>
      <c r="I45" s="18">
        <f>IF(C45="","",'Ref_Schedule'!$B$5)</f>
        <v/>
      </c>
      <c r="J45" s="18">
        <f>IF(C45="","",'Ref_Schedule'!$B$6)</f>
        <v/>
      </c>
      <c r="K45" s="18">
        <f>IF(C45="","",'Ref_Schedule'!$B$7)</f>
        <v/>
      </c>
      <c r="L45" s="18">
        <f>IF(C45="","",K45+14)</f>
        <v/>
      </c>
      <c r="M45" s="18">
        <f>IF(C45="","",'Ref_Schedule'!$B$8)</f>
        <v/>
      </c>
      <c r="N45" s="19" t="n"/>
      <c r="O45" s="19" t="n"/>
      <c r="P45" s="19" t="n"/>
      <c r="Q45" s="19" t="n"/>
      <c r="R45" s="19" t="n"/>
      <c r="S45" s="19" t="n"/>
      <c r="T45" s="8">
        <f>IF(C45="","",IF(AND(S45&lt;&gt;"",R45&lt;&gt;""),"11-결과등록완료",IF(AND(R45&lt;&gt;"",S45=""),"10-시험완료",IF(AND(Q45&lt;&gt;"",R45=""),"09-시험준비중",IF(AND(P45&lt;&gt;"",Q45=""),"08-단품준비완료",IF(O45="Approved","05-계획서승인",IF(O45="Revision Needed","04-검토중_보완",IF(O45="Under Review","03-검토중",IF(AND(N45&lt;&gt;"",O45=""),"02-제출_미검토","01-미제출")))))))))</f>
        <v/>
      </c>
      <c r="U45" s="20">
        <f>IF(C45="","",IF(T45="11-결과등록완료",1,IF(T45="12-조건부승인",0.9,IF(T45="10-시험완료",0.85,IF(T45="09-시험준비중",0.55,IF(T45="08-단품준비완료",0.4,IF(T45="07-미인수",0.3,IF(T45="05-계획서승인",0.2,IF(T45="06-BIW중단",0.15,IF(T45="03-검토중",0.1,IF(T45="02-제출_미검토",0.05,IF(T45="04-검토중_보완",0.05,0))))))))))))</f>
        <v/>
      </c>
      <c r="V45" s="2">
        <f>IF(C45="","",IF(S45&lt;&gt;"","—",IF(M45="","",M45-TODAY())))</f>
        <v/>
      </c>
      <c r="W45" s="21">
        <f>IF(C45="","",IF(T45="11-결과등록완료","— 완료",IF(T45="01-미제출",IF(I45&lt;TODAY(),"계획서 제출 독촉","계획서 제출 대기"),IF(T45="02-제출_미검토","검토 착수 필요",IF(T45="03-검토중","승인 처리 대기",IF(T45="04-검토중_보완","보완 → 재제출 독촉",IF(T45="05-계획서승인","부품 준비 현황 확인",IF(T45="06-BIW중단","BIW팀 확인",IF(T45="07-미인수","협력사 인수 독촉",IF(T45="08-단품준비완료","시험 일정 확인",IF(T45="09-시험준비중","시험 모니터링",IF(T45="10-시험완료","성적서 등록 독촉",IF(T45="12-조건부승인","조건부 승인 판단","—")))))))))))))</f>
        <v/>
      </c>
    </row>
    <row r="46">
      <c r="A46" s="2">
        <f>IF(C46="","",ROW()-4)</f>
        <v/>
      </c>
      <c r="B46" s="19" t="n"/>
      <c r="C46" s="19" t="n"/>
      <c r="D46" s="19" t="n"/>
      <c r="E46" s="19" t="n"/>
      <c r="F46" s="19" t="n"/>
      <c r="G46" s="19" t="n"/>
      <c r="H46" s="19" t="n"/>
      <c r="I46" s="18">
        <f>IF(C46="","",'Ref_Schedule'!$B$5)</f>
        <v/>
      </c>
      <c r="J46" s="18">
        <f>IF(C46="","",'Ref_Schedule'!$B$6)</f>
        <v/>
      </c>
      <c r="K46" s="18">
        <f>IF(C46="","",'Ref_Schedule'!$B$7)</f>
        <v/>
      </c>
      <c r="L46" s="18">
        <f>IF(C46="","",K46+14)</f>
        <v/>
      </c>
      <c r="M46" s="18">
        <f>IF(C46="","",'Ref_Schedule'!$B$8)</f>
        <v/>
      </c>
      <c r="N46" s="19" t="n"/>
      <c r="O46" s="19" t="n"/>
      <c r="P46" s="19" t="n"/>
      <c r="Q46" s="19" t="n"/>
      <c r="R46" s="19" t="n"/>
      <c r="S46" s="19" t="n"/>
      <c r="T46" s="8">
        <f>IF(C46="","",IF(AND(S46&lt;&gt;"",R46&lt;&gt;""),"11-결과등록완료",IF(AND(R46&lt;&gt;"",S46=""),"10-시험완료",IF(AND(Q46&lt;&gt;"",R46=""),"09-시험준비중",IF(AND(P46&lt;&gt;"",Q46=""),"08-단품준비완료",IF(O46="Approved","05-계획서승인",IF(O46="Revision Needed","04-검토중_보완",IF(O46="Under Review","03-검토중",IF(AND(N46&lt;&gt;"",O46=""),"02-제출_미검토","01-미제출")))))))))</f>
        <v/>
      </c>
      <c r="U46" s="20">
        <f>IF(C46="","",IF(T46="11-결과등록완료",1,IF(T46="12-조건부승인",0.9,IF(T46="10-시험완료",0.85,IF(T46="09-시험준비중",0.55,IF(T46="08-단품준비완료",0.4,IF(T46="07-미인수",0.3,IF(T46="05-계획서승인",0.2,IF(T46="06-BIW중단",0.15,IF(T46="03-검토중",0.1,IF(T46="02-제출_미검토",0.05,IF(T46="04-검토중_보완",0.05,0))))))))))))</f>
        <v/>
      </c>
      <c r="V46" s="2">
        <f>IF(C46="","",IF(S46&lt;&gt;"","—",IF(M46="","",M46-TODAY())))</f>
        <v/>
      </c>
      <c r="W46" s="21">
        <f>IF(C46="","",IF(T46="11-결과등록완료","— 완료",IF(T46="01-미제출",IF(I46&lt;TODAY(),"계획서 제출 독촉","계획서 제출 대기"),IF(T46="02-제출_미검토","검토 착수 필요",IF(T46="03-검토중","승인 처리 대기",IF(T46="04-검토중_보완","보완 → 재제출 독촉",IF(T46="05-계획서승인","부품 준비 현황 확인",IF(T46="06-BIW중단","BIW팀 확인",IF(T46="07-미인수","협력사 인수 독촉",IF(T46="08-단품준비완료","시험 일정 확인",IF(T46="09-시험준비중","시험 모니터링",IF(T46="10-시험완료","성적서 등록 독촉",IF(T46="12-조건부승인","조건부 승인 판단","—")))))))))))))</f>
        <v/>
      </c>
    </row>
    <row r="47">
      <c r="A47" s="2">
        <f>IF(C47="","",ROW()-4)</f>
        <v/>
      </c>
      <c r="B47" s="19" t="n"/>
      <c r="C47" s="19" t="n"/>
      <c r="D47" s="19" t="n"/>
      <c r="E47" s="19" t="n"/>
      <c r="F47" s="19" t="n"/>
      <c r="G47" s="19" t="n"/>
      <c r="H47" s="19" t="n"/>
      <c r="I47" s="18">
        <f>IF(C47="","",'Ref_Schedule'!$B$5)</f>
        <v/>
      </c>
      <c r="J47" s="18">
        <f>IF(C47="","",'Ref_Schedule'!$B$6)</f>
        <v/>
      </c>
      <c r="K47" s="18">
        <f>IF(C47="","",'Ref_Schedule'!$B$7)</f>
        <v/>
      </c>
      <c r="L47" s="18">
        <f>IF(C47="","",K47+14)</f>
        <v/>
      </c>
      <c r="M47" s="18">
        <f>IF(C47="","",'Ref_Schedule'!$B$8)</f>
        <v/>
      </c>
      <c r="N47" s="19" t="n"/>
      <c r="O47" s="19" t="n"/>
      <c r="P47" s="19" t="n"/>
      <c r="Q47" s="19" t="n"/>
      <c r="R47" s="19" t="n"/>
      <c r="S47" s="19" t="n"/>
      <c r="T47" s="8">
        <f>IF(C47="","",IF(AND(S47&lt;&gt;"",R47&lt;&gt;""),"11-결과등록완료",IF(AND(R47&lt;&gt;"",S47=""),"10-시험완료",IF(AND(Q47&lt;&gt;"",R47=""),"09-시험준비중",IF(AND(P47&lt;&gt;"",Q47=""),"08-단품준비완료",IF(O47="Approved","05-계획서승인",IF(O47="Revision Needed","04-검토중_보완",IF(O47="Under Review","03-검토중",IF(AND(N47&lt;&gt;"",O47=""),"02-제출_미검토","01-미제출")))))))))</f>
        <v/>
      </c>
      <c r="U47" s="20">
        <f>IF(C47="","",IF(T47="11-결과등록완료",1,IF(T47="12-조건부승인",0.9,IF(T47="10-시험완료",0.85,IF(T47="09-시험준비중",0.55,IF(T47="08-단품준비완료",0.4,IF(T47="07-미인수",0.3,IF(T47="05-계획서승인",0.2,IF(T47="06-BIW중단",0.15,IF(T47="03-검토중",0.1,IF(T47="02-제출_미검토",0.05,IF(T47="04-검토중_보완",0.05,0))))))))))))</f>
        <v/>
      </c>
      <c r="V47" s="2">
        <f>IF(C47="","",IF(S47&lt;&gt;"","—",IF(M47="","",M47-TODAY())))</f>
        <v/>
      </c>
      <c r="W47" s="21">
        <f>IF(C47="","",IF(T47="11-결과등록완료","— 완료",IF(T47="01-미제출",IF(I47&lt;TODAY(),"계획서 제출 독촉","계획서 제출 대기"),IF(T47="02-제출_미검토","검토 착수 필요",IF(T47="03-검토중","승인 처리 대기",IF(T47="04-검토중_보완","보완 → 재제출 독촉",IF(T47="05-계획서승인","부품 준비 현황 확인",IF(T47="06-BIW중단","BIW팀 확인",IF(T47="07-미인수","협력사 인수 독촉",IF(T47="08-단품준비완료","시험 일정 확인",IF(T47="09-시험준비중","시험 모니터링",IF(T47="10-시험완료","성적서 등록 독촉",IF(T47="12-조건부승인","조건부 승인 판단","—")))))))))))))</f>
        <v/>
      </c>
    </row>
    <row r="48">
      <c r="A48" s="2">
        <f>IF(C48="","",ROW()-4)</f>
        <v/>
      </c>
      <c r="B48" s="19" t="n"/>
      <c r="C48" s="19" t="n"/>
      <c r="D48" s="19" t="n"/>
      <c r="E48" s="19" t="n"/>
      <c r="F48" s="19" t="n"/>
      <c r="G48" s="19" t="n"/>
      <c r="H48" s="19" t="n"/>
      <c r="I48" s="18">
        <f>IF(C48="","",'Ref_Schedule'!$B$5)</f>
        <v/>
      </c>
      <c r="J48" s="18">
        <f>IF(C48="","",'Ref_Schedule'!$B$6)</f>
        <v/>
      </c>
      <c r="K48" s="18">
        <f>IF(C48="","",'Ref_Schedule'!$B$7)</f>
        <v/>
      </c>
      <c r="L48" s="18">
        <f>IF(C48="","",K48+14)</f>
        <v/>
      </c>
      <c r="M48" s="18">
        <f>IF(C48="","",'Ref_Schedule'!$B$8)</f>
        <v/>
      </c>
      <c r="N48" s="19" t="n"/>
      <c r="O48" s="19" t="n"/>
      <c r="P48" s="19" t="n"/>
      <c r="Q48" s="19" t="n"/>
      <c r="R48" s="19" t="n"/>
      <c r="S48" s="19" t="n"/>
      <c r="T48" s="8">
        <f>IF(C48="","",IF(AND(S48&lt;&gt;"",R48&lt;&gt;""),"11-결과등록완료",IF(AND(R48&lt;&gt;"",S48=""),"10-시험완료",IF(AND(Q48&lt;&gt;"",R48=""),"09-시험준비중",IF(AND(P48&lt;&gt;"",Q48=""),"08-단품준비완료",IF(O48="Approved","05-계획서승인",IF(O48="Revision Needed","04-검토중_보완",IF(O48="Under Review","03-검토중",IF(AND(N48&lt;&gt;"",O48=""),"02-제출_미검토","01-미제출")))))))))</f>
        <v/>
      </c>
      <c r="U48" s="20">
        <f>IF(C48="","",IF(T48="11-결과등록완료",1,IF(T48="12-조건부승인",0.9,IF(T48="10-시험완료",0.85,IF(T48="09-시험준비중",0.55,IF(T48="08-단품준비완료",0.4,IF(T48="07-미인수",0.3,IF(T48="05-계획서승인",0.2,IF(T48="06-BIW중단",0.15,IF(T48="03-검토중",0.1,IF(T48="02-제출_미검토",0.05,IF(T48="04-검토중_보완",0.05,0))))))))))))</f>
        <v/>
      </c>
      <c r="V48" s="2">
        <f>IF(C48="","",IF(S48&lt;&gt;"","—",IF(M48="","",M48-TODAY())))</f>
        <v/>
      </c>
      <c r="W48" s="21">
        <f>IF(C48="","",IF(T48="11-결과등록완료","— 완료",IF(T48="01-미제출",IF(I48&lt;TODAY(),"계획서 제출 독촉","계획서 제출 대기"),IF(T48="02-제출_미검토","검토 착수 필요",IF(T48="03-검토중","승인 처리 대기",IF(T48="04-검토중_보완","보완 → 재제출 독촉",IF(T48="05-계획서승인","부품 준비 현황 확인",IF(T48="06-BIW중단","BIW팀 확인",IF(T48="07-미인수","협력사 인수 독촉",IF(T48="08-단품준비완료","시험 일정 확인",IF(T48="09-시험준비중","시험 모니터링",IF(T48="10-시험완료","성적서 등록 독촉",IF(T48="12-조건부승인","조건부 승인 판단","—")))))))))))))</f>
        <v/>
      </c>
    </row>
    <row r="49">
      <c r="A49" s="2">
        <f>IF(C49="","",ROW()-4)</f>
        <v/>
      </c>
      <c r="B49" s="19" t="n"/>
      <c r="C49" s="19" t="n"/>
      <c r="D49" s="19" t="n"/>
      <c r="E49" s="19" t="n"/>
      <c r="F49" s="19" t="n"/>
      <c r="G49" s="19" t="n"/>
      <c r="H49" s="19" t="n"/>
      <c r="I49" s="18">
        <f>IF(C49="","",'Ref_Schedule'!$B$5)</f>
        <v/>
      </c>
      <c r="J49" s="18">
        <f>IF(C49="","",'Ref_Schedule'!$B$6)</f>
        <v/>
      </c>
      <c r="K49" s="18">
        <f>IF(C49="","",'Ref_Schedule'!$B$7)</f>
        <v/>
      </c>
      <c r="L49" s="18">
        <f>IF(C49="","",K49+14)</f>
        <v/>
      </c>
      <c r="M49" s="18">
        <f>IF(C49="","",'Ref_Schedule'!$B$8)</f>
        <v/>
      </c>
      <c r="N49" s="19" t="n"/>
      <c r="O49" s="19" t="n"/>
      <c r="P49" s="19" t="n"/>
      <c r="Q49" s="19" t="n"/>
      <c r="R49" s="19" t="n"/>
      <c r="S49" s="19" t="n"/>
      <c r="T49" s="8">
        <f>IF(C49="","",IF(AND(S49&lt;&gt;"",R49&lt;&gt;""),"11-결과등록완료",IF(AND(R49&lt;&gt;"",S49=""),"10-시험완료",IF(AND(Q49&lt;&gt;"",R49=""),"09-시험준비중",IF(AND(P49&lt;&gt;"",Q49=""),"08-단품준비완료",IF(O49="Approved","05-계획서승인",IF(O49="Revision Needed","04-검토중_보완",IF(O49="Under Review","03-검토중",IF(AND(N49&lt;&gt;"",O49=""),"02-제출_미검토","01-미제출")))))))))</f>
        <v/>
      </c>
      <c r="U49" s="20">
        <f>IF(C49="","",IF(T49="11-결과등록완료",1,IF(T49="12-조건부승인",0.9,IF(T49="10-시험완료",0.85,IF(T49="09-시험준비중",0.55,IF(T49="08-단품준비완료",0.4,IF(T49="07-미인수",0.3,IF(T49="05-계획서승인",0.2,IF(T49="06-BIW중단",0.15,IF(T49="03-검토중",0.1,IF(T49="02-제출_미검토",0.05,IF(T49="04-검토중_보완",0.05,0))))))))))))</f>
        <v/>
      </c>
      <c r="V49" s="2">
        <f>IF(C49="","",IF(S49&lt;&gt;"","—",IF(M49="","",M49-TODAY())))</f>
        <v/>
      </c>
      <c r="W49" s="21">
        <f>IF(C49="","",IF(T49="11-결과등록완료","— 완료",IF(T49="01-미제출",IF(I49&lt;TODAY(),"계획서 제출 독촉","계획서 제출 대기"),IF(T49="02-제출_미검토","검토 착수 필요",IF(T49="03-검토중","승인 처리 대기",IF(T49="04-검토중_보완","보완 → 재제출 독촉",IF(T49="05-계획서승인","부품 준비 현황 확인",IF(T49="06-BIW중단","BIW팀 확인",IF(T49="07-미인수","협력사 인수 독촉",IF(T49="08-단품준비완료","시험 일정 확인",IF(T49="09-시험준비중","시험 모니터링",IF(T49="10-시험완료","성적서 등록 독촉",IF(T49="12-조건부승인","조건부 승인 판단","—")))))))))))))</f>
        <v/>
      </c>
    </row>
    <row r="50">
      <c r="A50" s="2">
        <f>IF(C50="","",ROW()-4)</f>
        <v/>
      </c>
      <c r="B50" s="19" t="n"/>
      <c r="C50" s="19" t="n"/>
      <c r="D50" s="19" t="n"/>
      <c r="E50" s="19" t="n"/>
      <c r="F50" s="19" t="n"/>
      <c r="G50" s="19" t="n"/>
      <c r="H50" s="19" t="n"/>
      <c r="I50" s="18">
        <f>IF(C50="","",'Ref_Schedule'!$B$5)</f>
        <v/>
      </c>
      <c r="J50" s="18">
        <f>IF(C50="","",'Ref_Schedule'!$B$6)</f>
        <v/>
      </c>
      <c r="K50" s="18">
        <f>IF(C50="","",'Ref_Schedule'!$B$7)</f>
        <v/>
      </c>
      <c r="L50" s="18">
        <f>IF(C50="","",K50+14)</f>
        <v/>
      </c>
      <c r="M50" s="18">
        <f>IF(C50="","",'Ref_Schedule'!$B$8)</f>
        <v/>
      </c>
      <c r="N50" s="19" t="n"/>
      <c r="O50" s="19" t="n"/>
      <c r="P50" s="19" t="n"/>
      <c r="Q50" s="19" t="n"/>
      <c r="R50" s="19" t="n"/>
      <c r="S50" s="19" t="n"/>
      <c r="T50" s="8">
        <f>IF(C50="","",IF(AND(S50&lt;&gt;"",R50&lt;&gt;""),"11-결과등록완료",IF(AND(R50&lt;&gt;"",S50=""),"10-시험완료",IF(AND(Q50&lt;&gt;"",R50=""),"09-시험준비중",IF(AND(P50&lt;&gt;"",Q50=""),"08-단품준비완료",IF(O50="Approved","05-계획서승인",IF(O50="Revision Needed","04-검토중_보완",IF(O50="Under Review","03-검토중",IF(AND(N50&lt;&gt;"",O50=""),"02-제출_미검토","01-미제출")))))))))</f>
        <v/>
      </c>
      <c r="U50" s="20">
        <f>IF(C50="","",IF(T50="11-결과등록완료",1,IF(T50="12-조건부승인",0.9,IF(T50="10-시험완료",0.85,IF(T50="09-시험준비중",0.55,IF(T50="08-단품준비완료",0.4,IF(T50="07-미인수",0.3,IF(T50="05-계획서승인",0.2,IF(T50="06-BIW중단",0.15,IF(T50="03-검토중",0.1,IF(T50="02-제출_미검토",0.05,IF(T50="04-검토중_보완",0.05,0))))))))))))</f>
        <v/>
      </c>
      <c r="V50" s="2">
        <f>IF(C50="","",IF(S50&lt;&gt;"","—",IF(M50="","",M50-TODAY())))</f>
        <v/>
      </c>
      <c r="W50" s="21">
        <f>IF(C50="","",IF(T50="11-결과등록완료","— 완료",IF(T50="01-미제출",IF(I50&lt;TODAY(),"계획서 제출 독촉","계획서 제출 대기"),IF(T50="02-제출_미검토","검토 착수 필요",IF(T50="03-검토중","승인 처리 대기",IF(T50="04-검토중_보완","보완 → 재제출 독촉",IF(T50="05-계획서승인","부품 준비 현황 확인",IF(T50="06-BIW중단","BIW팀 확인",IF(T50="07-미인수","협력사 인수 독촉",IF(T50="08-단품준비완료","시험 일정 확인",IF(T50="09-시험준비중","시험 모니터링",IF(T50="10-시험완료","성적서 등록 독촉",IF(T50="12-조건부승인","조건부 승인 판단","—")))))))))))))</f>
        <v/>
      </c>
    </row>
    <row r="51">
      <c r="A51" s="2">
        <f>IF(C51="","",ROW()-4)</f>
        <v/>
      </c>
      <c r="B51" s="19" t="n"/>
      <c r="C51" s="19" t="n"/>
      <c r="D51" s="19" t="n"/>
      <c r="E51" s="19" t="n"/>
      <c r="F51" s="19" t="n"/>
      <c r="G51" s="19" t="n"/>
      <c r="H51" s="19" t="n"/>
      <c r="I51" s="18">
        <f>IF(C51="","",'Ref_Schedule'!$B$5)</f>
        <v/>
      </c>
      <c r="J51" s="18">
        <f>IF(C51="","",'Ref_Schedule'!$B$6)</f>
        <v/>
      </c>
      <c r="K51" s="18">
        <f>IF(C51="","",'Ref_Schedule'!$B$7)</f>
        <v/>
      </c>
      <c r="L51" s="18">
        <f>IF(C51="","",K51+14)</f>
        <v/>
      </c>
      <c r="M51" s="18">
        <f>IF(C51="","",'Ref_Schedule'!$B$8)</f>
        <v/>
      </c>
      <c r="N51" s="19" t="n"/>
      <c r="O51" s="19" t="n"/>
      <c r="P51" s="19" t="n"/>
      <c r="Q51" s="19" t="n"/>
      <c r="R51" s="19" t="n"/>
      <c r="S51" s="19" t="n"/>
      <c r="T51" s="8">
        <f>IF(C51="","",IF(AND(S51&lt;&gt;"",R51&lt;&gt;""),"11-결과등록완료",IF(AND(R51&lt;&gt;"",S51=""),"10-시험완료",IF(AND(Q51&lt;&gt;"",R51=""),"09-시험준비중",IF(AND(P51&lt;&gt;"",Q51=""),"08-단품준비완료",IF(O51="Approved","05-계획서승인",IF(O51="Revision Needed","04-검토중_보완",IF(O51="Under Review","03-검토중",IF(AND(N51&lt;&gt;"",O51=""),"02-제출_미검토","01-미제출")))))))))</f>
        <v/>
      </c>
      <c r="U51" s="20">
        <f>IF(C51="","",IF(T51="11-결과등록완료",1,IF(T51="12-조건부승인",0.9,IF(T51="10-시험완료",0.85,IF(T51="09-시험준비중",0.55,IF(T51="08-단품준비완료",0.4,IF(T51="07-미인수",0.3,IF(T51="05-계획서승인",0.2,IF(T51="06-BIW중단",0.15,IF(T51="03-검토중",0.1,IF(T51="02-제출_미검토",0.05,IF(T51="04-검토중_보완",0.05,0))))))))))))</f>
        <v/>
      </c>
      <c r="V51" s="2">
        <f>IF(C51="","",IF(S51&lt;&gt;"","—",IF(M51="","",M51-TODAY())))</f>
        <v/>
      </c>
      <c r="W51" s="21">
        <f>IF(C51="","",IF(T51="11-결과등록완료","— 완료",IF(T51="01-미제출",IF(I51&lt;TODAY(),"계획서 제출 독촉","계획서 제출 대기"),IF(T51="02-제출_미검토","검토 착수 필요",IF(T51="03-검토중","승인 처리 대기",IF(T51="04-검토중_보완","보완 → 재제출 독촉",IF(T51="05-계획서승인","부품 준비 현황 확인",IF(T51="06-BIW중단","BIW팀 확인",IF(T51="07-미인수","협력사 인수 독촉",IF(T51="08-단품준비완료","시험 일정 확인",IF(T51="09-시험준비중","시험 모니터링",IF(T51="10-시험완료","성적서 등록 독촉",IF(T51="12-조건부승인","조건부 승인 판단","—")))))))))))))</f>
        <v/>
      </c>
    </row>
    <row r="52">
      <c r="A52" s="2">
        <f>IF(C52="","",ROW()-4)</f>
        <v/>
      </c>
      <c r="B52" s="19" t="n"/>
      <c r="C52" s="19" t="n"/>
      <c r="D52" s="19" t="n"/>
      <c r="E52" s="19" t="n"/>
      <c r="F52" s="19" t="n"/>
      <c r="G52" s="19" t="n"/>
      <c r="H52" s="19" t="n"/>
      <c r="I52" s="18">
        <f>IF(C52="","",'Ref_Schedule'!$B$5)</f>
        <v/>
      </c>
      <c r="J52" s="18">
        <f>IF(C52="","",'Ref_Schedule'!$B$6)</f>
        <v/>
      </c>
      <c r="K52" s="18">
        <f>IF(C52="","",'Ref_Schedule'!$B$7)</f>
        <v/>
      </c>
      <c r="L52" s="18">
        <f>IF(C52="","",K52+14)</f>
        <v/>
      </c>
      <c r="M52" s="18">
        <f>IF(C52="","",'Ref_Schedule'!$B$8)</f>
        <v/>
      </c>
      <c r="N52" s="19" t="n"/>
      <c r="O52" s="19" t="n"/>
      <c r="P52" s="19" t="n"/>
      <c r="Q52" s="19" t="n"/>
      <c r="R52" s="19" t="n"/>
      <c r="S52" s="19" t="n"/>
      <c r="T52" s="8">
        <f>IF(C52="","",IF(AND(S52&lt;&gt;"",R52&lt;&gt;""),"11-결과등록완료",IF(AND(R52&lt;&gt;"",S52=""),"10-시험완료",IF(AND(Q52&lt;&gt;"",R52=""),"09-시험준비중",IF(AND(P52&lt;&gt;"",Q52=""),"08-단품준비완료",IF(O52="Approved","05-계획서승인",IF(O52="Revision Needed","04-검토중_보완",IF(O52="Under Review","03-검토중",IF(AND(N52&lt;&gt;"",O52=""),"02-제출_미검토","01-미제출")))))))))</f>
        <v/>
      </c>
      <c r="U52" s="20">
        <f>IF(C52="","",IF(T52="11-결과등록완료",1,IF(T52="12-조건부승인",0.9,IF(T52="10-시험완료",0.85,IF(T52="09-시험준비중",0.55,IF(T52="08-단품준비완료",0.4,IF(T52="07-미인수",0.3,IF(T52="05-계획서승인",0.2,IF(T52="06-BIW중단",0.15,IF(T52="03-검토중",0.1,IF(T52="02-제출_미검토",0.05,IF(T52="04-검토중_보완",0.05,0))))))))))))</f>
        <v/>
      </c>
      <c r="V52" s="2">
        <f>IF(C52="","",IF(S52&lt;&gt;"","—",IF(M52="","",M52-TODAY())))</f>
        <v/>
      </c>
      <c r="W52" s="21">
        <f>IF(C52="","",IF(T52="11-결과등록완료","— 완료",IF(T52="01-미제출",IF(I52&lt;TODAY(),"계획서 제출 독촉","계획서 제출 대기"),IF(T52="02-제출_미검토","검토 착수 필요",IF(T52="03-검토중","승인 처리 대기",IF(T52="04-검토중_보완","보완 → 재제출 독촉",IF(T52="05-계획서승인","부품 준비 현황 확인",IF(T52="06-BIW중단","BIW팀 확인",IF(T52="07-미인수","협력사 인수 독촉",IF(T52="08-단품준비완료","시험 일정 확인",IF(T52="09-시험준비중","시험 모니터링",IF(T52="10-시험완료","성적서 등록 독촉",IF(T52="12-조건부승인","조건부 승인 판단","—")))))))))))))</f>
        <v/>
      </c>
    </row>
    <row r="53">
      <c r="A53" s="2">
        <f>IF(C53="","",ROW()-4)</f>
        <v/>
      </c>
      <c r="B53" s="19" t="n"/>
      <c r="C53" s="19" t="n"/>
      <c r="D53" s="19" t="n"/>
      <c r="E53" s="19" t="n"/>
      <c r="F53" s="19" t="n"/>
      <c r="G53" s="19" t="n"/>
      <c r="H53" s="19" t="n"/>
      <c r="I53" s="18">
        <f>IF(C53="","",'Ref_Schedule'!$B$5)</f>
        <v/>
      </c>
      <c r="J53" s="18">
        <f>IF(C53="","",'Ref_Schedule'!$B$6)</f>
        <v/>
      </c>
      <c r="K53" s="18">
        <f>IF(C53="","",'Ref_Schedule'!$B$7)</f>
        <v/>
      </c>
      <c r="L53" s="18">
        <f>IF(C53="","",K53+14)</f>
        <v/>
      </c>
      <c r="M53" s="18">
        <f>IF(C53="","",'Ref_Schedule'!$B$8)</f>
        <v/>
      </c>
      <c r="N53" s="19" t="n"/>
      <c r="O53" s="19" t="n"/>
      <c r="P53" s="19" t="n"/>
      <c r="Q53" s="19" t="n"/>
      <c r="R53" s="19" t="n"/>
      <c r="S53" s="19" t="n"/>
      <c r="T53" s="8">
        <f>IF(C53="","",IF(AND(S53&lt;&gt;"",R53&lt;&gt;""),"11-결과등록완료",IF(AND(R53&lt;&gt;"",S53=""),"10-시험완료",IF(AND(Q53&lt;&gt;"",R53=""),"09-시험준비중",IF(AND(P53&lt;&gt;"",Q53=""),"08-단품준비완료",IF(O53="Approved","05-계획서승인",IF(O53="Revision Needed","04-검토중_보완",IF(O53="Under Review","03-검토중",IF(AND(N53&lt;&gt;"",O53=""),"02-제출_미검토","01-미제출")))))))))</f>
        <v/>
      </c>
      <c r="U53" s="20">
        <f>IF(C53="","",IF(T53="11-결과등록완료",1,IF(T53="12-조건부승인",0.9,IF(T53="10-시험완료",0.85,IF(T53="09-시험준비중",0.55,IF(T53="08-단품준비완료",0.4,IF(T53="07-미인수",0.3,IF(T53="05-계획서승인",0.2,IF(T53="06-BIW중단",0.15,IF(T53="03-검토중",0.1,IF(T53="02-제출_미검토",0.05,IF(T53="04-검토중_보완",0.05,0))))))))))))</f>
        <v/>
      </c>
      <c r="V53" s="2">
        <f>IF(C53="","",IF(S53&lt;&gt;"","—",IF(M53="","",M53-TODAY())))</f>
        <v/>
      </c>
      <c r="W53" s="21">
        <f>IF(C53="","",IF(T53="11-결과등록완료","— 완료",IF(T53="01-미제출",IF(I53&lt;TODAY(),"계획서 제출 독촉","계획서 제출 대기"),IF(T53="02-제출_미검토","검토 착수 필요",IF(T53="03-검토중","승인 처리 대기",IF(T53="04-검토중_보완","보완 → 재제출 독촉",IF(T53="05-계획서승인","부품 준비 현황 확인",IF(T53="06-BIW중단","BIW팀 확인",IF(T53="07-미인수","협력사 인수 독촉",IF(T53="08-단품준비완료","시험 일정 확인",IF(T53="09-시험준비중","시험 모니터링",IF(T53="10-시험완료","성적서 등록 독촉",IF(T53="12-조건부승인","조건부 승인 판단","—")))))))))))))</f>
        <v/>
      </c>
    </row>
    <row r="54">
      <c r="A54" s="2">
        <f>IF(C54="","",ROW()-4)</f>
        <v/>
      </c>
      <c r="B54" s="19" t="n"/>
      <c r="C54" s="19" t="n"/>
      <c r="D54" s="19" t="n"/>
      <c r="E54" s="19" t="n"/>
      <c r="F54" s="19" t="n"/>
      <c r="G54" s="19" t="n"/>
      <c r="H54" s="19" t="n"/>
      <c r="I54" s="18">
        <f>IF(C54="","",'Ref_Schedule'!$B$5)</f>
        <v/>
      </c>
      <c r="J54" s="18">
        <f>IF(C54="","",'Ref_Schedule'!$B$6)</f>
        <v/>
      </c>
      <c r="K54" s="18">
        <f>IF(C54="","",'Ref_Schedule'!$B$7)</f>
        <v/>
      </c>
      <c r="L54" s="18">
        <f>IF(C54="","",K54+14)</f>
        <v/>
      </c>
      <c r="M54" s="18">
        <f>IF(C54="","",'Ref_Schedule'!$B$8)</f>
        <v/>
      </c>
      <c r="N54" s="19" t="n"/>
      <c r="O54" s="19" t="n"/>
      <c r="P54" s="19" t="n"/>
      <c r="Q54" s="19" t="n"/>
      <c r="R54" s="19" t="n"/>
      <c r="S54" s="19" t="n"/>
      <c r="T54" s="8">
        <f>IF(C54="","",IF(AND(S54&lt;&gt;"",R54&lt;&gt;""),"11-결과등록완료",IF(AND(R54&lt;&gt;"",S54=""),"10-시험완료",IF(AND(Q54&lt;&gt;"",R54=""),"09-시험준비중",IF(AND(P54&lt;&gt;"",Q54=""),"08-단품준비완료",IF(O54="Approved","05-계획서승인",IF(O54="Revision Needed","04-검토중_보완",IF(O54="Under Review","03-검토중",IF(AND(N54&lt;&gt;"",O54=""),"02-제출_미검토","01-미제출")))))))))</f>
        <v/>
      </c>
      <c r="U54" s="20">
        <f>IF(C54="","",IF(T54="11-결과등록완료",1,IF(T54="12-조건부승인",0.9,IF(T54="10-시험완료",0.85,IF(T54="09-시험준비중",0.55,IF(T54="08-단품준비완료",0.4,IF(T54="07-미인수",0.3,IF(T54="05-계획서승인",0.2,IF(T54="06-BIW중단",0.15,IF(T54="03-검토중",0.1,IF(T54="02-제출_미검토",0.05,IF(T54="04-검토중_보완",0.05,0))))))))))))</f>
        <v/>
      </c>
      <c r="V54" s="2">
        <f>IF(C54="","",IF(S54&lt;&gt;"","—",IF(M54="","",M54-TODAY())))</f>
        <v/>
      </c>
      <c r="W54" s="21">
        <f>IF(C54="","",IF(T54="11-결과등록완료","— 완료",IF(T54="01-미제출",IF(I54&lt;TODAY(),"계획서 제출 독촉","계획서 제출 대기"),IF(T54="02-제출_미검토","검토 착수 필요",IF(T54="03-검토중","승인 처리 대기",IF(T54="04-검토중_보완","보완 → 재제출 독촉",IF(T54="05-계획서승인","부품 준비 현황 확인",IF(T54="06-BIW중단","BIW팀 확인",IF(T54="07-미인수","협력사 인수 독촉",IF(T54="08-단품준비완료","시험 일정 확인",IF(T54="09-시험준비중","시험 모니터링",IF(T54="10-시험완료","성적서 등록 독촉",IF(T54="12-조건부승인","조건부 승인 판단","—")))))))))))))</f>
        <v/>
      </c>
    </row>
    <row r="55">
      <c r="A55" s="2">
        <f>IF(C55="","",ROW()-4)</f>
        <v/>
      </c>
      <c r="B55" s="19" t="n"/>
      <c r="C55" s="19" t="n"/>
      <c r="D55" s="19" t="n"/>
      <c r="E55" s="19" t="n"/>
      <c r="F55" s="19" t="n"/>
      <c r="G55" s="19" t="n"/>
      <c r="H55" s="19" t="n"/>
      <c r="I55" s="18">
        <f>IF(C55="","",'Ref_Schedule'!$B$5)</f>
        <v/>
      </c>
      <c r="J55" s="18">
        <f>IF(C55="","",'Ref_Schedule'!$B$6)</f>
        <v/>
      </c>
      <c r="K55" s="18">
        <f>IF(C55="","",'Ref_Schedule'!$B$7)</f>
        <v/>
      </c>
      <c r="L55" s="18">
        <f>IF(C55="","",K55+14)</f>
        <v/>
      </c>
      <c r="M55" s="18">
        <f>IF(C55="","",'Ref_Schedule'!$B$8)</f>
        <v/>
      </c>
      <c r="N55" s="19" t="n"/>
      <c r="O55" s="19" t="n"/>
      <c r="P55" s="19" t="n"/>
      <c r="Q55" s="19" t="n"/>
      <c r="R55" s="19" t="n"/>
      <c r="S55" s="19" t="n"/>
      <c r="T55" s="8">
        <f>IF(C55="","",IF(AND(S55&lt;&gt;"",R55&lt;&gt;""),"11-결과등록완료",IF(AND(R55&lt;&gt;"",S55=""),"10-시험완료",IF(AND(Q55&lt;&gt;"",R55=""),"09-시험준비중",IF(AND(P55&lt;&gt;"",Q55=""),"08-단품준비완료",IF(O55="Approved","05-계획서승인",IF(O55="Revision Needed","04-검토중_보완",IF(O55="Under Review","03-검토중",IF(AND(N55&lt;&gt;"",O55=""),"02-제출_미검토","01-미제출")))))))))</f>
        <v/>
      </c>
      <c r="U55" s="20">
        <f>IF(C55="","",IF(T55="11-결과등록완료",1,IF(T55="12-조건부승인",0.9,IF(T55="10-시험완료",0.85,IF(T55="09-시험준비중",0.55,IF(T55="08-단품준비완료",0.4,IF(T55="07-미인수",0.3,IF(T55="05-계획서승인",0.2,IF(T55="06-BIW중단",0.15,IF(T55="03-검토중",0.1,IF(T55="02-제출_미검토",0.05,IF(T55="04-검토중_보완",0.05,0))))))))))))</f>
        <v/>
      </c>
      <c r="V55" s="2">
        <f>IF(C55="","",IF(S55&lt;&gt;"","—",IF(M55="","",M55-TODAY())))</f>
        <v/>
      </c>
      <c r="W55" s="21">
        <f>IF(C55="","",IF(T55="11-결과등록완료","— 완료",IF(T55="01-미제출",IF(I55&lt;TODAY(),"계획서 제출 독촉","계획서 제출 대기"),IF(T55="02-제출_미검토","검토 착수 필요",IF(T55="03-검토중","승인 처리 대기",IF(T55="04-검토중_보완","보완 → 재제출 독촉",IF(T55="05-계획서승인","부품 준비 현황 확인",IF(T55="06-BIW중단","BIW팀 확인",IF(T55="07-미인수","협력사 인수 독촉",IF(T55="08-단품준비완료","시험 일정 확인",IF(T55="09-시험준비중","시험 모니터링",IF(T55="10-시험완료","성적서 등록 독촉",IF(T55="12-조건부승인","조건부 승인 판단","—")))))))))))))</f>
        <v/>
      </c>
    </row>
    <row r="56">
      <c r="A56" s="2">
        <f>IF(C56="","",ROW()-4)</f>
        <v/>
      </c>
      <c r="B56" s="19" t="n"/>
      <c r="C56" s="19" t="n"/>
      <c r="D56" s="19" t="n"/>
      <c r="E56" s="19" t="n"/>
      <c r="F56" s="19" t="n"/>
      <c r="G56" s="19" t="n"/>
      <c r="H56" s="19" t="n"/>
      <c r="I56" s="18">
        <f>IF(C56="","",'Ref_Schedule'!$B$5)</f>
        <v/>
      </c>
      <c r="J56" s="18">
        <f>IF(C56="","",'Ref_Schedule'!$B$6)</f>
        <v/>
      </c>
      <c r="K56" s="18">
        <f>IF(C56="","",'Ref_Schedule'!$B$7)</f>
        <v/>
      </c>
      <c r="L56" s="18">
        <f>IF(C56="","",K56+14)</f>
        <v/>
      </c>
      <c r="M56" s="18">
        <f>IF(C56="","",'Ref_Schedule'!$B$8)</f>
        <v/>
      </c>
      <c r="N56" s="19" t="n"/>
      <c r="O56" s="19" t="n"/>
      <c r="P56" s="19" t="n"/>
      <c r="Q56" s="19" t="n"/>
      <c r="R56" s="19" t="n"/>
      <c r="S56" s="19" t="n"/>
      <c r="T56" s="8">
        <f>IF(C56="","",IF(AND(S56&lt;&gt;"",R56&lt;&gt;""),"11-결과등록완료",IF(AND(R56&lt;&gt;"",S56=""),"10-시험완료",IF(AND(Q56&lt;&gt;"",R56=""),"09-시험준비중",IF(AND(P56&lt;&gt;"",Q56=""),"08-단품준비완료",IF(O56="Approved","05-계획서승인",IF(O56="Revision Needed","04-검토중_보완",IF(O56="Under Review","03-검토중",IF(AND(N56&lt;&gt;"",O56=""),"02-제출_미검토","01-미제출")))))))))</f>
        <v/>
      </c>
      <c r="U56" s="20">
        <f>IF(C56="","",IF(T56="11-결과등록완료",1,IF(T56="12-조건부승인",0.9,IF(T56="10-시험완료",0.85,IF(T56="09-시험준비중",0.55,IF(T56="08-단품준비완료",0.4,IF(T56="07-미인수",0.3,IF(T56="05-계획서승인",0.2,IF(T56="06-BIW중단",0.15,IF(T56="03-검토중",0.1,IF(T56="02-제출_미검토",0.05,IF(T56="04-검토중_보완",0.05,0))))))))))))</f>
        <v/>
      </c>
      <c r="V56" s="2">
        <f>IF(C56="","",IF(S56&lt;&gt;"","—",IF(M56="","",M56-TODAY())))</f>
        <v/>
      </c>
      <c r="W56" s="21">
        <f>IF(C56="","",IF(T56="11-결과등록완료","— 완료",IF(T56="01-미제출",IF(I56&lt;TODAY(),"계획서 제출 독촉","계획서 제출 대기"),IF(T56="02-제출_미검토","검토 착수 필요",IF(T56="03-검토중","승인 처리 대기",IF(T56="04-검토중_보완","보완 → 재제출 독촉",IF(T56="05-계획서승인","부품 준비 현황 확인",IF(T56="06-BIW중단","BIW팀 확인",IF(T56="07-미인수","협력사 인수 독촉",IF(T56="08-단품준비완료","시험 일정 확인",IF(T56="09-시험준비중","시험 모니터링",IF(T56="10-시험완료","성적서 등록 독촉",IF(T56="12-조건부승인","조건부 승인 판단","—")))))))))))))</f>
        <v/>
      </c>
    </row>
    <row r="57">
      <c r="A57" s="2">
        <f>IF(C57="","",ROW()-4)</f>
        <v/>
      </c>
      <c r="B57" s="19" t="n"/>
      <c r="C57" s="19" t="n"/>
      <c r="D57" s="19" t="n"/>
      <c r="E57" s="19" t="n"/>
      <c r="F57" s="19" t="n"/>
      <c r="G57" s="19" t="n"/>
      <c r="H57" s="19" t="n"/>
      <c r="I57" s="18">
        <f>IF(C57="","",'Ref_Schedule'!$B$5)</f>
        <v/>
      </c>
      <c r="J57" s="18">
        <f>IF(C57="","",'Ref_Schedule'!$B$6)</f>
        <v/>
      </c>
      <c r="K57" s="18">
        <f>IF(C57="","",'Ref_Schedule'!$B$7)</f>
        <v/>
      </c>
      <c r="L57" s="18">
        <f>IF(C57="","",K57+14)</f>
        <v/>
      </c>
      <c r="M57" s="18">
        <f>IF(C57="","",'Ref_Schedule'!$B$8)</f>
        <v/>
      </c>
      <c r="N57" s="19" t="n"/>
      <c r="O57" s="19" t="n"/>
      <c r="P57" s="19" t="n"/>
      <c r="Q57" s="19" t="n"/>
      <c r="R57" s="19" t="n"/>
      <c r="S57" s="19" t="n"/>
      <c r="T57" s="8">
        <f>IF(C57="","",IF(AND(S57&lt;&gt;"",R57&lt;&gt;""),"11-결과등록완료",IF(AND(R57&lt;&gt;"",S57=""),"10-시험완료",IF(AND(Q57&lt;&gt;"",R57=""),"09-시험준비중",IF(AND(P57&lt;&gt;"",Q57=""),"08-단품준비완료",IF(O57="Approved","05-계획서승인",IF(O57="Revision Needed","04-검토중_보완",IF(O57="Under Review","03-검토중",IF(AND(N57&lt;&gt;"",O57=""),"02-제출_미검토","01-미제출")))))))))</f>
        <v/>
      </c>
      <c r="U57" s="20">
        <f>IF(C57="","",IF(T57="11-결과등록완료",1,IF(T57="12-조건부승인",0.9,IF(T57="10-시험완료",0.85,IF(T57="09-시험준비중",0.55,IF(T57="08-단품준비완료",0.4,IF(T57="07-미인수",0.3,IF(T57="05-계획서승인",0.2,IF(T57="06-BIW중단",0.15,IF(T57="03-검토중",0.1,IF(T57="02-제출_미검토",0.05,IF(T57="04-검토중_보완",0.05,0))))))))))))</f>
        <v/>
      </c>
      <c r="V57" s="2">
        <f>IF(C57="","",IF(S57&lt;&gt;"","—",IF(M57="","",M57-TODAY())))</f>
        <v/>
      </c>
      <c r="W57" s="21">
        <f>IF(C57="","",IF(T57="11-결과등록완료","— 완료",IF(T57="01-미제출",IF(I57&lt;TODAY(),"계획서 제출 독촉","계획서 제출 대기"),IF(T57="02-제출_미검토","검토 착수 필요",IF(T57="03-검토중","승인 처리 대기",IF(T57="04-검토중_보완","보완 → 재제출 독촉",IF(T57="05-계획서승인","부품 준비 현황 확인",IF(T57="06-BIW중단","BIW팀 확인",IF(T57="07-미인수","협력사 인수 독촉",IF(T57="08-단품준비완료","시험 일정 확인",IF(T57="09-시험준비중","시험 모니터링",IF(T57="10-시험완료","성적서 등록 독촉",IF(T57="12-조건부승인","조건부 승인 판단","—")))))))))))))</f>
        <v/>
      </c>
    </row>
    <row r="58">
      <c r="A58" s="2">
        <f>IF(C58="","",ROW()-4)</f>
        <v/>
      </c>
      <c r="B58" s="19" t="n"/>
      <c r="C58" s="19" t="n"/>
      <c r="D58" s="19" t="n"/>
      <c r="E58" s="19" t="n"/>
      <c r="F58" s="19" t="n"/>
      <c r="G58" s="19" t="n"/>
      <c r="H58" s="19" t="n"/>
      <c r="I58" s="18">
        <f>IF(C58="","",'Ref_Schedule'!$B$5)</f>
        <v/>
      </c>
      <c r="J58" s="18">
        <f>IF(C58="","",'Ref_Schedule'!$B$6)</f>
        <v/>
      </c>
      <c r="K58" s="18">
        <f>IF(C58="","",'Ref_Schedule'!$B$7)</f>
        <v/>
      </c>
      <c r="L58" s="18">
        <f>IF(C58="","",K58+14)</f>
        <v/>
      </c>
      <c r="M58" s="18">
        <f>IF(C58="","",'Ref_Schedule'!$B$8)</f>
        <v/>
      </c>
      <c r="N58" s="19" t="n"/>
      <c r="O58" s="19" t="n"/>
      <c r="P58" s="19" t="n"/>
      <c r="Q58" s="19" t="n"/>
      <c r="R58" s="19" t="n"/>
      <c r="S58" s="19" t="n"/>
      <c r="T58" s="8">
        <f>IF(C58="","",IF(AND(S58&lt;&gt;"",R58&lt;&gt;""),"11-결과등록완료",IF(AND(R58&lt;&gt;"",S58=""),"10-시험완료",IF(AND(Q58&lt;&gt;"",R58=""),"09-시험준비중",IF(AND(P58&lt;&gt;"",Q58=""),"08-단품준비완료",IF(O58="Approved","05-계획서승인",IF(O58="Revision Needed","04-검토중_보완",IF(O58="Under Review","03-검토중",IF(AND(N58&lt;&gt;"",O58=""),"02-제출_미검토","01-미제출")))))))))</f>
        <v/>
      </c>
      <c r="U58" s="20">
        <f>IF(C58="","",IF(T58="11-결과등록완료",1,IF(T58="12-조건부승인",0.9,IF(T58="10-시험완료",0.85,IF(T58="09-시험준비중",0.55,IF(T58="08-단품준비완료",0.4,IF(T58="07-미인수",0.3,IF(T58="05-계획서승인",0.2,IF(T58="06-BIW중단",0.15,IF(T58="03-검토중",0.1,IF(T58="02-제출_미검토",0.05,IF(T58="04-검토중_보완",0.05,0))))))))))))</f>
        <v/>
      </c>
      <c r="V58" s="2">
        <f>IF(C58="","",IF(S58&lt;&gt;"","—",IF(M58="","",M58-TODAY())))</f>
        <v/>
      </c>
      <c r="W58" s="21">
        <f>IF(C58="","",IF(T58="11-결과등록완료","— 완료",IF(T58="01-미제출",IF(I58&lt;TODAY(),"계획서 제출 독촉","계획서 제출 대기"),IF(T58="02-제출_미검토","검토 착수 필요",IF(T58="03-검토중","승인 처리 대기",IF(T58="04-검토중_보완","보완 → 재제출 독촉",IF(T58="05-계획서승인","부품 준비 현황 확인",IF(T58="06-BIW중단","BIW팀 확인",IF(T58="07-미인수","협력사 인수 독촉",IF(T58="08-단품준비완료","시험 일정 확인",IF(T58="09-시험준비중","시험 모니터링",IF(T58="10-시험완료","성적서 등록 독촉",IF(T58="12-조건부승인","조건부 승인 판단","—")))))))))))))</f>
        <v/>
      </c>
    </row>
    <row r="59">
      <c r="A59" s="2">
        <f>IF(C59="","",ROW()-4)</f>
        <v/>
      </c>
      <c r="B59" s="19" t="n"/>
      <c r="C59" s="19" t="n"/>
      <c r="D59" s="19" t="n"/>
      <c r="E59" s="19" t="n"/>
      <c r="F59" s="19" t="n"/>
      <c r="G59" s="19" t="n"/>
      <c r="H59" s="19" t="n"/>
      <c r="I59" s="18">
        <f>IF(C59="","",'Ref_Schedule'!$B$5)</f>
        <v/>
      </c>
      <c r="J59" s="18">
        <f>IF(C59="","",'Ref_Schedule'!$B$6)</f>
        <v/>
      </c>
      <c r="K59" s="18">
        <f>IF(C59="","",'Ref_Schedule'!$B$7)</f>
        <v/>
      </c>
      <c r="L59" s="18">
        <f>IF(C59="","",K59+14)</f>
        <v/>
      </c>
      <c r="M59" s="18">
        <f>IF(C59="","",'Ref_Schedule'!$B$8)</f>
        <v/>
      </c>
      <c r="N59" s="19" t="n"/>
      <c r="O59" s="19" t="n"/>
      <c r="P59" s="19" t="n"/>
      <c r="Q59" s="19" t="n"/>
      <c r="R59" s="19" t="n"/>
      <c r="S59" s="19" t="n"/>
      <c r="T59" s="8">
        <f>IF(C59="","",IF(AND(S59&lt;&gt;"",R59&lt;&gt;""),"11-결과등록완료",IF(AND(R59&lt;&gt;"",S59=""),"10-시험완료",IF(AND(Q59&lt;&gt;"",R59=""),"09-시험준비중",IF(AND(P59&lt;&gt;"",Q59=""),"08-단품준비완료",IF(O59="Approved","05-계획서승인",IF(O59="Revision Needed","04-검토중_보완",IF(O59="Under Review","03-검토중",IF(AND(N59&lt;&gt;"",O59=""),"02-제출_미검토","01-미제출")))))))))</f>
        <v/>
      </c>
      <c r="U59" s="20">
        <f>IF(C59="","",IF(T59="11-결과등록완료",1,IF(T59="12-조건부승인",0.9,IF(T59="10-시험완료",0.85,IF(T59="09-시험준비중",0.55,IF(T59="08-단품준비완료",0.4,IF(T59="07-미인수",0.3,IF(T59="05-계획서승인",0.2,IF(T59="06-BIW중단",0.15,IF(T59="03-검토중",0.1,IF(T59="02-제출_미검토",0.05,IF(T59="04-검토중_보완",0.05,0))))))))))))</f>
        <v/>
      </c>
      <c r="V59" s="2">
        <f>IF(C59="","",IF(S59&lt;&gt;"","—",IF(M59="","",M59-TODAY())))</f>
        <v/>
      </c>
      <c r="W59" s="21">
        <f>IF(C59="","",IF(T59="11-결과등록완료","— 완료",IF(T59="01-미제출",IF(I59&lt;TODAY(),"계획서 제출 독촉","계획서 제출 대기"),IF(T59="02-제출_미검토","검토 착수 필요",IF(T59="03-검토중","승인 처리 대기",IF(T59="04-검토중_보완","보완 → 재제출 독촉",IF(T59="05-계획서승인","부품 준비 현황 확인",IF(T59="06-BIW중단","BIW팀 확인",IF(T59="07-미인수","협력사 인수 독촉",IF(T59="08-단품준비완료","시험 일정 확인",IF(T59="09-시험준비중","시험 모니터링",IF(T59="10-시험완료","성적서 등록 독촉",IF(T59="12-조건부승인","조건부 승인 판단","—")))))))))))))</f>
        <v/>
      </c>
    </row>
    <row r="60">
      <c r="A60" s="2">
        <f>IF(C60="","",ROW()-4)</f>
        <v/>
      </c>
      <c r="B60" s="19" t="n"/>
      <c r="C60" s="19" t="n"/>
      <c r="D60" s="19" t="n"/>
      <c r="E60" s="19" t="n"/>
      <c r="F60" s="19" t="n"/>
      <c r="G60" s="19" t="n"/>
      <c r="H60" s="19" t="n"/>
      <c r="I60" s="18">
        <f>IF(C60="","",'Ref_Schedule'!$B$5)</f>
        <v/>
      </c>
      <c r="J60" s="18">
        <f>IF(C60="","",'Ref_Schedule'!$B$6)</f>
        <v/>
      </c>
      <c r="K60" s="18">
        <f>IF(C60="","",'Ref_Schedule'!$B$7)</f>
        <v/>
      </c>
      <c r="L60" s="18">
        <f>IF(C60="","",K60+14)</f>
        <v/>
      </c>
      <c r="M60" s="18">
        <f>IF(C60="","",'Ref_Schedule'!$B$8)</f>
        <v/>
      </c>
      <c r="N60" s="19" t="n"/>
      <c r="O60" s="19" t="n"/>
      <c r="P60" s="19" t="n"/>
      <c r="Q60" s="19" t="n"/>
      <c r="R60" s="19" t="n"/>
      <c r="S60" s="19" t="n"/>
      <c r="T60" s="8">
        <f>IF(C60="","",IF(AND(S60&lt;&gt;"",R60&lt;&gt;""),"11-결과등록완료",IF(AND(R60&lt;&gt;"",S60=""),"10-시험완료",IF(AND(Q60&lt;&gt;"",R60=""),"09-시험준비중",IF(AND(P60&lt;&gt;"",Q60=""),"08-단품준비완료",IF(O60="Approved","05-계획서승인",IF(O60="Revision Needed","04-검토중_보완",IF(O60="Under Review","03-검토중",IF(AND(N60&lt;&gt;"",O60=""),"02-제출_미검토","01-미제출")))))))))</f>
        <v/>
      </c>
      <c r="U60" s="20">
        <f>IF(C60="","",IF(T60="11-결과등록완료",1,IF(T60="12-조건부승인",0.9,IF(T60="10-시험완료",0.85,IF(T60="09-시험준비중",0.55,IF(T60="08-단품준비완료",0.4,IF(T60="07-미인수",0.3,IF(T60="05-계획서승인",0.2,IF(T60="06-BIW중단",0.15,IF(T60="03-검토중",0.1,IF(T60="02-제출_미검토",0.05,IF(T60="04-검토중_보완",0.05,0))))))))))))</f>
        <v/>
      </c>
      <c r="V60" s="2">
        <f>IF(C60="","",IF(S60&lt;&gt;"","—",IF(M60="","",M60-TODAY())))</f>
        <v/>
      </c>
      <c r="W60" s="21">
        <f>IF(C60="","",IF(T60="11-결과등록완료","— 완료",IF(T60="01-미제출",IF(I60&lt;TODAY(),"계획서 제출 독촉","계획서 제출 대기"),IF(T60="02-제출_미검토","검토 착수 필요",IF(T60="03-검토중","승인 처리 대기",IF(T60="04-검토중_보완","보완 → 재제출 독촉",IF(T60="05-계획서승인","부품 준비 현황 확인",IF(T60="06-BIW중단","BIW팀 확인",IF(T60="07-미인수","협력사 인수 독촉",IF(T60="08-단품준비완료","시험 일정 확인",IF(T60="09-시험준비중","시험 모니터링",IF(T60="10-시험완료","성적서 등록 독촉",IF(T60="12-조건부승인","조건부 승인 판단","—")))))))))))))</f>
        <v/>
      </c>
    </row>
    <row r="61">
      <c r="A61" s="2">
        <f>IF(C61="","",ROW()-4)</f>
        <v/>
      </c>
      <c r="B61" s="19" t="n"/>
      <c r="C61" s="19" t="n"/>
      <c r="D61" s="19" t="n"/>
      <c r="E61" s="19" t="n"/>
      <c r="F61" s="19" t="n"/>
      <c r="G61" s="19" t="n"/>
      <c r="H61" s="19" t="n"/>
      <c r="I61" s="18">
        <f>IF(C61="","",'Ref_Schedule'!$B$5)</f>
        <v/>
      </c>
      <c r="J61" s="18">
        <f>IF(C61="","",'Ref_Schedule'!$B$6)</f>
        <v/>
      </c>
      <c r="K61" s="18">
        <f>IF(C61="","",'Ref_Schedule'!$B$7)</f>
        <v/>
      </c>
      <c r="L61" s="18">
        <f>IF(C61="","",K61+14)</f>
        <v/>
      </c>
      <c r="M61" s="18">
        <f>IF(C61="","",'Ref_Schedule'!$B$8)</f>
        <v/>
      </c>
      <c r="N61" s="19" t="n"/>
      <c r="O61" s="19" t="n"/>
      <c r="P61" s="19" t="n"/>
      <c r="Q61" s="19" t="n"/>
      <c r="R61" s="19" t="n"/>
      <c r="S61" s="19" t="n"/>
      <c r="T61" s="8">
        <f>IF(C61="","",IF(AND(S61&lt;&gt;"",R61&lt;&gt;""),"11-결과등록완료",IF(AND(R61&lt;&gt;"",S61=""),"10-시험완료",IF(AND(Q61&lt;&gt;"",R61=""),"09-시험준비중",IF(AND(P61&lt;&gt;"",Q61=""),"08-단품준비완료",IF(O61="Approved","05-계획서승인",IF(O61="Revision Needed","04-검토중_보완",IF(O61="Under Review","03-검토중",IF(AND(N61&lt;&gt;"",O61=""),"02-제출_미검토","01-미제출")))))))))</f>
        <v/>
      </c>
      <c r="U61" s="20">
        <f>IF(C61="","",IF(T61="11-결과등록완료",1,IF(T61="12-조건부승인",0.9,IF(T61="10-시험완료",0.85,IF(T61="09-시험준비중",0.55,IF(T61="08-단품준비완료",0.4,IF(T61="07-미인수",0.3,IF(T61="05-계획서승인",0.2,IF(T61="06-BIW중단",0.15,IF(T61="03-검토중",0.1,IF(T61="02-제출_미검토",0.05,IF(T61="04-검토중_보완",0.05,0))))))))))))</f>
        <v/>
      </c>
      <c r="V61" s="2">
        <f>IF(C61="","",IF(S61&lt;&gt;"","—",IF(M61="","",M61-TODAY())))</f>
        <v/>
      </c>
      <c r="W61" s="21">
        <f>IF(C61="","",IF(T61="11-결과등록완료","— 완료",IF(T61="01-미제출",IF(I61&lt;TODAY(),"계획서 제출 독촉","계획서 제출 대기"),IF(T61="02-제출_미검토","검토 착수 필요",IF(T61="03-검토중","승인 처리 대기",IF(T61="04-검토중_보완","보완 → 재제출 독촉",IF(T61="05-계획서승인","부품 준비 현황 확인",IF(T61="06-BIW중단","BIW팀 확인",IF(T61="07-미인수","협력사 인수 독촉",IF(T61="08-단품준비완료","시험 일정 확인",IF(T61="09-시험준비중","시험 모니터링",IF(T61="10-시험완료","성적서 등록 독촉",IF(T61="12-조건부승인","조건부 승인 판단","—")))))))))))))</f>
        <v/>
      </c>
    </row>
    <row r="62">
      <c r="A62" s="2">
        <f>IF(C62="","",ROW()-4)</f>
        <v/>
      </c>
      <c r="B62" s="19" t="n"/>
      <c r="C62" s="19" t="n"/>
      <c r="D62" s="19" t="n"/>
      <c r="E62" s="19" t="n"/>
      <c r="F62" s="19" t="n"/>
      <c r="G62" s="19" t="n"/>
      <c r="H62" s="19" t="n"/>
      <c r="I62" s="18">
        <f>IF(C62="","",'Ref_Schedule'!$B$5)</f>
        <v/>
      </c>
      <c r="J62" s="18">
        <f>IF(C62="","",'Ref_Schedule'!$B$6)</f>
        <v/>
      </c>
      <c r="K62" s="18">
        <f>IF(C62="","",'Ref_Schedule'!$B$7)</f>
        <v/>
      </c>
      <c r="L62" s="18">
        <f>IF(C62="","",K62+14)</f>
        <v/>
      </c>
      <c r="M62" s="18">
        <f>IF(C62="","",'Ref_Schedule'!$B$8)</f>
        <v/>
      </c>
      <c r="N62" s="19" t="n"/>
      <c r="O62" s="19" t="n"/>
      <c r="P62" s="19" t="n"/>
      <c r="Q62" s="19" t="n"/>
      <c r="R62" s="19" t="n"/>
      <c r="S62" s="19" t="n"/>
      <c r="T62" s="8">
        <f>IF(C62="","",IF(AND(S62&lt;&gt;"",R62&lt;&gt;""),"11-결과등록완료",IF(AND(R62&lt;&gt;"",S62=""),"10-시험완료",IF(AND(Q62&lt;&gt;"",R62=""),"09-시험준비중",IF(AND(P62&lt;&gt;"",Q62=""),"08-단품준비완료",IF(O62="Approved","05-계획서승인",IF(O62="Revision Needed","04-검토중_보완",IF(O62="Under Review","03-검토중",IF(AND(N62&lt;&gt;"",O62=""),"02-제출_미검토","01-미제출")))))))))</f>
        <v/>
      </c>
      <c r="U62" s="20">
        <f>IF(C62="","",IF(T62="11-결과등록완료",1,IF(T62="12-조건부승인",0.9,IF(T62="10-시험완료",0.85,IF(T62="09-시험준비중",0.55,IF(T62="08-단품준비완료",0.4,IF(T62="07-미인수",0.3,IF(T62="05-계획서승인",0.2,IF(T62="06-BIW중단",0.15,IF(T62="03-검토중",0.1,IF(T62="02-제출_미검토",0.05,IF(T62="04-검토중_보완",0.05,0))))))))))))</f>
        <v/>
      </c>
      <c r="V62" s="2">
        <f>IF(C62="","",IF(S62&lt;&gt;"","—",IF(M62="","",M62-TODAY())))</f>
        <v/>
      </c>
      <c r="W62" s="21">
        <f>IF(C62="","",IF(T62="11-결과등록완료","— 완료",IF(T62="01-미제출",IF(I62&lt;TODAY(),"계획서 제출 독촉","계획서 제출 대기"),IF(T62="02-제출_미검토","검토 착수 필요",IF(T62="03-검토중","승인 처리 대기",IF(T62="04-검토중_보완","보완 → 재제출 독촉",IF(T62="05-계획서승인","부품 준비 현황 확인",IF(T62="06-BIW중단","BIW팀 확인",IF(T62="07-미인수","협력사 인수 독촉",IF(T62="08-단품준비완료","시험 일정 확인",IF(T62="09-시험준비중","시험 모니터링",IF(T62="10-시험완료","성적서 등록 독촉",IF(T62="12-조건부승인","조건부 승인 판단","—")))))))))))))</f>
        <v/>
      </c>
    </row>
    <row r="63">
      <c r="A63" s="2">
        <f>IF(C63="","",ROW()-4)</f>
        <v/>
      </c>
      <c r="B63" s="19" t="n"/>
      <c r="C63" s="19" t="n"/>
      <c r="D63" s="19" t="n"/>
      <c r="E63" s="19" t="n"/>
      <c r="F63" s="19" t="n"/>
      <c r="G63" s="19" t="n"/>
      <c r="H63" s="19" t="n"/>
      <c r="I63" s="18">
        <f>IF(C63="","",'Ref_Schedule'!$B$5)</f>
        <v/>
      </c>
      <c r="J63" s="18">
        <f>IF(C63="","",'Ref_Schedule'!$B$6)</f>
        <v/>
      </c>
      <c r="K63" s="18">
        <f>IF(C63="","",'Ref_Schedule'!$B$7)</f>
        <v/>
      </c>
      <c r="L63" s="18">
        <f>IF(C63="","",K63+14)</f>
        <v/>
      </c>
      <c r="M63" s="18">
        <f>IF(C63="","",'Ref_Schedule'!$B$8)</f>
        <v/>
      </c>
      <c r="N63" s="19" t="n"/>
      <c r="O63" s="19" t="n"/>
      <c r="P63" s="19" t="n"/>
      <c r="Q63" s="19" t="n"/>
      <c r="R63" s="19" t="n"/>
      <c r="S63" s="19" t="n"/>
      <c r="T63" s="8">
        <f>IF(C63="","",IF(AND(S63&lt;&gt;"",R63&lt;&gt;""),"11-결과등록완료",IF(AND(R63&lt;&gt;"",S63=""),"10-시험완료",IF(AND(Q63&lt;&gt;"",R63=""),"09-시험준비중",IF(AND(P63&lt;&gt;"",Q63=""),"08-단품준비완료",IF(O63="Approved","05-계획서승인",IF(O63="Revision Needed","04-검토중_보완",IF(O63="Under Review","03-검토중",IF(AND(N63&lt;&gt;"",O63=""),"02-제출_미검토","01-미제출")))))))))</f>
        <v/>
      </c>
      <c r="U63" s="20">
        <f>IF(C63="","",IF(T63="11-결과등록완료",1,IF(T63="12-조건부승인",0.9,IF(T63="10-시험완료",0.85,IF(T63="09-시험준비중",0.55,IF(T63="08-단품준비완료",0.4,IF(T63="07-미인수",0.3,IF(T63="05-계획서승인",0.2,IF(T63="06-BIW중단",0.15,IF(T63="03-검토중",0.1,IF(T63="02-제출_미검토",0.05,IF(T63="04-검토중_보완",0.05,0))))))))))))</f>
        <v/>
      </c>
      <c r="V63" s="2">
        <f>IF(C63="","",IF(S63&lt;&gt;"","—",IF(M63="","",M63-TODAY())))</f>
        <v/>
      </c>
      <c r="W63" s="21">
        <f>IF(C63="","",IF(T63="11-결과등록완료","— 완료",IF(T63="01-미제출",IF(I63&lt;TODAY(),"계획서 제출 독촉","계획서 제출 대기"),IF(T63="02-제출_미검토","검토 착수 필요",IF(T63="03-검토중","승인 처리 대기",IF(T63="04-검토중_보완","보완 → 재제출 독촉",IF(T63="05-계획서승인","부품 준비 현황 확인",IF(T63="06-BIW중단","BIW팀 확인",IF(T63="07-미인수","협력사 인수 독촉",IF(T63="08-단품준비완료","시험 일정 확인",IF(T63="09-시험준비중","시험 모니터링",IF(T63="10-시험완료","성적서 등록 독촉",IF(T63="12-조건부승인","조건부 승인 판단","—")))))))))))))</f>
        <v/>
      </c>
    </row>
    <row r="64">
      <c r="A64" s="2">
        <f>IF(C64="","",ROW()-4)</f>
        <v/>
      </c>
      <c r="B64" s="19" t="n"/>
      <c r="C64" s="19" t="n"/>
      <c r="D64" s="19" t="n"/>
      <c r="E64" s="19" t="n"/>
      <c r="F64" s="19" t="n"/>
      <c r="G64" s="19" t="n"/>
      <c r="H64" s="19" t="n"/>
      <c r="I64" s="18">
        <f>IF(C64="","",'Ref_Schedule'!$B$5)</f>
        <v/>
      </c>
      <c r="J64" s="18">
        <f>IF(C64="","",'Ref_Schedule'!$B$6)</f>
        <v/>
      </c>
      <c r="K64" s="18">
        <f>IF(C64="","",'Ref_Schedule'!$B$7)</f>
        <v/>
      </c>
      <c r="L64" s="18">
        <f>IF(C64="","",K64+14)</f>
        <v/>
      </c>
      <c r="M64" s="18">
        <f>IF(C64="","",'Ref_Schedule'!$B$8)</f>
        <v/>
      </c>
      <c r="N64" s="19" t="n"/>
      <c r="O64" s="19" t="n"/>
      <c r="P64" s="19" t="n"/>
      <c r="Q64" s="19" t="n"/>
      <c r="R64" s="19" t="n"/>
      <c r="S64" s="19" t="n"/>
      <c r="T64" s="8">
        <f>IF(C64="","",IF(AND(S64&lt;&gt;"",R64&lt;&gt;""),"11-결과등록완료",IF(AND(R64&lt;&gt;"",S64=""),"10-시험완료",IF(AND(Q64&lt;&gt;"",R64=""),"09-시험준비중",IF(AND(P64&lt;&gt;"",Q64=""),"08-단품준비완료",IF(O64="Approved","05-계획서승인",IF(O64="Revision Needed","04-검토중_보완",IF(O64="Under Review","03-검토중",IF(AND(N64&lt;&gt;"",O64=""),"02-제출_미검토","01-미제출")))))))))</f>
        <v/>
      </c>
      <c r="U64" s="20">
        <f>IF(C64="","",IF(T64="11-결과등록완료",1,IF(T64="12-조건부승인",0.9,IF(T64="10-시험완료",0.85,IF(T64="09-시험준비중",0.55,IF(T64="08-단품준비완료",0.4,IF(T64="07-미인수",0.3,IF(T64="05-계획서승인",0.2,IF(T64="06-BIW중단",0.15,IF(T64="03-검토중",0.1,IF(T64="02-제출_미검토",0.05,IF(T64="04-검토중_보완",0.05,0))))))))))))</f>
        <v/>
      </c>
      <c r="V64" s="2">
        <f>IF(C64="","",IF(S64&lt;&gt;"","—",IF(M64="","",M64-TODAY())))</f>
        <v/>
      </c>
      <c r="W64" s="21">
        <f>IF(C64="","",IF(T64="11-결과등록완료","— 완료",IF(T64="01-미제출",IF(I64&lt;TODAY(),"계획서 제출 독촉","계획서 제출 대기"),IF(T64="02-제출_미검토","검토 착수 필요",IF(T64="03-검토중","승인 처리 대기",IF(T64="04-검토중_보완","보완 → 재제출 독촉",IF(T64="05-계획서승인","부품 준비 현황 확인",IF(T64="06-BIW중단","BIW팀 확인",IF(T64="07-미인수","협력사 인수 독촉",IF(T64="08-단품준비완료","시험 일정 확인",IF(T64="09-시험준비중","시험 모니터링",IF(T64="10-시험완료","성적서 등록 독촉",IF(T64="12-조건부승인","조건부 승인 판단","—")))))))))))))</f>
        <v/>
      </c>
    </row>
    <row r="65">
      <c r="A65" s="2">
        <f>IF(C65="","",ROW()-4)</f>
        <v/>
      </c>
      <c r="B65" s="19" t="n"/>
      <c r="C65" s="19" t="n"/>
      <c r="D65" s="19" t="n"/>
      <c r="E65" s="19" t="n"/>
      <c r="F65" s="19" t="n"/>
      <c r="G65" s="19" t="n"/>
      <c r="H65" s="19" t="n"/>
      <c r="I65" s="18">
        <f>IF(C65="","",'Ref_Schedule'!$B$5)</f>
        <v/>
      </c>
      <c r="J65" s="18">
        <f>IF(C65="","",'Ref_Schedule'!$B$6)</f>
        <v/>
      </c>
      <c r="K65" s="18">
        <f>IF(C65="","",'Ref_Schedule'!$B$7)</f>
        <v/>
      </c>
      <c r="L65" s="18">
        <f>IF(C65="","",K65+14)</f>
        <v/>
      </c>
      <c r="M65" s="18">
        <f>IF(C65="","",'Ref_Schedule'!$B$8)</f>
        <v/>
      </c>
      <c r="N65" s="19" t="n"/>
      <c r="O65" s="19" t="n"/>
      <c r="P65" s="19" t="n"/>
      <c r="Q65" s="19" t="n"/>
      <c r="R65" s="19" t="n"/>
      <c r="S65" s="19" t="n"/>
      <c r="T65" s="8">
        <f>IF(C65="","",IF(AND(S65&lt;&gt;"",R65&lt;&gt;""),"11-결과등록완료",IF(AND(R65&lt;&gt;"",S65=""),"10-시험완료",IF(AND(Q65&lt;&gt;"",R65=""),"09-시험준비중",IF(AND(P65&lt;&gt;"",Q65=""),"08-단품준비완료",IF(O65="Approved","05-계획서승인",IF(O65="Revision Needed","04-검토중_보완",IF(O65="Under Review","03-검토중",IF(AND(N65&lt;&gt;"",O65=""),"02-제출_미검토","01-미제출")))))))))</f>
        <v/>
      </c>
      <c r="U65" s="20">
        <f>IF(C65="","",IF(T65="11-결과등록완료",1,IF(T65="12-조건부승인",0.9,IF(T65="10-시험완료",0.85,IF(T65="09-시험준비중",0.55,IF(T65="08-단품준비완료",0.4,IF(T65="07-미인수",0.3,IF(T65="05-계획서승인",0.2,IF(T65="06-BIW중단",0.15,IF(T65="03-검토중",0.1,IF(T65="02-제출_미검토",0.05,IF(T65="04-검토중_보완",0.05,0))))))))))))</f>
        <v/>
      </c>
      <c r="V65" s="2">
        <f>IF(C65="","",IF(S65&lt;&gt;"","—",IF(M65="","",M65-TODAY())))</f>
        <v/>
      </c>
      <c r="W65" s="21">
        <f>IF(C65="","",IF(T65="11-결과등록완료","— 완료",IF(T65="01-미제출",IF(I65&lt;TODAY(),"계획서 제출 독촉","계획서 제출 대기"),IF(T65="02-제출_미검토","검토 착수 필요",IF(T65="03-검토중","승인 처리 대기",IF(T65="04-검토중_보완","보완 → 재제출 독촉",IF(T65="05-계획서승인","부품 준비 현황 확인",IF(T65="06-BIW중단","BIW팀 확인",IF(T65="07-미인수","협력사 인수 독촉",IF(T65="08-단품준비완료","시험 일정 확인",IF(T65="09-시험준비중","시험 모니터링",IF(T65="10-시험완료","성적서 등록 독촉",IF(T65="12-조건부승인","조건부 승인 판단","—")))))))))))))</f>
        <v/>
      </c>
    </row>
    <row r="66">
      <c r="A66" s="2">
        <f>IF(C66="","",ROW()-4)</f>
        <v/>
      </c>
      <c r="B66" s="19" t="n"/>
      <c r="C66" s="19" t="n"/>
      <c r="D66" s="19" t="n"/>
      <c r="E66" s="19" t="n"/>
      <c r="F66" s="19" t="n"/>
      <c r="G66" s="19" t="n"/>
      <c r="H66" s="19" t="n"/>
      <c r="I66" s="18">
        <f>IF(C66="","",'Ref_Schedule'!$B$5)</f>
        <v/>
      </c>
      <c r="J66" s="18">
        <f>IF(C66="","",'Ref_Schedule'!$B$6)</f>
        <v/>
      </c>
      <c r="K66" s="18">
        <f>IF(C66="","",'Ref_Schedule'!$B$7)</f>
        <v/>
      </c>
      <c r="L66" s="18">
        <f>IF(C66="","",K66+14)</f>
        <v/>
      </c>
      <c r="M66" s="18">
        <f>IF(C66="","",'Ref_Schedule'!$B$8)</f>
        <v/>
      </c>
      <c r="N66" s="19" t="n"/>
      <c r="O66" s="19" t="n"/>
      <c r="P66" s="19" t="n"/>
      <c r="Q66" s="19" t="n"/>
      <c r="R66" s="19" t="n"/>
      <c r="S66" s="19" t="n"/>
      <c r="T66" s="8">
        <f>IF(C66="","",IF(AND(S66&lt;&gt;"",R66&lt;&gt;""),"11-결과등록완료",IF(AND(R66&lt;&gt;"",S66=""),"10-시험완료",IF(AND(Q66&lt;&gt;"",R66=""),"09-시험준비중",IF(AND(P66&lt;&gt;"",Q66=""),"08-단품준비완료",IF(O66="Approved","05-계획서승인",IF(O66="Revision Needed","04-검토중_보완",IF(O66="Under Review","03-검토중",IF(AND(N66&lt;&gt;"",O66=""),"02-제출_미검토","01-미제출")))))))))</f>
        <v/>
      </c>
      <c r="U66" s="20">
        <f>IF(C66="","",IF(T66="11-결과등록완료",1,IF(T66="12-조건부승인",0.9,IF(T66="10-시험완료",0.85,IF(T66="09-시험준비중",0.55,IF(T66="08-단품준비완료",0.4,IF(T66="07-미인수",0.3,IF(T66="05-계획서승인",0.2,IF(T66="06-BIW중단",0.15,IF(T66="03-검토중",0.1,IF(T66="02-제출_미검토",0.05,IF(T66="04-검토중_보완",0.05,0))))))))))))</f>
        <v/>
      </c>
      <c r="V66" s="2">
        <f>IF(C66="","",IF(S66&lt;&gt;"","—",IF(M66="","",M66-TODAY())))</f>
        <v/>
      </c>
      <c r="W66" s="21">
        <f>IF(C66="","",IF(T66="11-결과등록완료","— 완료",IF(T66="01-미제출",IF(I66&lt;TODAY(),"계획서 제출 독촉","계획서 제출 대기"),IF(T66="02-제출_미검토","검토 착수 필요",IF(T66="03-검토중","승인 처리 대기",IF(T66="04-검토중_보완","보완 → 재제출 독촉",IF(T66="05-계획서승인","부품 준비 현황 확인",IF(T66="06-BIW중단","BIW팀 확인",IF(T66="07-미인수","협력사 인수 독촉",IF(T66="08-단품준비완료","시험 일정 확인",IF(T66="09-시험준비중","시험 모니터링",IF(T66="10-시험완료","성적서 등록 독촉",IF(T66="12-조건부승인","조건부 승인 판단","—")))))))))))))</f>
        <v/>
      </c>
    </row>
    <row r="67">
      <c r="A67" s="2">
        <f>IF(C67="","",ROW()-4)</f>
        <v/>
      </c>
      <c r="B67" s="19" t="n"/>
      <c r="C67" s="19" t="n"/>
      <c r="D67" s="19" t="n"/>
      <c r="E67" s="19" t="n"/>
      <c r="F67" s="19" t="n"/>
      <c r="G67" s="19" t="n"/>
      <c r="H67" s="19" t="n"/>
      <c r="I67" s="18">
        <f>IF(C67="","",'Ref_Schedule'!$B$5)</f>
        <v/>
      </c>
      <c r="J67" s="18">
        <f>IF(C67="","",'Ref_Schedule'!$B$6)</f>
        <v/>
      </c>
      <c r="K67" s="18">
        <f>IF(C67="","",'Ref_Schedule'!$B$7)</f>
        <v/>
      </c>
      <c r="L67" s="18">
        <f>IF(C67="","",K67+14)</f>
        <v/>
      </c>
      <c r="M67" s="18">
        <f>IF(C67="","",'Ref_Schedule'!$B$8)</f>
        <v/>
      </c>
      <c r="N67" s="19" t="n"/>
      <c r="O67" s="19" t="n"/>
      <c r="P67" s="19" t="n"/>
      <c r="Q67" s="19" t="n"/>
      <c r="R67" s="19" t="n"/>
      <c r="S67" s="19" t="n"/>
      <c r="T67" s="8">
        <f>IF(C67="","",IF(AND(S67&lt;&gt;"",R67&lt;&gt;""),"11-결과등록완료",IF(AND(R67&lt;&gt;"",S67=""),"10-시험완료",IF(AND(Q67&lt;&gt;"",R67=""),"09-시험준비중",IF(AND(P67&lt;&gt;"",Q67=""),"08-단품준비완료",IF(O67="Approved","05-계획서승인",IF(O67="Revision Needed","04-검토중_보완",IF(O67="Under Review","03-검토중",IF(AND(N67&lt;&gt;"",O67=""),"02-제출_미검토","01-미제출")))))))))</f>
        <v/>
      </c>
      <c r="U67" s="20">
        <f>IF(C67="","",IF(T67="11-결과등록완료",1,IF(T67="12-조건부승인",0.9,IF(T67="10-시험완료",0.85,IF(T67="09-시험준비중",0.55,IF(T67="08-단품준비완료",0.4,IF(T67="07-미인수",0.3,IF(T67="05-계획서승인",0.2,IF(T67="06-BIW중단",0.15,IF(T67="03-검토중",0.1,IF(T67="02-제출_미검토",0.05,IF(T67="04-검토중_보완",0.05,0))))))))))))</f>
        <v/>
      </c>
      <c r="V67" s="2">
        <f>IF(C67="","",IF(S67&lt;&gt;"","—",IF(M67="","",M67-TODAY())))</f>
        <v/>
      </c>
      <c r="W67" s="21">
        <f>IF(C67="","",IF(T67="11-결과등록완료","— 완료",IF(T67="01-미제출",IF(I67&lt;TODAY(),"계획서 제출 독촉","계획서 제출 대기"),IF(T67="02-제출_미검토","검토 착수 필요",IF(T67="03-검토중","승인 처리 대기",IF(T67="04-검토중_보완","보완 → 재제출 독촉",IF(T67="05-계획서승인","부품 준비 현황 확인",IF(T67="06-BIW중단","BIW팀 확인",IF(T67="07-미인수","협력사 인수 독촉",IF(T67="08-단품준비완료","시험 일정 확인",IF(T67="09-시험준비중","시험 모니터링",IF(T67="10-시험완료","성적서 등록 독촉",IF(T67="12-조건부승인","조건부 승인 판단","—")))))))))))))</f>
        <v/>
      </c>
    </row>
    <row r="68">
      <c r="A68" s="2">
        <f>IF(C68="","",ROW()-4)</f>
        <v/>
      </c>
      <c r="B68" s="19" t="n"/>
      <c r="C68" s="19" t="n"/>
      <c r="D68" s="19" t="n"/>
      <c r="E68" s="19" t="n"/>
      <c r="F68" s="19" t="n"/>
      <c r="G68" s="19" t="n"/>
      <c r="H68" s="19" t="n"/>
      <c r="I68" s="18">
        <f>IF(C68="","",'Ref_Schedule'!$B$5)</f>
        <v/>
      </c>
      <c r="J68" s="18">
        <f>IF(C68="","",'Ref_Schedule'!$B$6)</f>
        <v/>
      </c>
      <c r="K68" s="18">
        <f>IF(C68="","",'Ref_Schedule'!$B$7)</f>
        <v/>
      </c>
      <c r="L68" s="18">
        <f>IF(C68="","",K68+14)</f>
        <v/>
      </c>
      <c r="M68" s="18">
        <f>IF(C68="","",'Ref_Schedule'!$B$8)</f>
        <v/>
      </c>
      <c r="N68" s="19" t="n"/>
      <c r="O68" s="19" t="n"/>
      <c r="P68" s="19" t="n"/>
      <c r="Q68" s="19" t="n"/>
      <c r="R68" s="19" t="n"/>
      <c r="S68" s="19" t="n"/>
      <c r="T68" s="8">
        <f>IF(C68="","",IF(AND(S68&lt;&gt;"",R68&lt;&gt;""),"11-결과등록완료",IF(AND(R68&lt;&gt;"",S68=""),"10-시험완료",IF(AND(Q68&lt;&gt;"",R68=""),"09-시험준비중",IF(AND(P68&lt;&gt;"",Q68=""),"08-단품준비완료",IF(O68="Approved","05-계획서승인",IF(O68="Revision Needed","04-검토중_보완",IF(O68="Under Review","03-검토중",IF(AND(N68&lt;&gt;"",O68=""),"02-제출_미검토","01-미제출")))))))))</f>
        <v/>
      </c>
      <c r="U68" s="20">
        <f>IF(C68="","",IF(T68="11-결과등록완료",1,IF(T68="12-조건부승인",0.9,IF(T68="10-시험완료",0.85,IF(T68="09-시험준비중",0.55,IF(T68="08-단품준비완료",0.4,IF(T68="07-미인수",0.3,IF(T68="05-계획서승인",0.2,IF(T68="06-BIW중단",0.15,IF(T68="03-검토중",0.1,IF(T68="02-제출_미검토",0.05,IF(T68="04-검토중_보완",0.05,0))))))))))))</f>
        <v/>
      </c>
      <c r="V68" s="2">
        <f>IF(C68="","",IF(S68&lt;&gt;"","—",IF(M68="","",M68-TODAY())))</f>
        <v/>
      </c>
      <c r="W68" s="21">
        <f>IF(C68="","",IF(T68="11-결과등록완료","— 완료",IF(T68="01-미제출",IF(I68&lt;TODAY(),"계획서 제출 독촉","계획서 제출 대기"),IF(T68="02-제출_미검토","검토 착수 필요",IF(T68="03-검토중","승인 처리 대기",IF(T68="04-검토중_보완","보완 → 재제출 독촉",IF(T68="05-계획서승인","부품 준비 현황 확인",IF(T68="06-BIW중단","BIW팀 확인",IF(T68="07-미인수","협력사 인수 독촉",IF(T68="08-단품준비완료","시험 일정 확인",IF(T68="09-시험준비중","시험 모니터링",IF(T68="10-시험완료","성적서 등록 독촉",IF(T68="12-조건부승인","조건부 승인 판단","—")))))))))))))</f>
        <v/>
      </c>
    </row>
    <row r="69">
      <c r="A69" s="2">
        <f>IF(C69="","",ROW()-4)</f>
        <v/>
      </c>
      <c r="B69" s="19" t="n"/>
      <c r="C69" s="19" t="n"/>
      <c r="D69" s="19" t="n"/>
      <c r="E69" s="19" t="n"/>
      <c r="F69" s="19" t="n"/>
      <c r="G69" s="19" t="n"/>
      <c r="H69" s="19" t="n"/>
      <c r="I69" s="18">
        <f>IF(C69="","",'Ref_Schedule'!$B$5)</f>
        <v/>
      </c>
      <c r="J69" s="18">
        <f>IF(C69="","",'Ref_Schedule'!$B$6)</f>
        <v/>
      </c>
      <c r="K69" s="18">
        <f>IF(C69="","",'Ref_Schedule'!$B$7)</f>
        <v/>
      </c>
      <c r="L69" s="18">
        <f>IF(C69="","",K69+14)</f>
        <v/>
      </c>
      <c r="M69" s="18">
        <f>IF(C69="","",'Ref_Schedule'!$B$8)</f>
        <v/>
      </c>
      <c r="N69" s="19" t="n"/>
      <c r="O69" s="19" t="n"/>
      <c r="P69" s="19" t="n"/>
      <c r="Q69" s="19" t="n"/>
      <c r="R69" s="19" t="n"/>
      <c r="S69" s="19" t="n"/>
      <c r="T69" s="8">
        <f>IF(C69="","",IF(AND(S69&lt;&gt;"",R69&lt;&gt;""),"11-결과등록완료",IF(AND(R69&lt;&gt;"",S69=""),"10-시험완료",IF(AND(Q69&lt;&gt;"",R69=""),"09-시험준비중",IF(AND(P69&lt;&gt;"",Q69=""),"08-단품준비완료",IF(O69="Approved","05-계획서승인",IF(O69="Revision Needed","04-검토중_보완",IF(O69="Under Review","03-검토중",IF(AND(N69&lt;&gt;"",O69=""),"02-제출_미검토","01-미제출")))))))))</f>
        <v/>
      </c>
      <c r="U69" s="20">
        <f>IF(C69="","",IF(T69="11-결과등록완료",1,IF(T69="12-조건부승인",0.9,IF(T69="10-시험완료",0.85,IF(T69="09-시험준비중",0.55,IF(T69="08-단품준비완료",0.4,IF(T69="07-미인수",0.3,IF(T69="05-계획서승인",0.2,IF(T69="06-BIW중단",0.15,IF(T69="03-검토중",0.1,IF(T69="02-제출_미검토",0.05,IF(T69="04-검토중_보완",0.05,0))))))))))))</f>
        <v/>
      </c>
      <c r="V69" s="2">
        <f>IF(C69="","",IF(S69&lt;&gt;"","—",IF(M69="","",M69-TODAY())))</f>
        <v/>
      </c>
      <c r="W69" s="21">
        <f>IF(C69="","",IF(T69="11-결과등록완료","— 완료",IF(T69="01-미제출",IF(I69&lt;TODAY(),"계획서 제출 독촉","계획서 제출 대기"),IF(T69="02-제출_미검토","검토 착수 필요",IF(T69="03-검토중","승인 처리 대기",IF(T69="04-검토중_보완","보완 → 재제출 독촉",IF(T69="05-계획서승인","부품 준비 현황 확인",IF(T69="06-BIW중단","BIW팀 확인",IF(T69="07-미인수","협력사 인수 독촉",IF(T69="08-단품준비완료","시험 일정 확인",IF(T69="09-시험준비중","시험 모니터링",IF(T69="10-시험완료","성적서 등록 독촉",IF(T69="12-조건부승인","조건부 승인 판단","—")))))))))))))</f>
        <v/>
      </c>
    </row>
    <row r="70">
      <c r="A70" s="2">
        <f>IF(C70="","",ROW()-4)</f>
        <v/>
      </c>
      <c r="B70" s="19" t="n"/>
      <c r="C70" s="19" t="n"/>
      <c r="D70" s="19" t="n"/>
      <c r="E70" s="19" t="n"/>
      <c r="F70" s="19" t="n"/>
      <c r="G70" s="19" t="n"/>
      <c r="H70" s="19" t="n"/>
      <c r="I70" s="18">
        <f>IF(C70="","",'Ref_Schedule'!$B$5)</f>
        <v/>
      </c>
      <c r="J70" s="18">
        <f>IF(C70="","",'Ref_Schedule'!$B$6)</f>
        <v/>
      </c>
      <c r="K70" s="18">
        <f>IF(C70="","",'Ref_Schedule'!$B$7)</f>
        <v/>
      </c>
      <c r="L70" s="18">
        <f>IF(C70="","",K70+14)</f>
        <v/>
      </c>
      <c r="M70" s="18">
        <f>IF(C70="","",'Ref_Schedule'!$B$8)</f>
        <v/>
      </c>
      <c r="N70" s="19" t="n"/>
      <c r="O70" s="19" t="n"/>
      <c r="P70" s="19" t="n"/>
      <c r="Q70" s="19" t="n"/>
      <c r="R70" s="19" t="n"/>
      <c r="S70" s="19" t="n"/>
      <c r="T70" s="8">
        <f>IF(C70="","",IF(AND(S70&lt;&gt;"",R70&lt;&gt;""),"11-결과등록완료",IF(AND(R70&lt;&gt;"",S70=""),"10-시험완료",IF(AND(Q70&lt;&gt;"",R70=""),"09-시험준비중",IF(AND(P70&lt;&gt;"",Q70=""),"08-단품준비완료",IF(O70="Approved","05-계획서승인",IF(O70="Revision Needed","04-검토중_보완",IF(O70="Under Review","03-검토중",IF(AND(N70&lt;&gt;"",O70=""),"02-제출_미검토","01-미제출")))))))))</f>
        <v/>
      </c>
      <c r="U70" s="20">
        <f>IF(C70="","",IF(T70="11-결과등록완료",1,IF(T70="12-조건부승인",0.9,IF(T70="10-시험완료",0.85,IF(T70="09-시험준비중",0.55,IF(T70="08-단품준비완료",0.4,IF(T70="07-미인수",0.3,IF(T70="05-계획서승인",0.2,IF(T70="06-BIW중단",0.15,IF(T70="03-검토중",0.1,IF(T70="02-제출_미검토",0.05,IF(T70="04-검토중_보완",0.05,0))))))))))))</f>
        <v/>
      </c>
      <c r="V70" s="2">
        <f>IF(C70="","",IF(S70&lt;&gt;"","—",IF(M70="","",M70-TODAY())))</f>
        <v/>
      </c>
      <c r="W70" s="21">
        <f>IF(C70="","",IF(T70="11-결과등록완료","— 완료",IF(T70="01-미제출",IF(I70&lt;TODAY(),"계획서 제출 독촉","계획서 제출 대기"),IF(T70="02-제출_미검토","검토 착수 필요",IF(T70="03-검토중","승인 처리 대기",IF(T70="04-검토중_보완","보완 → 재제출 독촉",IF(T70="05-계획서승인","부품 준비 현황 확인",IF(T70="06-BIW중단","BIW팀 확인",IF(T70="07-미인수","협력사 인수 독촉",IF(T70="08-단품준비완료","시험 일정 확인",IF(T70="09-시험준비중","시험 모니터링",IF(T70="10-시험완료","성적서 등록 독촉",IF(T70="12-조건부승인","조건부 승인 판단","—")))))))))))))</f>
        <v/>
      </c>
    </row>
    <row r="71">
      <c r="A71" s="2">
        <f>IF(C71="","",ROW()-4)</f>
        <v/>
      </c>
      <c r="B71" s="19" t="n"/>
      <c r="C71" s="19" t="n"/>
      <c r="D71" s="19" t="n"/>
      <c r="E71" s="19" t="n"/>
      <c r="F71" s="19" t="n"/>
      <c r="G71" s="19" t="n"/>
      <c r="H71" s="19" t="n"/>
      <c r="I71" s="18">
        <f>IF(C71="","",'Ref_Schedule'!$B$5)</f>
        <v/>
      </c>
      <c r="J71" s="18">
        <f>IF(C71="","",'Ref_Schedule'!$B$6)</f>
        <v/>
      </c>
      <c r="K71" s="18">
        <f>IF(C71="","",'Ref_Schedule'!$B$7)</f>
        <v/>
      </c>
      <c r="L71" s="18">
        <f>IF(C71="","",K71+14)</f>
        <v/>
      </c>
      <c r="M71" s="18">
        <f>IF(C71="","",'Ref_Schedule'!$B$8)</f>
        <v/>
      </c>
      <c r="N71" s="19" t="n"/>
      <c r="O71" s="19" t="n"/>
      <c r="P71" s="19" t="n"/>
      <c r="Q71" s="19" t="n"/>
      <c r="R71" s="19" t="n"/>
      <c r="S71" s="19" t="n"/>
      <c r="T71" s="8">
        <f>IF(C71="","",IF(AND(S71&lt;&gt;"",R71&lt;&gt;""),"11-결과등록완료",IF(AND(R71&lt;&gt;"",S71=""),"10-시험완료",IF(AND(Q71&lt;&gt;"",R71=""),"09-시험준비중",IF(AND(P71&lt;&gt;"",Q71=""),"08-단품준비완료",IF(O71="Approved","05-계획서승인",IF(O71="Revision Needed","04-검토중_보완",IF(O71="Under Review","03-검토중",IF(AND(N71&lt;&gt;"",O71=""),"02-제출_미검토","01-미제출")))))))))</f>
        <v/>
      </c>
      <c r="U71" s="20">
        <f>IF(C71="","",IF(T71="11-결과등록완료",1,IF(T71="12-조건부승인",0.9,IF(T71="10-시험완료",0.85,IF(T71="09-시험준비중",0.55,IF(T71="08-단품준비완료",0.4,IF(T71="07-미인수",0.3,IF(T71="05-계획서승인",0.2,IF(T71="06-BIW중단",0.15,IF(T71="03-검토중",0.1,IF(T71="02-제출_미검토",0.05,IF(T71="04-검토중_보완",0.05,0))))))))))))</f>
        <v/>
      </c>
      <c r="V71" s="2">
        <f>IF(C71="","",IF(S71&lt;&gt;"","—",IF(M71="","",M71-TODAY())))</f>
        <v/>
      </c>
      <c r="W71" s="21">
        <f>IF(C71="","",IF(T71="11-결과등록완료","— 완료",IF(T71="01-미제출",IF(I71&lt;TODAY(),"계획서 제출 독촉","계획서 제출 대기"),IF(T71="02-제출_미검토","검토 착수 필요",IF(T71="03-검토중","승인 처리 대기",IF(T71="04-검토중_보완","보완 → 재제출 독촉",IF(T71="05-계획서승인","부품 준비 현황 확인",IF(T71="06-BIW중단","BIW팀 확인",IF(T71="07-미인수","협력사 인수 독촉",IF(T71="08-단품준비완료","시험 일정 확인",IF(T71="09-시험준비중","시험 모니터링",IF(T71="10-시험완료","성적서 등록 독촉",IF(T71="12-조건부승인","조건부 승인 판단","—")))))))))))))</f>
        <v/>
      </c>
    </row>
    <row r="72">
      <c r="A72" s="2">
        <f>IF(C72="","",ROW()-4)</f>
        <v/>
      </c>
      <c r="B72" s="19" t="n"/>
      <c r="C72" s="19" t="n"/>
      <c r="D72" s="19" t="n"/>
      <c r="E72" s="19" t="n"/>
      <c r="F72" s="19" t="n"/>
      <c r="G72" s="19" t="n"/>
      <c r="H72" s="19" t="n"/>
      <c r="I72" s="18">
        <f>IF(C72="","",'Ref_Schedule'!$B$5)</f>
        <v/>
      </c>
      <c r="J72" s="18">
        <f>IF(C72="","",'Ref_Schedule'!$B$6)</f>
        <v/>
      </c>
      <c r="K72" s="18">
        <f>IF(C72="","",'Ref_Schedule'!$B$7)</f>
        <v/>
      </c>
      <c r="L72" s="18">
        <f>IF(C72="","",K72+14)</f>
        <v/>
      </c>
      <c r="M72" s="18">
        <f>IF(C72="","",'Ref_Schedule'!$B$8)</f>
        <v/>
      </c>
      <c r="N72" s="19" t="n"/>
      <c r="O72" s="19" t="n"/>
      <c r="P72" s="19" t="n"/>
      <c r="Q72" s="19" t="n"/>
      <c r="R72" s="19" t="n"/>
      <c r="S72" s="19" t="n"/>
      <c r="T72" s="8">
        <f>IF(C72="","",IF(AND(S72&lt;&gt;"",R72&lt;&gt;""),"11-결과등록완료",IF(AND(R72&lt;&gt;"",S72=""),"10-시험완료",IF(AND(Q72&lt;&gt;"",R72=""),"09-시험준비중",IF(AND(P72&lt;&gt;"",Q72=""),"08-단품준비완료",IF(O72="Approved","05-계획서승인",IF(O72="Revision Needed","04-검토중_보완",IF(O72="Under Review","03-검토중",IF(AND(N72&lt;&gt;"",O72=""),"02-제출_미검토","01-미제출")))))))))</f>
        <v/>
      </c>
      <c r="U72" s="20">
        <f>IF(C72="","",IF(T72="11-결과등록완료",1,IF(T72="12-조건부승인",0.9,IF(T72="10-시험완료",0.85,IF(T72="09-시험준비중",0.55,IF(T72="08-단품준비완료",0.4,IF(T72="07-미인수",0.3,IF(T72="05-계획서승인",0.2,IF(T72="06-BIW중단",0.15,IF(T72="03-검토중",0.1,IF(T72="02-제출_미검토",0.05,IF(T72="04-검토중_보완",0.05,0))))))))))))</f>
        <v/>
      </c>
      <c r="V72" s="2">
        <f>IF(C72="","",IF(S72&lt;&gt;"","—",IF(M72="","",M72-TODAY())))</f>
        <v/>
      </c>
      <c r="W72" s="21">
        <f>IF(C72="","",IF(T72="11-결과등록완료","— 완료",IF(T72="01-미제출",IF(I72&lt;TODAY(),"계획서 제출 독촉","계획서 제출 대기"),IF(T72="02-제출_미검토","검토 착수 필요",IF(T72="03-검토중","승인 처리 대기",IF(T72="04-검토중_보완","보완 → 재제출 독촉",IF(T72="05-계획서승인","부품 준비 현황 확인",IF(T72="06-BIW중단","BIW팀 확인",IF(T72="07-미인수","협력사 인수 독촉",IF(T72="08-단품준비완료","시험 일정 확인",IF(T72="09-시험준비중","시험 모니터링",IF(T72="10-시험완료","성적서 등록 독촉",IF(T72="12-조건부승인","조건부 승인 판단","—")))))))))))))</f>
        <v/>
      </c>
    </row>
    <row r="73">
      <c r="A73" s="2">
        <f>IF(C73="","",ROW()-4)</f>
        <v/>
      </c>
      <c r="B73" s="19" t="n"/>
      <c r="C73" s="19" t="n"/>
      <c r="D73" s="19" t="n"/>
      <c r="E73" s="19" t="n"/>
      <c r="F73" s="19" t="n"/>
      <c r="G73" s="19" t="n"/>
      <c r="H73" s="19" t="n"/>
      <c r="I73" s="18">
        <f>IF(C73="","",'Ref_Schedule'!$B$5)</f>
        <v/>
      </c>
      <c r="J73" s="18">
        <f>IF(C73="","",'Ref_Schedule'!$B$6)</f>
        <v/>
      </c>
      <c r="K73" s="18">
        <f>IF(C73="","",'Ref_Schedule'!$B$7)</f>
        <v/>
      </c>
      <c r="L73" s="18">
        <f>IF(C73="","",K73+14)</f>
        <v/>
      </c>
      <c r="M73" s="18">
        <f>IF(C73="","",'Ref_Schedule'!$B$8)</f>
        <v/>
      </c>
      <c r="N73" s="19" t="n"/>
      <c r="O73" s="19" t="n"/>
      <c r="P73" s="19" t="n"/>
      <c r="Q73" s="19" t="n"/>
      <c r="R73" s="19" t="n"/>
      <c r="S73" s="19" t="n"/>
      <c r="T73" s="8">
        <f>IF(C73="","",IF(AND(S73&lt;&gt;"",R73&lt;&gt;""),"11-결과등록완료",IF(AND(R73&lt;&gt;"",S73=""),"10-시험완료",IF(AND(Q73&lt;&gt;"",R73=""),"09-시험준비중",IF(AND(P73&lt;&gt;"",Q73=""),"08-단품준비완료",IF(O73="Approved","05-계획서승인",IF(O73="Revision Needed","04-검토중_보완",IF(O73="Under Review","03-검토중",IF(AND(N73&lt;&gt;"",O73=""),"02-제출_미검토","01-미제출")))))))))</f>
        <v/>
      </c>
      <c r="U73" s="20">
        <f>IF(C73="","",IF(T73="11-결과등록완료",1,IF(T73="12-조건부승인",0.9,IF(T73="10-시험완료",0.85,IF(T73="09-시험준비중",0.55,IF(T73="08-단품준비완료",0.4,IF(T73="07-미인수",0.3,IF(T73="05-계획서승인",0.2,IF(T73="06-BIW중단",0.15,IF(T73="03-검토중",0.1,IF(T73="02-제출_미검토",0.05,IF(T73="04-검토중_보완",0.05,0))))))))))))</f>
        <v/>
      </c>
      <c r="V73" s="2">
        <f>IF(C73="","",IF(S73&lt;&gt;"","—",IF(M73="","",M73-TODAY())))</f>
        <v/>
      </c>
      <c r="W73" s="21">
        <f>IF(C73="","",IF(T73="11-결과등록완료","— 완료",IF(T73="01-미제출",IF(I73&lt;TODAY(),"계획서 제출 독촉","계획서 제출 대기"),IF(T73="02-제출_미검토","검토 착수 필요",IF(T73="03-검토중","승인 처리 대기",IF(T73="04-검토중_보완","보완 → 재제출 독촉",IF(T73="05-계획서승인","부품 준비 현황 확인",IF(T73="06-BIW중단","BIW팀 확인",IF(T73="07-미인수","협력사 인수 독촉",IF(T73="08-단품준비완료","시험 일정 확인",IF(T73="09-시험준비중","시험 모니터링",IF(T73="10-시험완료","성적서 등록 독촉",IF(T73="12-조건부승인","조건부 승인 판단","—")))))))))))))</f>
        <v/>
      </c>
    </row>
    <row r="74">
      <c r="A74" s="2">
        <f>IF(C74="","",ROW()-4)</f>
        <v/>
      </c>
      <c r="B74" s="19" t="n"/>
      <c r="C74" s="19" t="n"/>
      <c r="D74" s="19" t="n"/>
      <c r="E74" s="19" t="n"/>
      <c r="F74" s="19" t="n"/>
      <c r="G74" s="19" t="n"/>
      <c r="H74" s="19" t="n"/>
      <c r="I74" s="18">
        <f>IF(C74="","",'Ref_Schedule'!$B$5)</f>
        <v/>
      </c>
      <c r="J74" s="18">
        <f>IF(C74="","",'Ref_Schedule'!$B$6)</f>
        <v/>
      </c>
      <c r="K74" s="18">
        <f>IF(C74="","",'Ref_Schedule'!$B$7)</f>
        <v/>
      </c>
      <c r="L74" s="18">
        <f>IF(C74="","",K74+14)</f>
        <v/>
      </c>
      <c r="M74" s="18">
        <f>IF(C74="","",'Ref_Schedule'!$B$8)</f>
        <v/>
      </c>
      <c r="N74" s="19" t="n"/>
      <c r="O74" s="19" t="n"/>
      <c r="P74" s="19" t="n"/>
      <c r="Q74" s="19" t="n"/>
      <c r="R74" s="19" t="n"/>
      <c r="S74" s="19" t="n"/>
      <c r="T74" s="8">
        <f>IF(C74="","",IF(AND(S74&lt;&gt;"",R74&lt;&gt;""),"11-결과등록완료",IF(AND(R74&lt;&gt;"",S74=""),"10-시험완료",IF(AND(Q74&lt;&gt;"",R74=""),"09-시험준비중",IF(AND(P74&lt;&gt;"",Q74=""),"08-단품준비완료",IF(O74="Approved","05-계획서승인",IF(O74="Revision Needed","04-검토중_보완",IF(O74="Under Review","03-검토중",IF(AND(N74&lt;&gt;"",O74=""),"02-제출_미검토","01-미제출")))))))))</f>
        <v/>
      </c>
      <c r="U74" s="20">
        <f>IF(C74="","",IF(T74="11-결과등록완료",1,IF(T74="12-조건부승인",0.9,IF(T74="10-시험완료",0.85,IF(T74="09-시험준비중",0.55,IF(T74="08-단품준비완료",0.4,IF(T74="07-미인수",0.3,IF(T74="05-계획서승인",0.2,IF(T74="06-BIW중단",0.15,IF(T74="03-검토중",0.1,IF(T74="02-제출_미검토",0.05,IF(T74="04-검토중_보완",0.05,0))))))))))))</f>
        <v/>
      </c>
      <c r="V74" s="2">
        <f>IF(C74="","",IF(S74&lt;&gt;"","—",IF(M74="","",M74-TODAY())))</f>
        <v/>
      </c>
      <c r="W74" s="21">
        <f>IF(C74="","",IF(T74="11-결과등록완료","— 완료",IF(T74="01-미제출",IF(I74&lt;TODAY(),"계획서 제출 독촉","계획서 제출 대기"),IF(T74="02-제출_미검토","검토 착수 필요",IF(T74="03-검토중","승인 처리 대기",IF(T74="04-검토중_보완","보완 → 재제출 독촉",IF(T74="05-계획서승인","부품 준비 현황 확인",IF(T74="06-BIW중단","BIW팀 확인",IF(T74="07-미인수","협력사 인수 독촉",IF(T74="08-단품준비완료","시험 일정 확인",IF(T74="09-시험준비중","시험 모니터링",IF(T74="10-시험완료","성적서 등록 독촉",IF(T74="12-조건부승인","조건부 승인 판단","—")))))))))))))</f>
        <v/>
      </c>
    </row>
    <row r="75">
      <c r="A75" s="2">
        <f>IF(C75="","",ROW()-4)</f>
        <v/>
      </c>
      <c r="B75" s="19" t="n"/>
      <c r="C75" s="19" t="n"/>
      <c r="D75" s="19" t="n"/>
      <c r="E75" s="19" t="n"/>
      <c r="F75" s="19" t="n"/>
      <c r="G75" s="19" t="n"/>
      <c r="H75" s="19" t="n"/>
      <c r="I75" s="18">
        <f>IF(C75="","",'Ref_Schedule'!$B$5)</f>
        <v/>
      </c>
      <c r="J75" s="18">
        <f>IF(C75="","",'Ref_Schedule'!$B$6)</f>
        <v/>
      </c>
      <c r="K75" s="18">
        <f>IF(C75="","",'Ref_Schedule'!$B$7)</f>
        <v/>
      </c>
      <c r="L75" s="18">
        <f>IF(C75="","",K75+14)</f>
        <v/>
      </c>
      <c r="M75" s="18">
        <f>IF(C75="","",'Ref_Schedule'!$B$8)</f>
        <v/>
      </c>
      <c r="N75" s="19" t="n"/>
      <c r="O75" s="19" t="n"/>
      <c r="P75" s="19" t="n"/>
      <c r="Q75" s="19" t="n"/>
      <c r="R75" s="19" t="n"/>
      <c r="S75" s="19" t="n"/>
      <c r="T75" s="8">
        <f>IF(C75="","",IF(AND(S75&lt;&gt;"",R75&lt;&gt;""),"11-결과등록완료",IF(AND(R75&lt;&gt;"",S75=""),"10-시험완료",IF(AND(Q75&lt;&gt;"",R75=""),"09-시험준비중",IF(AND(P75&lt;&gt;"",Q75=""),"08-단품준비완료",IF(O75="Approved","05-계획서승인",IF(O75="Revision Needed","04-검토중_보완",IF(O75="Under Review","03-검토중",IF(AND(N75&lt;&gt;"",O75=""),"02-제출_미검토","01-미제출")))))))))</f>
        <v/>
      </c>
      <c r="U75" s="20">
        <f>IF(C75="","",IF(T75="11-결과등록완료",1,IF(T75="12-조건부승인",0.9,IF(T75="10-시험완료",0.85,IF(T75="09-시험준비중",0.55,IF(T75="08-단품준비완료",0.4,IF(T75="07-미인수",0.3,IF(T75="05-계획서승인",0.2,IF(T75="06-BIW중단",0.15,IF(T75="03-검토중",0.1,IF(T75="02-제출_미검토",0.05,IF(T75="04-검토중_보완",0.05,0))))))))))))</f>
        <v/>
      </c>
      <c r="V75" s="2">
        <f>IF(C75="","",IF(S75&lt;&gt;"","—",IF(M75="","",M75-TODAY())))</f>
        <v/>
      </c>
      <c r="W75" s="21">
        <f>IF(C75="","",IF(T75="11-결과등록완료","— 완료",IF(T75="01-미제출",IF(I75&lt;TODAY(),"계획서 제출 독촉","계획서 제출 대기"),IF(T75="02-제출_미검토","검토 착수 필요",IF(T75="03-검토중","승인 처리 대기",IF(T75="04-검토중_보완","보완 → 재제출 독촉",IF(T75="05-계획서승인","부품 준비 현황 확인",IF(T75="06-BIW중단","BIW팀 확인",IF(T75="07-미인수","협력사 인수 독촉",IF(T75="08-단품준비완료","시험 일정 확인",IF(T75="09-시험준비중","시험 모니터링",IF(T75="10-시험완료","성적서 등록 독촉",IF(T75="12-조건부승인","조건부 승인 판단","—")))))))))))))</f>
        <v/>
      </c>
    </row>
    <row r="76">
      <c r="A76" s="2">
        <f>IF(C76="","",ROW()-4)</f>
        <v/>
      </c>
      <c r="B76" s="19" t="n"/>
      <c r="C76" s="19" t="n"/>
      <c r="D76" s="19" t="n"/>
      <c r="E76" s="19" t="n"/>
      <c r="F76" s="19" t="n"/>
      <c r="G76" s="19" t="n"/>
      <c r="H76" s="19" t="n"/>
      <c r="I76" s="18">
        <f>IF(C76="","",'Ref_Schedule'!$B$5)</f>
        <v/>
      </c>
      <c r="J76" s="18">
        <f>IF(C76="","",'Ref_Schedule'!$B$6)</f>
        <v/>
      </c>
      <c r="K76" s="18">
        <f>IF(C76="","",'Ref_Schedule'!$B$7)</f>
        <v/>
      </c>
      <c r="L76" s="18">
        <f>IF(C76="","",K76+14)</f>
        <v/>
      </c>
      <c r="M76" s="18">
        <f>IF(C76="","",'Ref_Schedule'!$B$8)</f>
        <v/>
      </c>
      <c r="N76" s="19" t="n"/>
      <c r="O76" s="19" t="n"/>
      <c r="P76" s="19" t="n"/>
      <c r="Q76" s="19" t="n"/>
      <c r="R76" s="19" t="n"/>
      <c r="S76" s="19" t="n"/>
      <c r="T76" s="8">
        <f>IF(C76="","",IF(AND(S76&lt;&gt;"",R76&lt;&gt;""),"11-결과등록완료",IF(AND(R76&lt;&gt;"",S76=""),"10-시험완료",IF(AND(Q76&lt;&gt;"",R76=""),"09-시험준비중",IF(AND(P76&lt;&gt;"",Q76=""),"08-단품준비완료",IF(O76="Approved","05-계획서승인",IF(O76="Revision Needed","04-검토중_보완",IF(O76="Under Review","03-검토중",IF(AND(N76&lt;&gt;"",O76=""),"02-제출_미검토","01-미제출")))))))))</f>
        <v/>
      </c>
      <c r="U76" s="20">
        <f>IF(C76="","",IF(T76="11-결과등록완료",1,IF(T76="12-조건부승인",0.9,IF(T76="10-시험완료",0.85,IF(T76="09-시험준비중",0.55,IF(T76="08-단품준비완료",0.4,IF(T76="07-미인수",0.3,IF(T76="05-계획서승인",0.2,IF(T76="06-BIW중단",0.15,IF(T76="03-검토중",0.1,IF(T76="02-제출_미검토",0.05,IF(T76="04-검토중_보완",0.05,0))))))))))))</f>
        <v/>
      </c>
      <c r="V76" s="2">
        <f>IF(C76="","",IF(S76&lt;&gt;"","—",IF(M76="","",M76-TODAY())))</f>
        <v/>
      </c>
      <c r="W76" s="21">
        <f>IF(C76="","",IF(T76="11-결과등록완료","— 완료",IF(T76="01-미제출",IF(I76&lt;TODAY(),"계획서 제출 독촉","계획서 제출 대기"),IF(T76="02-제출_미검토","검토 착수 필요",IF(T76="03-검토중","승인 처리 대기",IF(T76="04-검토중_보완","보완 → 재제출 독촉",IF(T76="05-계획서승인","부품 준비 현황 확인",IF(T76="06-BIW중단","BIW팀 확인",IF(T76="07-미인수","협력사 인수 독촉",IF(T76="08-단품준비완료","시험 일정 확인",IF(T76="09-시험준비중","시험 모니터링",IF(T76="10-시험완료","성적서 등록 독촉",IF(T76="12-조건부승인","조건부 승인 판단","—")))))))))))))</f>
        <v/>
      </c>
    </row>
    <row r="77">
      <c r="A77" s="2">
        <f>IF(C77="","",ROW()-4)</f>
        <v/>
      </c>
      <c r="B77" s="19" t="n"/>
      <c r="C77" s="19" t="n"/>
      <c r="D77" s="19" t="n"/>
      <c r="E77" s="19" t="n"/>
      <c r="F77" s="19" t="n"/>
      <c r="G77" s="19" t="n"/>
      <c r="H77" s="19" t="n"/>
      <c r="I77" s="18">
        <f>IF(C77="","",'Ref_Schedule'!$B$5)</f>
        <v/>
      </c>
      <c r="J77" s="18">
        <f>IF(C77="","",'Ref_Schedule'!$B$6)</f>
        <v/>
      </c>
      <c r="K77" s="18">
        <f>IF(C77="","",'Ref_Schedule'!$B$7)</f>
        <v/>
      </c>
      <c r="L77" s="18">
        <f>IF(C77="","",K77+14)</f>
        <v/>
      </c>
      <c r="M77" s="18">
        <f>IF(C77="","",'Ref_Schedule'!$B$8)</f>
        <v/>
      </c>
      <c r="N77" s="19" t="n"/>
      <c r="O77" s="19" t="n"/>
      <c r="P77" s="19" t="n"/>
      <c r="Q77" s="19" t="n"/>
      <c r="R77" s="19" t="n"/>
      <c r="S77" s="19" t="n"/>
      <c r="T77" s="8">
        <f>IF(C77="","",IF(AND(S77&lt;&gt;"",R77&lt;&gt;""),"11-결과등록완료",IF(AND(R77&lt;&gt;"",S77=""),"10-시험완료",IF(AND(Q77&lt;&gt;"",R77=""),"09-시험준비중",IF(AND(P77&lt;&gt;"",Q77=""),"08-단품준비완료",IF(O77="Approved","05-계획서승인",IF(O77="Revision Needed","04-검토중_보완",IF(O77="Under Review","03-검토중",IF(AND(N77&lt;&gt;"",O77=""),"02-제출_미검토","01-미제출")))))))))</f>
        <v/>
      </c>
      <c r="U77" s="20">
        <f>IF(C77="","",IF(T77="11-결과등록완료",1,IF(T77="12-조건부승인",0.9,IF(T77="10-시험완료",0.85,IF(T77="09-시험준비중",0.55,IF(T77="08-단품준비완료",0.4,IF(T77="07-미인수",0.3,IF(T77="05-계획서승인",0.2,IF(T77="06-BIW중단",0.15,IF(T77="03-검토중",0.1,IF(T77="02-제출_미검토",0.05,IF(T77="04-검토중_보완",0.05,0))))))))))))</f>
        <v/>
      </c>
      <c r="V77" s="2">
        <f>IF(C77="","",IF(S77&lt;&gt;"","—",IF(M77="","",M77-TODAY())))</f>
        <v/>
      </c>
      <c r="W77" s="21">
        <f>IF(C77="","",IF(T77="11-결과등록완료","— 완료",IF(T77="01-미제출",IF(I77&lt;TODAY(),"계획서 제출 독촉","계획서 제출 대기"),IF(T77="02-제출_미검토","검토 착수 필요",IF(T77="03-검토중","승인 처리 대기",IF(T77="04-검토중_보완","보완 → 재제출 독촉",IF(T77="05-계획서승인","부품 준비 현황 확인",IF(T77="06-BIW중단","BIW팀 확인",IF(T77="07-미인수","협력사 인수 독촉",IF(T77="08-단품준비완료","시험 일정 확인",IF(T77="09-시험준비중","시험 모니터링",IF(T77="10-시험완료","성적서 등록 독촉",IF(T77="12-조건부승인","조건부 승인 판단","—")))))))))))))</f>
        <v/>
      </c>
    </row>
    <row r="78">
      <c r="A78" s="2">
        <f>IF(C78="","",ROW()-4)</f>
        <v/>
      </c>
      <c r="B78" s="19" t="n"/>
      <c r="C78" s="19" t="n"/>
      <c r="D78" s="19" t="n"/>
      <c r="E78" s="19" t="n"/>
      <c r="F78" s="19" t="n"/>
      <c r="G78" s="19" t="n"/>
      <c r="H78" s="19" t="n"/>
      <c r="I78" s="18">
        <f>IF(C78="","",'Ref_Schedule'!$B$5)</f>
        <v/>
      </c>
      <c r="J78" s="18">
        <f>IF(C78="","",'Ref_Schedule'!$B$6)</f>
        <v/>
      </c>
      <c r="K78" s="18">
        <f>IF(C78="","",'Ref_Schedule'!$B$7)</f>
        <v/>
      </c>
      <c r="L78" s="18">
        <f>IF(C78="","",K78+14)</f>
        <v/>
      </c>
      <c r="M78" s="18">
        <f>IF(C78="","",'Ref_Schedule'!$B$8)</f>
        <v/>
      </c>
      <c r="N78" s="19" t="n"/>
      <c r="O78" s="19" t="n"/>
      <c r="P78" s="19" t="n"/>
      <c r="Q78" s="19" t="n"/>
      <c r="R78" s="19" t="n"/>
      <c r="S78" s="19" t="n"/>
      <c r="T78" s="8">
        <f>IF(C78="","",IF(AND(S78&lt;&gt;"",R78&lt;&gt;""),"11-결과등록완료",IF(AND(R78&lt;&gt;"",S78=""),"10-시험완료",IF(AND(Q78&lt;&gt;"",R78=""),"09-시험준비중",IF(AND(P78&lt;&gt;"",Q78=""),"08-단품준비완료",IF(O78="Approved","05-계획서승인",IF(O78="Revision Needed","04-검토중_보완",IF(O78="Under Review","03-검토중",IF(AND(N78&lt;&gt;"",O78=""),"02-제출_미검토","01-미제출")))))))))</f>
        <v/>
      </c>
      <c r="U78" s="20">
        <f>IF(C78="","",IF(T78="11-결과등록완료",1,IF(T78="12-조건부승인",0.9,IF(T78="10-시험완료",0.85,IF(T78="09-시험준비중",0.55,IF(T78="08-단품준비완료",0.4,IF(T78="07-미인수",0.3,IF(T78="05-계획서승인",0.2,IF(T78="06-BIW중단",0.15,IF(T78="03-검토중",0.1,IF(T78="02-제출_미검토",0.05,IF(T78="04-검토중_보완",0.05,0))))))))))))</f>
        <v/>
      </c>
      <c r="V78" s="2">
        <f>IF(C78="","",IF(S78&lt;&gt;"","—",IF(M78="","",M78-TODAY())))</f>
        <v/>
      </c>
      <c r="W78" s="21">
        <f>IF(C78="","",IF(T78="11-결과등록완료","— 완료",IF(T78="01-미제출",IF(I78&lt;TODAY(),"계획서 제출 독촉","계획서 제출 대기"),IF(T78="02-제출_미검토","검토 착수 필요",IF(T78="03-검토중","승인 처리 대기",IF(T78="04-검토중_보완","보완 → 재제출 독촉",IF(T78="05-계획서승인","부품 준비 현황 확인",IF(T78="06-BIW중단","BIW팀 확인",IF(T78="07-미인수","협력사 인수 독촉",IF(T78="08-단품준비완료","시험 일정 확인",IF(T78="09-시험준비중","시험 모니터링",IF(T78="10-시험완료","성적서 등록 독촉",IF(T78="12-조건부승인","조건부 승인 판단","—")))))))))))))</f>
        <v/>
      </c>
    </row>
    <row r="79">
      <c r="A79" s="2">
        <f>IF(C79="","",ROW()-4)</f>
        <v/>
      </c>
      <c r="B79" s="19" t="n"/>
      <c r="C79" s="19" t="n"/>
      <c r="D79" s="19" t="n"/>
      <c r="E79" s="19" t="n"/>
      <c r="F79" s="19" t="n"/>
      <c r="G79" s="19" t="n"/>
      <c r="H79" s="19" t="n"/>
      <c r="I79" s="18">
        <f>IF(C79="","",'Ref_Schedule'!$B$5)</f>
        <v/>
      </c>
      <c r="J79" s="18">
        <f>IF(C79="","",'Ref_Schedule'!$B$6)</f>
        <v/>
      </c>
      <c r="K79" s="18">
        <f>IF(C79="","",'Ref_Schedule'!$B$7)</f>
        <v/>
      </c>
      <c r="L79" s="18">
        <f>IF(C79="","",K79+14)</f>
        <v/>
      </c>
      <c r="M79" s="18">
        <f>IF(C79="","",'Ref_Schedule'!$B$8)</f>
        <v/>
      </c>
      <c r="N79" s="19" t="n"/>
      <c r="O79" s="19" t="n"/>
      <c r="P79" s="19" t="n"/>
      <c r="Q79" s="19" t="n"/>
      <c r="R79" s="19" t="n"/>
      <c r="S79" s="19" t="n"/>
      <c r="T79" s="8">
        <f>IF(C79="","",IF(AND(S79&lt;&gt;"",R79&lt;&gt;""),"11-결과등록완료",IF(AND(R79&lt;&gt;"",S79=""),"10-시험완료",IF(AND(Q79&lt;&gt;"",R79=""),"09-시험준비중",IF(AND(P79&lt;&gt;"",Q79=""),"08-단품준비완료",IF(O79="Approved","05-계획서승인",IF(O79="Revision Needed","04-검토중_보완",IF(O79="Under Review","03-검토중",IF(AND(N79&lt;&gt;"",O79=""),"02-제출_미검토","01-미제출")))))))))</f>
        <v/>
      </c>
      <c r="U79" s="20">
        <f>IF(C79="","",IF(T79="11-결과등록완료",1,IF(T79="12-조건부승인",0.9,IF(T79="10-시험완료",0.85,IF(T79="09-시험준비중",0.55,IF(T79="08-단품준비완료",0.4,IF(T79="07-미인수",0.3,IF(T79="05-계획서승인",0.2,IF(T79="06-BIW중단",0.15,IF(T79="03-검토중",0.1,IF(T79="02-제출_미검토",0.05,IF(T79="04-검토중_보완",0.05,0))))))))))))</f>
        <v/>
      </c>
      <c r="V79" s="2">
        <f>IF(C79="","",IF(S79&lt;&gt;"","—",IF(M79="","",M79-TODAY())))</f>
        <v/>
      </c>
      <c r="W79" s="21">
        <f>IF(C79="","",IF(T79="11-결과등록완료","— 완료",IF(T79="01-미제출",IF(I79&lt;TODAY(),"계획서 제출 독촉","계획서 제출 대기"),IF(T79="02-제출_미검토","검토 착수 필요",IF(T79="03-검토중","승인 처리 대기",IF(T79="04-검토중_보완","보완 → 재제출 독촉",IF(T79="05-계획서승인","부품 준비 현황 확인",IF(T79="06-BIW중단","BIW팀 확인",IF(T79="07-미인수","협력사 인수 독촉",IF(T79="08-단품준비완료","시험 일정 확인",IF(T79="09-시험준비중","시험 모니터링",IF(T79="10-시험완료","성적서 등록 독촉",IF(T79="12-조건부승인","조건부 승인 판단","—")))))))))))))</f>
        <v/>
      </c>
    </row>
    <row r="80">
      <c r="A80" s="2">
        <f>IF(C80="","",ROW()-4)</f>
        <v/>
      </c>
      <c r="B80" s="19" t="n"/>
      <c r="C80" s="19" t="n"/>
      <c r="D80" s="19" t="n"/>
      <c r="E80" s="19" t="n"/>
      <c r="F80" s="19" t="n"/>
      <c r="G80" s="19" t="n"/>
      <c r="H80" s="19" t="n"/>
      <c r="I80" s="18">
        <f>IF(C80="","",'Ref_Schedule'!$B$5)</f>
        <v/>
      </c>
      <c r="J80" s="18">
        <f>IF(C80="","",'Ref_Schedule'!$B$6)</f>
        <v/>
      </c>
      <c r="K80" s="18">
        <f>IF(C80="","",'Ref_Schedule'!$B$7)</f>
        <v/>
      </c>
      <c r="L80" s="18">
        <f>IF(C80="","",K80+14)</f>
        <v/>
      </c>
      <c r="M80" s="18">
        <f>IF(C80="","",'Ref_Schedule'!$B$8)</f>
        <v/>
      </c>
      <c r="N80" s="19" t="n"/>
      <c r="O80" s="19" t="n"/>
      <c r="P80" s="19" t="n"/>
      <c r="Q80" s="19" t="n"/>
      <c r="R80" s="19" t="n"/>
      <c r="S80" s="19" t="n"/>
      <c r="T80" s="8">
        <f>IF(C80="","",IF(AND(S80&lt;&gt;"",R80&lt;&gt;""),"11-결과등록완료",IF(AND(R80&lt;&gt;"",S80=""),"10-시험완료",IF(AND(Q80&lt;&gt;"",R80=""),"09-시험준비중",IF(AND(P80&lt;&gt;"",Q80=""),"08-단품준비완료",IF(O80="Approved","05-계획서승인",IF(O80="Revision Needed","04-검토중_보완",IF(O80="Under Review","03-검토중",IF(AND(N80&lt;&gt;"",O80=""),"02-제출_미검토","01-미제출")))))))))</f>
        <v/>
      </c>
      <c r="U80" s="20">
        <f>IF(C80="","",IF(T80="11-결과등록완료",1,IF(T80="12-조건부승인",0.9,IF(T80="10-시험완료",0.85,IF(T80="09-시험준비중",0.55,IF(T80="08-단품준비완료",0.4,IF(T80="07-미인수",0.3,IF(T80="05-계획서승인",0.2,IF(T80="06-BIW중단",0.15,IF(T80="03-검토중",0.1,IF(T80="02-제출_미검토",0.05,IF(T80="04-검토중_보완",0.05,0))))))))))))</f>
        <v/>
      </c>
      <c r="V80" s="2">
        <f>IF(C80="","",IF(S80&lt;&gt;"","—",IF(M80="","",M80-TODAY())))</f>
        <v/>
      </c>
      <c r="W80" s="21">
        <f>IF(C80="","",IF(T80="11-결과등록완료","— 완료",IF(T80="01-미제출",IF(I80&lt;TODAY(),"계획서 제출 독촉","계획서 제출 대기"),IF(T80="02-제출_미검토","검토 착수 필요",IF(T80="03-검토중","승인 처리 대기",IF(T80="04-검토중_보완","보완 → 재제출 독촉",IF(T80="05-계획서승인","부품 준비 현황 확인",IF(T80="06-BIW중단","BIW팀 확인",IF(T80="07-미인수","협력사 인수 독촉",IF(T80="08-단품준비완료","시험 일정 확인",IF(T80="09-시험준비중","시험 모니터링",IF(T80="10-시험완료","성적서 등록 독촉",IF(T80="12-조건부승인","조건부 승인 판단","—")))))))))))))</f>
        <v/>
      </c>
    </row>
    <row r="82">
      <c r="A82" s="2" t="inlineStr"/>
    </row>
    <row r="83">
      <c r="A83" s="22" t="inlineStr">
        <is>
          <t>KPI Summary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</row>
    <row r="84">
      <c r="A84" s="23" t="inlineStr">
        <is>
          <t>Total</t>
        </is>
      </c>
      <c r="C84" s="23" t="inlineStr">
        <is>
          <t>완료</t>
        </is>
      </c>
      <c r="E84" s="23" t="inlineStr">
        <is>
          <t>진행중</t>
        </is>
      </c>
      <c r="G84" s="23" t="inlineStr">
        <is>
          <t>미착수</t>
        </is>
      </c>
      <c r="I84" s="23" t="inlineStr">
        <is>
          <t>지연(D-Day≤0)</t>
        </is>
      </c>
      <c r="K84" s="23" t="inlineStr">
        <is>
          <t>평균 진행률</t>
        </is>
      </c>
    </row>
    <row r="85">
      <c r="A85" s="24">
        <f>COUNTA(T5:T28)-COUNTBLANK(T5:T28)</f>
        <v/>
      </c>
      <c r="C85" s="24">
        <f>COUNTIF(T5:T28,"11-결과등록완료")</f>
        <v/>
      </c>
      <c r="E85" s="24">
        <f>COUNTA(T5:T28)-COUNTBLANK(T5:T28)-COUNTIF(T5:T28,"11-결과등록완료")-COUNTIF(T5:T28,"01-미제출")</f>
        <v/>
      </c>
      <c r="G85" s="24">
        <f>COUNTIF(T5:T28,"01-미제출")</f>
        <v/>
      </c>
      <c r="I85" s="24">
        <f>SUMPRODUCT((ISNUMBER(V5:V28))*(V5:V28&lt;=0))</f>
        <v/>
      </c>
      <c r="K85" s="25">
        <f>IFERROR(AVERAGE(U5:U28),0)</f>
        <v/>
      </c>
    </row>
  </sheetData>
  <autoFilter ref="A4:W80"/>
  <mergeCells count="2">
    <mergeCell ref="A83:W83"/>
    <mergeCell ref="A1:W2"/>
  </mergeCells>
  <conditionalFormatting sqref="N5:N80">
    <cfRule type="expression" priority="1" dxfId="0">
      <formula>AND(N5="",I5&lt;TODAY(),I5&lt;&gt;"")</formula>
    </cfRule>
  </conditionalFormatting>
  <conditionalFormatting sqref="P5:P80">
    <cfRule type="expression" priority="2" dxfId="0">
      <formula>AND(P5="",J5&lt;TODAY(),J5&lt;&gt;"")</formula>
    </cfRule>
  </conditionalFormatting>
  <conditionalFormatting sqref="Q5:Q80">
    <cfRule type="expression" priority="3" dxfId="0">
      <formula>AND(Q5="",K5&lt;TODAY(),K5&lt;&gt;"")</formula>
    </cfRule>
  </conditionalFormatting>
  <conditionalFormatting sqref="R5:R80">
    <cfRule type="expression" priority="4" dxfId="0">
      <formula>AND(R5="",L5&lt;TODAY(),L5&lt;&gt;"")</formula>
    </cfRule>
  </conditionalFormatting>
  <conditionalFormatting sqref="S5:S80">
    <cfRule type="expression" priority="5" dxfId="0">
      <formula>AND(S5="",M5&lt;TODAY(),M5&lt;&gt;"")</formula>
    </cfRule>
  </conditionalFormatting>
  <conditionalFormatting sqref="T5:T80">
    <cfRule type="cellIs" priority="6" operator="equal" dxfId="1">
      <formula>"01-미제출"</formula>
    </cfRule>
    <cfRule type="cellIs" priority="7" operator="equal" dxfId="2">
      <formula>"02-제출_미검토"</formula>
    </cfRule>
    <cfRule type="cellIs" priority="8" operator="equal" dxfId="2">
      <formula>"03-검토중"</formula>
    </cfRule>
    <cfRule type="cellIs" priority="9" operator="equal" dxfId="3">
      <formula>"04-검토중_보완"</formula>
    </cfRule>
    <cfRule type="cellIs" priority="10" operator="equal" dxfId="4">
      <formula>"05-계획서승인"</formula>
    </cfRule>
    <cfRule type="cellIs" priority="11" operator="equal" dxfId="0">
      <formula>"06-BIW중단"</formula>
    </cfRule>
    <cfRule type="cellIs" priority="12" operator="equal" dxfId="5">
      <formula>"07-미인수"</formula>
    </cfRule>
    <cfRule type="cellIs" priority="13" operator="equal" dxfId="4">
      <formula>"08-단품준비완료"</formula>
    </cfRule>
    <cfRule type="cellIs" priority="14" operator="equal" dxfId="6">
      <formula>"09-시험준비중"</formula>
    </cfRule>
    <cfRule type="cellIs" priority="15" operator="equal" dxfId="7">
      <formula>"10-시험완료"</formula>
    </cfRule>
    <cfRule type="cellIs" priority="16" operator="equal" dxfId="8">
      <formula>"11-결과등록완료"</formula>
    </cfRule>
    <cfRule type="cellIs" priority="17" operator="equal" dxfId="5">
      <formula>"12-조건부승인"</formula>
    </cfRule>
  </conditionalFormatting>
  <conditionalFormatting sqref="U5:U80">
    <cfRule type="dataBar" priority="18">
      <dataBar>
        <cfvo type="num" val="0"/>
        <cfvo type="num" val="1"/>
        <color rgb="003498DB"/>
      </dataBar>
    </cfRule>
  </conditionalFormatting>
  <conditionalFormatting sqref="V5:V80">
    <cfRule type="cellIs" priority="19" operator="lessThanOrEqual" dxfId="9">
      <formula>0</formula>
    </cfRule>
    <cfRule type="cellIs" priority="20" operator="lessThanOrEqual" dxfId="4">
      <formula>14</formula>
    </cfRule>
  </conditionalFormatting>
  <conditionalFormatting sqref="F5:F80">
    <cfRule type="cellIs" priority="21" operator="equal" dxfId="10">
      <formula>"A"</formula>
    </cfRule>
    <cfRule type="cellIs" priority="22" operator="equal" dxfId="11">
      <formula>"B"</formula>
    </cfRule>
    <cfRule type="cellIs" priority="23" operator="equal" dxfId="12">
      <formula>"C"</formula>
    </cfRule>
  </conditionalFormatting>
  <dataValidations count="2">
    <dataValidation sqref="O5:O80" showDropDown="0" showInputMessage="0" showErrorMessage="0" allowBlank="1" type="list">
      <formula1>"Under Review,Approved,Revision Needed"</formula1>
    </dataValidation>
    <dataValidation sqref="N5:N80 P5:P80 Q5:Q80 R5:R80 S5:S80" showDropDown="0" showInputMessage="0" showErrorMessage="0" allowBlank="1" promptTitle="✓" prompt="Click to mark as done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2026-02-27T10:02:46Z</dcterms:created>
  <dcterms:modified xmlns:dcterms="http://purl.org/dc/terms/" xmlns:xsi="http://www.w3.org/2001/XMLSchema-instance" xsi:type="dcterms:W3CDTF">2026-02-27T10:02:46Z</dcterms:modified>
</cp:coreProperties>
</file>