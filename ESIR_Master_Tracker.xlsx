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Config" sheetId="1" state="hidden" r:id="rId1"/>
    <sheet xmlns:r="http://schemas.openxmlformats.org/officeDocument/2006/relationships" name="Reference Data 기준데이터" sheetId="2" state="visible" r:id="rId2"/>
    <sheet xmlns:r="http://schemas.openxmlformats.org/officeDocument/2006/relationships" name="Master Tracker 마스터추적표" sheetId="3" state="visible" r:id="rId3"/>
    <sheet xmlns:r="http://schemas.openxmlformats.org/officeDocument/2006/relationships" name="Dashboard 대시보드" sheetId="4" state="visible" r:id="rId4"/>
    <sheet xmlns:r="http://schemas.openxmlformats.org/officeDocument/2006/relationships" name="Supplier Checklist 협력사체크리스트" sheetId="5" state="visible" r:id="rId5"/>
  </sheets>
  <definedNames>
    <definedName name="_xlnm._FilterDatabase" localSheetId="2" hidden="1">'Master Tracker 마스터추적표'!$A$4:$Y$200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2">
    <font>
      <name val="Calibri"/>
      <family val="2"/>
      <color theme="1"/>
      <sz val="11"/>
      <scheme val="minor"/>
    </font>
    <font>
      <name val="Malgun Gothic"/>
      <b val="1"/>
      <color rgb="002C3E50"/>
      <sz val="10"/>
    </font>
    <font>
      <name val="Malgun Gothic"/>
      <color rgb="002C3E50"/>
      <sz val="9"/>
    </font>
    <font>
      <name val="Malgun Gothic"/>
      <b val="1"/>
      <color rgb="001B2A4A"/>
      <sz val="12"/>
    </font>
    <font>
      <name val="Malgun Gothic"/>
      <b val="1"/>
      <color rgb="00FFFFFF"/>
      <sz val="10"/>
    </font>
    <font>
      <name val="Malgun Gothic"/>
      <color rgb="002C3E50"/>
      <sz val="10"/>
    </font>
    <font>
      <name val="Malgun Gothic"/>
      <b val="1"/>
      <color rgb="00FFFFFF"/>
      <sz val="18"/>
    </font>
    <font>
      <name val="Malgun Gothic"/>
      <b val="1"/>
      <color rgb="001B2A4A"/>
      <sz val="9"/>
    </font>
    <font>
      <name val="Malgun Gothic"/>
      <b val="1"/>
      <color rgb="00E74C3C"/>
      <sz val="11"/>
    </font>
    <font>
      <name val="Malgun Gothic"/>
      <b val="1"/>
      <color rgb="00FFFFFF"/>
      <sz val="13"/>
    </font>
    <font>
      <name val="Malgun Gothic"/>
      <color rgb="003B5998"/>
      <sz val="10"/>
    </font>
    <font>
      <name val="Malgun Gothic"/>
      <b val="1"/>
      <color rgb="001B2A4A"/>
      <sz val="28"/>
    </font>
  </fonts>
  <fills count="10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B2A4A"/>
        <bgColor rgb="001B2A4A"/>
      </patternFill>
    </fill>
    <fill>
      <patternFill patternType="solid">
        <fgColor rgb="00FFFFFF"/>
        <bgColor rgb="00FFFFFF"/>
      </patternFill>
    </fill>
    <fill>
      <patternFill patternType="solid">
        <fgColor rgb="003B5998"/>
        <bgColor rgb="003B5998"/>
      </patternFill>
    </fill>
    <fill>
      <patternFill patternType="solid">
        <fgColor rgb="00FFF9C4"/>
        <bgColor rgb="00FFF9C4"/>
      </patternFill>
    </fill>
    <fill>
      <patternFill patternType="solid">
        <fgColor rgb="00EBF1F8"/>
        <bgColor rgb="00EBF1F8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</fills>
  <borders count="3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medium">
        <color rgb="002C3E6B"/>
      </left>
      <right style="medium">
        <color rgb="002C3E6B"/>
      </right>
      <top style="medium">
        <color rgb="002C3E6B"/>
      </top>
      <bottom style="medium">
        <color rgb="002C3E6B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165" fontId="5" fillId="7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9" fontId="5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165" fontId="5" fillId="6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right" vertical="center"/>
    </xf>
    <xf numFmtId="0" fontId="1" fillId="6" borderId="2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right" vertical="center"/>
    </xf>
    <xf numFmtId="165" fontId="1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  <xf numFmtId="9" fontId="11" fillId="4" borderId="2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9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3">
    <dxf>
      <font>
        <name val="Malgun Gothic"/>
        <b val="1"/>
        <color rgb="002C3E50"/>
        <sz val="10"/>
      </font>
      <fill>
        <patternFill patternType="solid">
          <fgColor rgb="00F2F3F4"/>
          <bgColor rgb="00F2F3F4"/>
        </patternFill>
      </fill>
    </dxf>
    <dxf>
      <font>
        <name val="Malgun Gothic"/>
        <b val="1"/>
        <color rgb="002C3E50"/>
        <sz val="10"/>
      </font>
      <fill>
        <patternFill patternType="solid">
          <fgColor rgb="00D6E4F0"/>
          <bgColor rgb="00D6E4F0"/>
        </patternFill>
      </fill>
    </dxf>
    <dxf>
      <font>
        <name val="Malgun Gothic"/>
        <b val="1"/>
        <color rgb="003B5998"/>
        <sz val="10"/>
      </font>
      <fill>
        <patternFill patternType="solid">
          <fgColor rgb="00D6E4F0"/>
          <bgColor rgb="00D6E4F0"/>
        </patternFill>
      </fill>
    </dxf>
    <dxf>
      <font>
        <name val="Malgun Gothic"/>
        <b val="1"/>
        <color rgb="002C3E50"/>
        <sz val="10"/>
      </font>
      <fill>
        <patternFill patternType="solid">
          <fgColor rgb="00FDEBD0"/>
          <bgColor rgb="00FDEBD0"/>
        </patternFill>
      </fill>
    </dxf>
    <dxf>
      <font>
        <name val="Malgun Gothic"/>
        <b val="1"/>
        <color rgb="002C3E50"/>
        <sz val="10"/>
      </font>
      <fill>
        <patternFill patternType="solid">
          <fgColor rgb="00D5F5E3"/>
          <bgColor rgb="00D5F5E3"/>
        </patternFill>
      </fill>
    </dxf>
    <dxf>
      <font>
        <name val="Malgun Gothic"/>
        <b val="1"/>
        <color rgb="00E74C3C"/>
        <sz val="10"/>
      </font>
      <fill>
        <patternFill patternType="solid">
          <fgColor rgb="00FADBD8"/>
          <bgColor rgb="00FADBD8"/>
        </patternFill>
      </fill>
    </dxf>
    <dxf>
      <font>
        <name val="Malgun Gothic"/>
        <b val="1"/>
        <color rgb="00F39C12"/>
        <sz val="10"/>
      </font>
      <fill>
        <patternFill patternType="solid">
          <fgColor rgb="00FDEBD0"/>
          <bgColor rgb="00FDEBD0"/>
        </patternFill>
      </fill>
    </dxf>
    <dxf>
      <font>
        <name val="Malgun Gothic"/>
        <b val="1"/>
        <color rgb="0027AE60"/>
        <sz val="10"/>
      </font>
      <fill>
        <patternFill patternType="solid">
          <fgColor rgb="00D5F5E3"/>
          <bgColor rgb="00D5F5E3"/>
        </patternFill>
      </fill>
    </dxf>
    <dxf>
      <font>
        <name val="Malgun Gothic"/>
        <b val="1"/>
        <color rgb="002C3E50"/>
        <sz val="10"/>
      </font>
      <fill>
        <patternFill patternType="solid">
          <fgColor rgb="00ABEBC6"/>
          <bgColor rgb="00ABEBC6"/>
        </patternFill>
      </fill>
    </dxf>
    <dxf>
      <font>
        <name val="Malgun Gothic"/>
        <b val="1"/>
        <color rgb="00FFFFFF"/>
        <sz val="10"/>
      </font>
      <fill>
        <patternFill patternType="solid">
          <fgColor rgb="0027AE60"/>
          <bgColor rgb="0027AE60"/>
        </patternFill>
      </fill>
    </dxf>
    <dxf>
      <font>
        <name val="Malgun Gothic"/>
        <b val="1"/>
        <color rgb="002C3E50"/>
        <sz val="10"/>
      </font>
      <fill>
        <patternFill patternType="solid">
          <fgColor rgb="00FEF9E7"/>
          <bgColor rgb="00FEF9E7"/>
        </patternFill>
      </fill>
    </dxf>
    <dxf>
      <font>
        <name val="Malgun Gothic"/>
        <b val="1"/>
        <color rgb="00F39C12"/>
        <sz val="10"/>
      </font>
      <fill>
        <patternFill patternType="solid">
          <fgColor rgb="00FEF9E7"/>
          <bgColor rgb="00FEF9E7"/>
        </patternFill>
      </fill>
    </dxf>
    <dxf>
      <fill>
        <patternFill patternType="solid">
          <fgColor rgb="00FADBD8"/>
          <b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Vehicle" displayName="TBL_Vehicle" ref="A2:J5" headerRowCount="1">
  <autoFilter ref="A2:J5"/>
  <tableColumns count="10">
    <tableColumn id="1" name="VehicleCode"/>
    <tableColumn id="2" name="VehicleName"/>
    <tableColumn id="3" name="T0_DrawingRelease"/>
    <tableColumn id="4" name="ProtoBuild"/>
    <tableColumn id="5" name="MasterCar"/>
    <tableColumn id="6" name="TestDeadline"/>
    <tableColumn id="7" name="LT_PlanDue"/>
    <tableColumn id="8" name="LT_PartsReady"/>
    <tableColumn id="9" name="LT_TestStart"/>
    <tableColumn id="10" name="LT_ReportD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TestMaster" displayName="TBL_TestMaster" ref="A8:F30" headerRowCount="1">
  <autoFilter ref="A8:F30"/>
  <tableColumns count="6">
    <tableColumn id="1" name="TestNameKR"/>
    <tableColumn id="2" name="TestType"/>
    <tableColumn id="3" name="Spec"/>
    <tableColumn id="4" name="DurationDays"/>
    <tableColumn id="5" name="PartName"/>
    <tableColumn id="6" name="PartCategory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TBL_VehicleParts" displayName="TBL_VehicleParts" ref="A33:B51" headerRowCount="1">
  <autoFilter ref="A33:B51"/>
  <tableColumns count="2">
    <tableColumn id="1" name="VPKey"/>
    <tableColumn id="2" name="SupplierCode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tabColor rgb="00BDC3C7"/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</cols>
  <sheetData>
    <row r="1">
      <c r="A1" s="1" t="inlineStr">
        <is>
          <t>AE_PE</t>
        </is>
      </c>
      <c r="B1" s="2" t="inlineStr">
        <is>
          <t>&lt;-- Select Vehicle Code</t>
        </is>
      </c>
    </row>
  </sheetData>
  <dataValidations count="1">
    <dataValidation sqref="A1" showDropDown="0" showInputMessage="0" showErrorMessage="0" allowBlank="0" promptTitle="Vehicle" prompt="Select a vehicle code" type="list">
      <formula1>'Reference Data 기준데이터'!$A$3:$A$20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5998"/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24" customWidth="1" min="5" max="5"/>
    <col width="14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TBL_Vehicle (차종 + 일정 + LeadTime)</t>
        </is>
      </c>
    </row>
    <row r="2">
      <c r="A2" s="4" t="inlineStr">
        <is>
          <t>VehicleCode</t>
        </is>
      </c>
      <c r="B2" s="4" t="inlineStr">
        <is>
          <t>VehicleName</t>
        </is>
      </c>
      <c r="C2" s="4" t="inlineStr">
        <is>
          <t>T0_DrawingRelease</t>
        </is>
      </c>
      <c r="D2" s="4" t="inlineStr">
        <is>
          <t>ProtoBuild</t>
        </is>
      </c>
      <c r="E2" s="4" t="inlineStr">
        <is>
          <t>MasterCar</t>
        </is>
      </c>
      <c r="F2" s="4" t="inlineStr">
        <is>
          <t>TestDeadline</t>
        </is>
      </c>
      <c r="G2" s="4" t="inlineStr">
        <is>
          <t>LT_PlanDue</t>
        </is>
      </c>
      <c r="H2" s="4" t="inlineStr">
        <is>
          <t>LT_PartsReady</t>
        </is>
      </c>
      <c r="I2" s="4" t="inlineStr">
        <is>
          <t>LT_TestStart</t>
        </is>
      </c>
      <c r="J2" s="4" t="inlineStr">
        <is>
          <t>LT_ReportDue</t>
        </is>
      </c>
    </row>
    <row r="3">
      <c r="A3" s="5" t="inlineStr">
        <is>
          <t>AE_PE</t>
        </is>
      </c>
      <c r="B3" s="5" t="inlineStr">
        <is>
          <t>AE PE (Creta EV)</t>
        </is>
      </c>
      <c r="C3" s="6" t="n">
        <v>46037</v>
      </c>
      <c r="D3" s="6" t="n">
        <v>46127</v>
      </c>
      <c r="E3" s="6" t="n">
        <v>46188</v>
      </c>
      <c r="F3" s="6">
        <f>E3-30</f>
        <v/>
      </c>
      <c r="G3" s="5" t="n">
        <v>14</v>
      </c>
      <c r="H3" s="5" t="n">
        <v>49</v>
      </c>
      <c r="I3" s="5" t="n">
        <v>63</v>
      </c>
      <c r="J3" s="5" t="n">
        <v>98</v>
      </c>
    </row>
    <row r="4">
      <c r="A4" s="5" t="inlineStr">
        <is>
          <t>SU2i</t>
        </is>
      </c>
      <c r="B4" s="5" t="inlineStr">
        <is>
          <t>SU2i (Venue Next)</t>
        </is>
      </c>
      <c r="C4" s="6" t="n">
        <v>46082</v>
      </c>
      <c r="D4" s="6" t="n">
        <v>46174</v>
      </c>
      <c r="E4" s="6" t="n">
        <v>46249</v>
      </c>
      <c r="F4" s="6">
        <f>E4-30</f>
        <v/>
      </c>
      <c r="G4" s="5" t="n">
        <v>14</v>
      </c>
      <c r="H4" s="5" t="n">
        <v>49</v>
      </c>
      <c r="I4" s="5" t="n">
        <v>63</v>
      </c>
      <c r="J4" s="5" t="n">
        <v>98</v>
      </c>
    </row>
    <row r="5">
      <c r="A5" s="5" t="inlineStr">
        <is>
          <t>EN_SUV</t>
        </is>
      </c>
      <c r="B5" s="5" t="inlineStr">
        <is>
          <t>EN SUV</t>
        </is>
      </c>
      <c r="C5" s="6" t="n">
        <v>46054</v>
      </c>
      <c r="D5" s="6" t="n">
        <v>46143</v>
      </c>
      <c r="E5" s="6" t="n">
        <v>46218</v>
      </c>
      <c r="F5" s="6">
        <f>E5-30</f>
        <v/>
      </c>
      <c r="G5" s="5" t="n">
        <v>14</v>
      </c>
      <c r="H5" s="5" t="n">
        <v>49</v>
      </c>
      <c r="I5" s="5" t="n">
        <v>63</v>
      </c>
      <c r="J5" s="5" t="n">
        <v>98</v>
      </c>
    </row>
    <row r="7">
      <c r="A7" s="3" t="inlineStr">
        <is>
          <t>TBL_TestMaster (시험 마스터)</t>
        </is>
      </c>
    </row>
    <row r="8">
      <c r="A8" s="4" t="inlineStr">
        <is>
          <t>TestNameKR</t>
        </is>
      </c>
      <c r="B8" s="4" t="inlineStr">
        <is>
          <t>TestType</t>
        </is>
      </c>
      <c r="C8" s="4" t="inlineStr">
        <is>
          <t>Spec</t>
        </is>
      </c>
      <c r="D8" s="4" t="inlineStr">
        <is>
          <t>DurationDays</t>
        </is>
      </c>
      <c r="E8" s="4" t="inlineStr">
        <is>
          <t>PartName</t>
        </is>
      </c>
      <c r="F8" s="4" t="inlineStr">
        <is>
          <t>PartCategory</t>
        </is>
      </c>
    </row>
    <row r="9">
      <c r="A9" s="7" t="inlineStr">
        <is>
          <t>VOC 방출 시험</t>
        </is>
      </c>
      <c r="B9" s="5" t="inlineStr">
        <is>
          <t>단품 Component</t>
        </is>
      </c>
      <c r="C9" s="5" t="inlineStr">
        <is>
          <t>MS-300-57</t>
        </is>
      </c>
      <c r="D9" s="5" t="n">
        <v>14</v>
      </c>
      <c r="E9" s="7" t="inlineStr">
        <is>
          <t>Center Console Assy</t>
        </is>
      </c>
      <c r="F9" s="5" t="inlineStr">
        <is>
          <t>Console</t>
        </is>
      </c>
    </row>
    <row r="10">
      <c r="A10" s="7" t="inlineStr">
        <is>
          <t>내열 시험</t>
        </is>
      </c>
      <c r="B10" s="5" t="inlineStr">
        <is>
          <t>단품 Component</t>
        </is>
      </c>
      <c r="C10" s="5" t="inlineStr">
        <is>
          <t>MS-300-31</t>
        </is>
      </c>
      <c r="D10" s="5" t="n">
        <v>14</v>
      </c>
      <c r="E10" s="7" t="inlineStr">
        <is>
          <t>Center Console Assy</t>
        </is>
      </c>
      <c r="F10" s="5" t="inlineStr">
        <is>
          <t>Console</t>
        </is>
      </c>
    </row>
    <row r="11">
      <c r="A11" s="7" t="inlineStr">
        <is>
          <t>마모 시험</t>
        </is>
      </c>
      <c r="B11" s="5" t="inlineStr">
        <is>
          <t>단품 Component</t>
        </is>
      </c>
      <c r="C11" s="5" t="inlineStr">
        <is>
          <t>MS-300-35</t>
        </is>
      </c>
      <c r="D11" s="5" t="n">
        <v>7</v>
      </c>
      <c r="E11" s="7" t="inlineStr">
        <is>
          <t>Center Console Assy</t>
        </is>
      </c>
      <c r="F11" s="5" t="inlineStr">
        <is>
          <t>Console</t>
        </is>
      </c>
    </row>
    <row r="12">
      <c r="A12" s="7" t="inlineStr">
        <is>
          <t>치수 검사</t>
        </is>
      </c>
      <c r="B12" s="5" t="inlineStr">
        <is>
          <t>단품 Component</t>
        </is>
      </c>
      <c r="C12" s="5" t="inlineStr">
        <is>
          <t>ES-90101</t>
        </is>
      </c>
      <c r="D12" s="5" t="n">
        <v>3</v>
      </c>
      <c r="E12" s="7" t="inlineStr">
        <is>
          <t>Center Console Assy</t>
        </is>
      </c>
      <c r="F12" s="5" t="inlineStr">
        <is>
          <t>Console</t>
        </is>
      </c>
    </row>
    <row r="13">
      <c r="A13" s="7" t="inlineStr">
        <is>
          <t>VOC 방출 시험</t>
        </is>
      </c>
      <c r="B13" s="5" t="inlineStr">
        <is>
          <t>단품 Component</t>
        </is>
      </c>
      <c r="C13" s="5" t="inlineStr">
        <is>
          <t>MS-300-57</t>
        </is>
      </c>
      <c r="D13" s="5" t="n">
        <v>14</v>
      </c>
      <c r="E13" s="7" t="inlineStr">
        <is>
          <t>Console Lid Assy</t>
        </is>
      </c>
      <c r="F13" s="5" t="inlineStr">
        <is>
          <t>Console</t>
        </is>
      </c>
    </row>
    <row r="14">
      <c r="A14" s="7" t="inlineStr">
        <is>
          <t>힌지 내구 시험</t>
        </is>
      </c>
      <c r="B14" s="5" t="inlineStr">
        <is>
          <t>단품 Component</t>
        </is>
      </c>
      <c r="C14" s="5" t="inlineStr">
        <is>
          <t>ES-92030</t>
        </is>
      </c>
      <c r="D14" s="5" t="n">
        <v>10</v>
      </c>
      <c r="E14" s="7" t="inlineStr">
        <is>
          <t>Console Lid Assy</t>
        </is>
      </c>
      <c r="F14" s="5" t="inlineStr">
        <is>
          <t>Console</t>
        </is>
      </c>
    </row>
    <row r="15">
      <c r="A15" s="7" t="inlineStr">
        <is>
          <t>외관 검사</t>
        </is>
      </c>
      <c r="B15" s="5" t="inlineStr">
        <is>
          <t>단품 Component</t>
        </is>
      </c>
      <c r="C15" s="5" t="inlineStr">
        <is>
          <t>ES-90100</t>
        </is>
      </c>
      <c r="D15" s="5" t="n">
        <v>3</v>
      </c>
      <c r="E15" s="7" t="inlineStr">
        <is>
          <t>Console Lid Assy</t>
        </is>
      </c>
      <c r="F15" s="5" t="inlineStr">
        <is>
          <t>Console</t>
        </is>
      </c>
    </row>
    <row r="16">
      <c r="A16" s="7" t="inlineStr">
        <is>
          <t>VOC 방출 시험</t>
        </is>
      </c>
      <c r="B16" s="5" t="inlineStr">
        <is>
          <t>단품 Component</t>
        </is>
      </c>
      <c r="C16" s="5" t="inlineStr">
        <is>
          <t>MS-300-57</t>
        </is>
      </c>
      <c r="D16" s="5" t="n">
        <v>14</v>
      </c>
      <c r="E16" s="7" t="inlineStr">
        <is>
          <t>Door Trim LH</t>
        </is>
      </c>
      <c r="F16" s="5" t="inlineStr">
        <is>
          <t>Trim</t>
        </is>
      </c>
    </row>
    <row r="17">
      <c r="A17" s="7" t="inlineStr">
        <is>
          <t>내후성 시험</t>
        </is>
      </c>
      <c r="B17" s="5" t="inlineStr">
        <is>
          <t>단품 Component</t>
        </is>
      </c>
      <c r="C17" s="5" t="inlineStr">
        <is>
          <t>MS-300-34</t>
        </is>
      </c>
      <c r="D17" s="5" t="n">
        <v>21</v>
      </c>
      <c r="E17" s="7" t="inlineStr">
        <is>
          <t>Door Trim LH</t>
        </is>
      </c>
      <c r="F17" s="5" t="inlineStr">
        <is>
          <t>Trim</t>
        </is>
      </c>
    </row>
    <row r="18">
      <c r="A18" s="7" t="inlineStr">
        <is>
          <t>연소성 시험</t>
        </is>
      </c>
      <c r="B18" s="5" t="inlineStr">
        <is>
          <t>단품 Component</t>
        </is>
      </c>
      <c r="C18" s="5" t="inlineStr">
        <is>
          <t>FMVSS 302</t>
        </is>
      </c>
      <c r="D18" s="5" t="n">
        <v>3</v>
      </c>
      <c r="E18" s="7" t="inlineStr">
        <is>
          <t>Door Trim LH</t>
        </is>
      </c>
      <c r="F18" s="5" t="inlineStr">
        <is>
          <t>Trim</t>
        </is>
      </c>
    </row>
    <row r="19">
      <c r="A19" s="7" t="inlineStr">
        <is>
          <t>외관 검사</t>
        </is>
      </c>
      <c r="B19" s="5" t="inlineStr">
        <is>
          <t>단품 Component</t>
        </is>
      </c>
      <c r="C19" s="5" t="inlineStr">
        <is>
          <t>ES-90100</t>
        </is>
      </c>
      <c r="D19" s="5" t="n">
        <v>3</v>
      </c>
      <c r="E19" s="7" t="inlineStr">
        <is>
          <t>Door Trim LH</t>
        </is>
      </c>
      <c r="F19" s="5" t="inlineStr">
        <is>
          <t>Trim</t>
        </is>
      </c>
    </row>
    <row r="20">
      <c r="A20" s="7" t="inlineStr">
        <is>
          <t>내후성 시험</t>
        </is>
      </c>
      <c r="B20" s="5" t="inlineStr">
        <is>
          <t>단품 Component</t>
        </is>
      </c>
      <c r="C20" s="5" t="inlineStr">
        <is>
          <t>MS-300-34</t>
        </is>
      </c>
      <c r="D20" s="5" t="n">
        <v>21</v>
      </c>
      <c r="E20" s="7" t="inlineStr">
        <is>
          <t>Pillar Trim C</t>
        </is>
      </c>
      <c r="F20" s="5" t="inlineStr">
        <is>
          <t>Trim</t>
        </is>
      </c>
    </row>
    <row r="21">
      <c r="A21" s="7" t="inlineStr">
        <is>
          <t>연소성 시험</t>
        </is>
      </c>
      <c r="B21" s="5" t="inlineStr">
        <is>
          <t>단품 Component</t>
        </is>
      </c>
      <c r="C21" s="5" t="inlineStr">
        <is>
          <t>FMVSS 302</t>
        </is>
      </c>
      <c r="D21" s="5" t="n">
        <v>3</v>
      </c>
      <c r="E21" s="7" t="inlineStr">
        <is>
          <t>Pillar Trim C</t>
        </is>
      </c>
      <c r="F21" s="5" t="inlineStr">
        <is>
          <t>Trim</t>
        </is>
      </c>
    </row>
    <row r="22">
      <c r="A22" s="7" t="inlineStr">
        <is>
          <t>치수 검사</t>
        </is>
      </c>
      <c r="B22" s="5" t="inlineStr">
        <is>
          <t>단품 Component</t>
        </is>
      </c>
      <c r="C22" s="5" t="inlineStr">
        <is>
          <t>ES-90101</t>
        </is>
      </c>
      <c r="D22" s="5" t="n">
        <v>3</v>
      </c>
      <c r="E22" s="7" t="inlineStr">
        <is>
          <t>Pillar Trim C</t>
        </is>
      </c>
      <c r="F22" s="5" t="inlineStr">
        <is>
          <t>Trim</t>
        </is>
      </c>
    </row>
    <row r="23">
      <c r="A23" s="7" t="inlineStr">
        <is>
          <t>시트 내구 시험</t>
        </is>
      </c>
      <c r="B23" s="5" t="inlineStr">
        <is>
          <t>단품 Component</t>
        </is>
      </c>
      <c r="C23" s="5" t="inlineStr">
        <is>
          <t>ES-93100</t>
        </is>
      </c>
      <c r="D23" s="5" t="n">
        <v>21</v>
      </c>
      <c r="E23" s="7" t="inlineStr">
        <is>
          <t>Front Seat Assy LH</t>
        </is>
      </c>
      <c r="F23" s="5" t="inlineStr">
        <is>
          <t>Seat</t>
        </is>
      </c>
    </row>
    <row r="24">
      <c r="A24" s="7" t="inlineStr">
        <is>
          <t>안전벨트 앵커리지</t>
        </is>
      </c>
      <c r="B24" s="5" t="inlineStr">
        <is>
          <t>차량장착 Vehicle</t>
        </is>
      </c>
      <c r="C24" s="5" t="inlineStr">
        <is>
          <t>FMVSS 210</t>
        </is>
      </c>
      <c r="D24" s="5" t="n">
        <v>14</v>
      </c>
      <c r="E24" s="7" t="inlineStr">
        <is>
          <t>Front Seat Assy LH</t>
        </is>
      </c>
      <c r="F24" s="5" t="inlineStr">
        <is>
          <t>Seat</t>
        </is>
      </c>
    </row>
    <row r="25">
      <c r="A25" s="7" t="inlineStr">
        <is>
          <t>H-Point 검증</t>
        </is>
      </c>
      <c r="B25" s="5" t="inlineStr">
        <is>
          <t>차량장착 Vehicle</t>
        </is>
      </c>
      <c r="C25" s="5" t="inlineStr">
        <is>
          <t>ES-93000</t>
        </is>
      </c>
      <c r="D25" s="5" t="n">
        <v>14</v>
      </c>
      <c r="E25" s="7" t="inlineStr">
        <is>
          <t>Front Seat Assy LH</t>
        </is>
      </c>
      <c r="F25" s="5" t="inlineStr">
        <is>
          <t>Seat</t>
        </is>
      </c>
    </row>
    <row r="26">
      <c r="A26" s="7" t="inlineStr">
        <is>
          <t>BSR 시험</t>
        </is>
      </c>
      <c r="B26" s="5" t="inlineStr">
        <is>
          <t>차량장착 Vehicle</t>
        </is>
      </c>
      <c r="C26" s="5" t="inlineStr">
        <is>
          <t>ES-90500</t>
        </is>
      </c>
      <c r="D26" s="5" t="n">
        <v>14</v>
      </c>
      <c r="E26" s="7" t="inlineStr">
        <is>
          <t>Front Seat Assy LH</t>
        </is>
      </c>
      <c r="F26" s="5" t="inlineStr">
        <is>
          <t>Seat</t>
        </is>
      </c>
    </row>
    <row r="27">
      <c r="A27" s="7" t="inlineStr">
        <is>
          <t>시트 내구 시험</t>
        </is>
      </c>
      <c r="B27" s="5" t="inlineStr">
        <is>
          <t>단품 Component</t>
        </is>
      </c>
      <c r="C27" s="5" t="inlineStr">
        <is>
          <t>ES-93100</t>
        </is>
      </c>
      <c r="D27" s="5" t="n">
        <v>21</v>
      </c>
      <c r="E27" s="7" t="inlineStr">
        <is>
          <t>Rear Seat Assy</t>
        </is>
      </c>
      <c r="F27" s="5" t="inlineStr">
        <is>
          <t>Seat</t>
        </is>
      </c>
    </row>
    <row r="28">
      <c r="A28" s="7" t="inlineStr">
        <is>
          <t>ISOFIX 강도 시험</t>
        </is>
      </c>
      <c r="B28" s="5" t="inlineStr">
        <is>
          <t>차량장착 Vehicle</t>
        </is>
      </c>
      <c r="C28" s="5" t="inlineStr">
        <is>
          <t>ECE R14</t>
        </is>
      </c>
      <c r="D28" s="5" t="n">
        <v>10</v>
      </c>
      <c r="E28" s="7" t="inlineStr">
        <is>
          <t>Rear Seat Assy</t>
        </is>
      </c>
      <c r="F28" s="5" t="inlineStr">
        <is>
          <t>Seat</t>
        </is>
      </c>
    </row>
    <row r="29">
      <c r="A29" s="7" t="inlineStr">
        <is>
          <t>수하물 충격 시험</t>
        </is>
      </c>
      <c r="B29" s="5" t="inlineStr">
        <is>
          <t>차량장착 Vehicle</t>
        </is>
      </c>
      <c r="C29" s="5" t="inlineStr">
        <is>
          <t>ECE R17</t>
        </is>
      </c>
      <c r="D29" s="5" t="n">
        <v>7</v>
      </c>
      <c r="E29" s="7" t="inlineStr">
        <is>
          <t>Rear Seat Assy</t>
        </is>
      </c>
      <c r="F29" s="5" t="inlineStr">
        <is>
          <t>Seat</t>
        </is>
      </c>
    </row>
    <row r="30">
      <c r="A30" s="7" t="inlineStr">
        <is>
          <t>외관 검사</t>
        </is>
      </c>
      <c r="B30" s="5" t="inlineStr">
        <is>
          <t>단품 Component</t>
        </is>
      </c>
      <c r="C30" s="5" t="inlineStr">
        <is>
          <t>ES-90100</t>
        </is>
      </c>
      <c r="D30" s="5" t="n">
        <v>3</v>
      </c>
      <c r="E30" s="7" t="inlineStr">
        <is>
          <t>Rear Seat Assy</t>
        </is>
      </c>
      <c r="F30" s="5" t="inlineStr">
        <is>
          <t>Seat</t>
        </is>
      </c>
    </row>
    <row r="32">
      <c r="A32" s="3" t="inlineStr">
        <is>
          <t>TBL_VehicleParts (차종×부품→협력사)</t>
        </is>
      </c>
    </row>
    <row r="33">
      <c r="A33" s="4" t="inlineStr">
        <is>
          <t>VPKey</t>
        </is>
      </c>
      <c r="B33" s="4" t="inlineStr">
        <is>
          <t>SupplierCode</t>
        </is>
      </c>
    </row>
    <row r="34">
      <c r="A34" s="5" t="inlineStr">
        <is>
          <t>AE_PE_Center Console Assy</t>
        </is>
      </c>
      <c r="B34" s="5" t="inlineStr">
        <is>
          <t>SUP_A</t>
        </is>
      </c>
    </row>
    <row r="35">
      <c r="A35" s="5" t="inlineStr">
        <is>
          <t>AE_PE_Console Lid Assy</t>
        </is>
      </c>
      <c r="B35" s="5" t="inlineStr">
        <is>
          <t>SUP_A</t>
        </is>
      </c>
    </row>
    <row r="36">
      <c r="A36" s="5" t="inlineStr">
        <is>
          <t>AE_PE_Door Trim LH</t>
        </is>
      </c>
      <c r="B36" s="5" t="inlineStr">
        <is>
          <t>SUP_B</t>
        </is>
      </c>
    </row>
    <row r="37">
      <c r="A37" s="5" t="inlineStr">
        <is>
          <t>AE_PE_Pillar Trim C</t>
        </is>
      </c>
      <c r="B37" s="5" t="inlineStr">
        <is>
          <t>SUP_C</t>
        </is>
      </c>
    </row>
    <row r="38">
      <c r="A38" s="5" t="inlineStr">
        <is>
          <t>AE_PE_Front Seat Assy LH</t>
        </is>
      </c>
      <c r="B38" s="5" t="inlineStr">
        <is>
          <t>SUP_D</t>
        </is>
      </c>
    </row>
    <row r="39">
      <c r="A39" s="5" t="inlineStr">
        <is>
          <t>AE_PE_Rear Seat Assy</t>
        </is>
      </c>
      <c r="B39" s="5" t="inlineStr">
        <is>
          <t>SUP_D</t>
        </is>
      </c>
    </row>
    <row r="40">
      <c r="A40" s="5" t="inlineStr">
        <is>
          <t>SU2i_Center Console Assy</t>
        </is>
      </c>
      <c r="B40" s="5" t="inlineStr">
        <is>
          <t>SUP_B</t>
        </is>
      </c>
    </row>
    <row r="41">
      <c r="A41" s="5" t="inlineStr">
        <is>
          <t>SU2i_Console Lid Assy</t>
        </is>
      </c>
      <c r="B41" s="5" t="inlineStr">
        <is>
          <t>SUP_B</t>
        </is>
      </c>
    </row>
    <row r="42">
      <c r="A42" s="5" t="inlineStr">
        <is>
          <t>SU2i_Door Trim LH</t>
        </is>
      </c>
      <c r="B42" s="5" t="inlineStr">
        <is>
          <t>SUP_C</t>
        </is>
      </c>
    </row>
    <row r="43">
      <c r="A43" s="5" t="inlineStr">
        <is>
          <t>SU2i_Pillar Trim C</t>
        </is>
      </c>
      <c r="B43" s="5" t="inlineStr">
        <is>
          <t>SUP_A</t>
        </is>
      </c>
    </row>
    <row r="44">
      <c r="A44" s="5" t="inlineStr">
        <is>
          <t>SU2i_Front Seat Assy LH</t>
        </is>
      </c>
      <c r="B44" s="5" t="inlineStr">
        <is>
          <t>SUP_D</t>
        </is>
      </c>
    </row>
    <row r="45">
      <c r="A45" s="5" t="inlineStr">
        <is>
          <t>SU2i_Rear Seat Assy</t>
        </is>
      </c>
      <c r="B45" s="5" t="inlineStr">
        <is>
          <t>SUP_D</t>
        </is>
      </c>
    </row>
    <row r="46">
      <c r="A46" s="5" t="inlineStr">
        <is>
          <t>EN_SUV_Center Console Assy</t>
        </is>
      </c>
      <c r="B46" s="5" t="inlineStr">
        <is>
          <t>SUP_C</t>
        </is>
      </c>
    </row>
    <row r="47">
      <c r="A47" s="5" t="inlineStr">
        <is>
          <t>EN_SUV_Console Lid Assy</t>
        </is>
      </c>
      <c r="B47" s="5" t="inlineStr">
        <is>
          <t>SUP_A</t>
        </is>
      </c>
    </row>
    <row r="48">
      <c r="A48" s="5" t="inlineStr">
        <is>
          <t>EN_SUV_Door Trim LH</t>
        </is>
      </c>
      <c r="B48" s="5" t="inlineStr">
        <is>
          <t>SUP_B</t>
        </is>
      </c>
    </row>
    <row r="49">
      <c r="A49" s="5" t="inlineStr">
        <is>
          <t>EN_SUV_Pillar Trim C</t>
        </is>
      </c>
      <c r="B49" s="5" t="inlineStr">
        <is>
          <t>SUP_B</t>
        </is>
      </c>
    </row>
    <row r="50">
      <c r="A50" s="5" t="inlineStr">
        <is>
          <t>EN_SUV_Front Seat Assy LH</t>
        </is>
      </c>
      <c r="B50" s="5" t="inlineStr">
        <is>
          <t>SUP_D</t>
        </is>
      </c>
    </row>
    <row r="51">
      <c r="A51" s="5" t="inlineStr">
        <is>
          <t>EN_SUV_Rear Seat Assy</t>
        </is>
      </c>
      <c r="B51" s="5" t="inlineStr">
        <is>
          <t>SUP_D</t>
        </is>
      </c>
    </row>
    <row r="53">
      <c r="A53" s="3" t="inlineStr">
        <is>
          <t>Dropdown: PartNames</t>
        </is>
      </c>
    </row>
    <row r="54">
      <c r="A54" s="7" t="inlineStr">
        <is>
          <t>Center Console Assy</t>
        </is>
      </c>
    </row>
    <row r="55">
      <c r="A55" s="7" t="inlineStr">
        <is>
          <t>Console Lid Assy</t>
        </is>
      </c>
    </row>
    <row r="56">
      <c r="A56" s="7" t="inlineStr">
        <is>
          <t>Door Trim LH</t>
        </is>
      </c>
    </row>
    <row r="57">
      <c r="A57" s="7" t="inlineStr">
        <is>
          <t>Pillar Trim C</t>
        </is>
      </c>
    </row>
    <row r="58">
      <c r="A58" s="7" t="inlineStr">
        <is>
          <t>Front Seat Assy LH</t>
        </is>
      </c>
    </row>
    <row r="59">
      <c r="A59" s="7" t="inlineStr">
        <is>
          <t>Rear Seat Assy</t>
        </is>
      </c>
    </row>
    <row r="60">
      <c r="A60" s="3" t="inlineStr">
        <is>
          <t>Dropdown: TestNames</t>
        </is>
      </c>
    </row>
    <row r="61">
      <c r="A61" s="7" t="inlineStr">
        <is>
          <t>VOC 방출 시험</t>
        </is>
      </c>
    </row>
    <row r="62">
      <c r="A62" s="7" t="inlineStr">
        <is>
          <t>내후성 시험</t>
        </is>
      </c>
    </row>
    <row r="63">
      <c r="A63" s="7" t="inlineStr">
        <is>
          <t>내열 시험</t>
        </is>
      </c>
    </row>
    <row r="64">
      <c r="A64" s="7" t="inlineStr">
        <is>
          <t>마모 시험</t>
        </is>
      </c>
    </row>
    <row r="65">
      <c r="A65" s="7" t="inlineStr">
        <is>
          <t>힌지 내구 시험</t>
        </is>
      </c>
    </row>
    <row r="66">
      <c r="A66" s="7" t="inlineStr">
        <is>
          <t>시트 내구 시험</t>
        </is>
      </c>
    </row>
    <row r="67">
      <c r="A67" s="7" t="inlineStr">
        <is>
          <t>연소성 시험</t>
        </is>
      </c>
    </row>
    <row r="68">
      <c r="A68" s="7" t="inlineStr">
        <is>
          <t>안전벨트 앵커리지</t>
        </is>
      </c>
    </row>
    <row r="69">
      <c r="A69" s="7" t="inlineStr">
        <is>
          <t>ISOFIX 강도 시험</t>
        </is>
      </c>
    </row>
    <row r="70">
      <c r="A70" s="7" t="inlineStr">
        <is>
          <t>암레스트 하중</t>
        </is>
      </c>
    </row>
    <row r="71">
      <c r="A71" s="7" t="inlineStr">
        <is>
          <t>치수 검사</t>
        </is>
      </c>
    </row>
    <row r="72">
      <c r="A72" s="7" t="inlineStr">
        <is>
          <t>H-Point 검증</t>
        </is>
      </c>
    </row>
    <row r="73">
      <c r="A73" s="7" t="inlineStr">
        <is>
          <t>BSR 시험</t>
        </is>
      </c>
    </row>
    <row r="74">
      <c r="A74" s="7" t="inlineStr">
        <is>
          <t>외관 검사</t>
        </is>
      </c>
    </row>
    <row r="75">
      <c r="A75" s="7" t="inlineStr">
        <is>
          <t>수하물 충격 시험</t>
        </is>
      </c>
    </row>
  </sheetData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tabColor rgb="003B5998"/>
    <outlinePr summaryBelow="1" summaryRight="1"/>
    <pageSetUpPr/>
  </sheetPr>
  <dimension ref="A1:Y2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12" customWidth="1" min="4" max="4"/>
    <col width="20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8" customWidth="1" min="20" max="20"/>
    <col width="22" customWidth="1" min="21" max="21"/>
    <col width="10" customWidth="1" min="22" max="22"/>
    <col width="10" customWidth="1" min="23" max="23"/>
    <col width="12" customWidth="1" min="24" max="24"/>
    <col width="30" customWidth="1" min="25" max="25"/>
  </cols>
  <sheetData>
    <row r="1">
      <c r="A1" s="8" t="inlineStr">
        <is>
          <t>ESIR Master Tracker V3 — Engineering Sample / Initial Run Test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36" customHeight="1">
      <c r="A3" s="4" t="inlineStr">
        <is>
          <t>No.</t>
        </is>
      </c>
      <c r="B3" s="10" t="inlineStr">
        <is>
          <t>Vehicle Code</t>
        </is>
      </c>
      <c r="C3" s="10" t="inlineStr">
        <is>
          <t>Part Name</t>
        </is>
      </c>
      <c r="D3" s="4" t="inlineStr">
        <is>
          <t>Part Category</t>
        </is>
      </c>
      <c r="E3" s="10" t="inlineStr">
        <is>
          <t>Test Name KR</t>
        </is>
      </c>
      <c r="F3" s="4" t="inlineStr">
        <is>
          <t>Test Type</t>
        </is>
      </c>
      <c r="G3" s="4" t="inlineStr">
        <is>
          <t>Supplier</t>
        </is>
      </c>
      <c r="H3" s="4" t="inlineStr">
        <is>
          <t>T₀ Drawing
Release</t>
        </is>
      </c>
      <c r="I3" s="4" t="inlineStr">
        <is>
          <t>Plan Due
Date</t>
        </is>
      </c>
      <c r="J3" s="10" t="inlineStr">
        <is>
          <t>Plan Submitted
Date</t>
        </is>
      </c>
      <c r="K3" s="10" t="inlineStr">
        <is>
          <t>Review
Result</t>
        </is>
      </c>
      <c r="L3" s="4" t="inlineStr">
        <is>
          <t>Parts Ready
(Plan)</t>
        </is>
      </c>
      <c r="M3" s="10" t="inlineStr">
        <is>
          <t>Parts Ready
(Actual)</t>
        </is>
      </c>
      <c r="N3" s="4" t="inlineStr">
        <is>
          <t>Test Start
(Plan)</t>
        </is>
      </c>
      <c r="O3" s="10" t="inlineStr">
        <is>
          <t>Test Start
(Actual)</t>
        </is>
      </c>
      <c r="P3" s="4" t="inlineStr">
        <is>
          <t>Test Complete
(Plan)</t>
        </is>
      </c>
      <c r="Q3" s="10" t="inlineStr">
        <is>
          <t>Test Complete
(Actual)</t>
        </is>
      </c>
      <c r="R3" s="4" t="inlineStr">
        <is>
          <t>Report Due
Date</t>
        </is>
      </c>
      <c r="S3" s="10" t="inlineStr">
        <is>
          <t>Report Submitted
Date</t>
        </is>
      </c>
      <c r="T3" s="10" t="inlineStr">
        <is>
          <t>Override</t>
        </is>
      </c>
      <c r="U3" s="4" t="inlineStr">
        <is>
          <t>Status</t>
        </is>
      </c>
      <c r="V3" s="4" t="inlineStr">
        <is>
          <t>Progress
%</t>
        </is>
      </c>
      <c r="W3" s="4" t="inlineStr">
        <is>
          <t>Days to
Deadline</t>
        </is>
      </c>
      <c r="X3" s="4" t="inlineStr">
        <is>
          <t>Risk
Flag</t>
        </is>
      </c>
      <c r="Y3" s="4" t="inlineStr">
        <is>
          <t>Next Action</t>
        </is>
      </c>
    </row>
    <row r="4" ht="24" customHeight="1">
      <c r="A4" s="11" t="inlineStr">
        <is>
          <t>번호</t>
        </is>
      </c>
      <c r="B4" s="12" t="inlineStr">
        <is>
          <t>차종</t>
        </is>
      </c>
      <c r="C4" s="12" t="inlineStr">
        <is>
          <t>부품명</t>
        </is>
      </c>
      <c r="D4" s="11" t="inlineStr">
        <is>
          <t>파트구분</t>
        </is>
      </c>
      <c r="E4" s="12" t="inlineStr">
        <is>
          <t>스펙명</t>
        </is>
      </c>
      <c r="F4" s="11" t="inlineStr">
        <is>
          <t>시험유형</t>
        </is>
      </c>
      <c r="G4" s="11" t="inlineStr">
        <is>
          <t>협력사</t>
        </is>
      </c>
      <c r="H4" s="11" t="inlineStr">
        <is>
          <t>T₀ 도면배포</t>
        </is>
      </c>
      <c r="I4" s="11" t="inlineStr">
        <is>
          <t>계획서기한</t>
        </is>
      </c>
      <c r="J4" s="12" t="inlineStr">
        <is>
          <t>계획서제출</t>
        </is>
      </c>
      <c r="K4" s="12" t="inlineStr">
        <is>
          <t>검토결과</t>
        </is>
      </c>
      <c r="L4" s="11" t="inlineStr">
        <is>
          <t>부품준비(계획)</t>
        </is>
      </c>
      <c r="M4" s="12" t="inlineStr">
        <is>
          <t>부품준비(실적)</t>
        </is>
      </c>
      <c r="N4" s="11" t="inlineStr">
        <is>
          <t>시험시작(계획)</t>
        </is>
      </c>
      <c r="O4" s="12" t="inlineStr">
        <is>
          <t>시험시작(실적)</t>
        </is>
      </c>
      <c r="P4" s="11" t="inlineStr">
        <is>
          <t>시험완료(계획)</t>
        </is>
      </c>
      <c r="Q4" s="12" t="inlineStr">
        <is>
          <t>시험완료(실적)</t>
        </is>
      </c>
      <c r="R4" s="11" t="inlineStr">
        <is>
          <t>성적서기한</t>
        </is>
      </c>
      <c r="S4" s="12" t="inlineStr">
        <is>
          <t>성적서제출</t>
        </is>
      </c>
      <c r="T4" s="12" t="inlineStr">
        <is>
          <t>오버라이드</t>
        </is>
      </c>
      <c r="U4" s="11" t="inlineStr">
        <is>
          <t>상태</t>
        </is>
      </c>
      <c r="V4" s="11" t="inlineStr">
        <is>
          <t>진행률%</t>
        </is>
      </c>
      <c r="W4" s="11" t="inlineStr">
        <is>
          <t>잔여일</t>
        </is>
      </c>
      <c r="X4" s="11" t="inlineStr">
        <is>
          <t>리스크</t>
        </is>
      </c>
      <c r="Y4" s="11" t="inlineStr">
        <is>
          <t>다음조치</t>
        </is>
      </c>
    </row>
    <row r="5">
      <c r="A5" s="5" t="n">
        <v>1</v>
      </c>
      <c r="B5" s="13" t="inlineStr">
        <is>
          <t>AE_PE</t>
        </is>
      </c>
      <c r="C5" s="14" t="inlineStr">
        <is>
          <t>Center Console Assy</t>
        </is>
      </c>
      <c r="D5" s="15">
        <f>IFERROR(VLOOKUP(C5,'Reference Data 기준데이터'!$E$8:$F$30,2,FALSE),"")</f>
        <v/>
      </c>
      <c r="E5" s="14" t="inlineStr">
        <is>
          <t>VOC 방출 시험</t>
        </is>
      </c>
      <c r="F5" s="15">
        <f>IFERROR(VLOOKUP(E5,'Reference Data 기준데이터'!$A$8:$F$30,2,FALSE),"")</f>
        <v/>
      </c>
      <c r="G5" s="15">
        <f>IFERROR(VLOOKUP(B5&amp;"_"&amp;C5,'Reference Data 기준데이터'!$A$33:$B$51,2,FALSE),"")</f>
        <v/>
      </c>
      <c r="H5" s="16">
        <f>IFERROR(VLOOKUP(B5,'Reference Data 기준데이터'!$A$2:$J$5,3,FALSE),"")</f>
        <v/>
      </c>
      <c r="I5" s="16">
        <f>IFERROR(H5+VLOOKUP(B5,'Reference Data 기준데이터'!$A$2:$J$5,7,FALSE),"")</f>
        <v/>
      </c>
      <c r="J5" s="13" t="n"/>
      <c r="K5" s="13" t="n"/>
      <c r="L5" s="16">
        <f>IFERROR(H5+VLOOKUP(B5,'Reference Data 기준데이터'!$A$2:$J$5,8,FALSE),"")</f>
        <v/>
      </c>
      <c r="M5" s="13" t="n"/>
      <c r="N5" s="16">
        <f>IFERROR(IF(ISNUMBER(SEARCH("Vehicle",F5)),MAX(H5+VLOOKUP(B5,'Reference Data 기준데이터'!$A$2:$J$5,9,FALSE),VLOOKUP(B5,'Reference Data 기준데이터'!$A$2:$J$5,4,FALSE)),H5+VLOOKUP(B5,'Reference Data 기준데이터'!$A$2:$J$5,9,FALSE)),"")</f>
        <v/>
      </c>
      <c r="O5" s="13" t="n"/>
      <c r="P5" s="16">
        <f>IFERROR(N5+VLOOKUP(E5,'Reference Data 기준데이터'!$A$8:$F$30,4,FALSE),"")</f>
        <v/>
      </c>
      <c r="Q5" s="13" t="n"/>
      <c r="R5" s="16">
        <f>IFERROR(MIN(H5+VLOOKUP(B5,'Reference Data 기준데이터'!$A$2:$J$5,10,FALSE),VLOOKUP(B5,'Reference Data 기준데이터'!$A$2:$J$5,6,FALSE)),"")</f>
        <v/>
      </c>
      <c r="S5" s="13" t="n"/>
      <c r="T5" s="13" t="n"/>
      <c r="U5" s="17">
        <f>IF(T5&lt;&gt;"",T5,IF(AND(S5&lt;&gt;"",Q5&lt;&gt;""),"11-결과등록완료",IF(AND(Q5&lt;&gt;"",S5=""),"10-시험완료",IF(AND(O5&lt;&gt;"",Q5=""),"09-시험준비중",IF(AND(M5&lt;&gt;"",O5=""),"08-단품준비완료",IF(K5="Approved","05-계획서승인",IF(K5="Revision Needed","04-검토중_조건불만족",IF(K5="Under Review","03-검토중_조건충족",IF(AND(J5&lt;&gt;"",K5=""),"02-계획서제출_미검토","01-계획서미제출")))))))))</f>
        <v/>
      </c>
      <c r="V5" s="18">
        <f>IFS(U5="01-계획서미제출",0,U5="02-계획서제출_미검토",0.05,U5="03-검토중_조건충족",0.1,U5="04-검토중_조건불만족",0.05,U5="05-계획서승인",0.2,U5="06-BIW생산중단",0.15,U5="07-생산완료_미인수",0.3,U5="08-단품준비완료",0.4,U5="09-시험준비중",0.55,U5="10-시험완료",0.85,U5="11-결과등록완료",1,U5="12-조건부승인검토",0.9,TRUE,0)</f>
        <v/>
      </c>
      <c r="W5" s="5">
        <f>IF(S5&lt;&gt;"","-",IF(R5="","N/A",R5-TODAY()))</f>
        <v/>
      </c>
      <c r="X5" s="17">
        <f>IF(U5="11-결과등록완료","DONE",IF(OR(U5="06-BIW생산중단",AND(U5="01-계획서미제출",I5&lt;TODAY())),"CRITICAL",IF(OR(U5="04-검토중_조건불만족",U5="07-생산완료_미인수",U5="12-조건부승인검토"),"ACTION",IF(AND(ISNUMBER(W5),W5&lt;=0),"OVERDUE",IF(AND(ISNUMBER(W5),W5&lt;=14),"WARNING","ON TRACK")))))</f>
        <v/>
      </c>
      <c r="Y5" s="19">
        <f>IF(U5="11-결과등록완료","— 완료",IF(U5="01-계획서미제출",IF(I5&lt;TODAY(),"계획서 제출 독촉 (OVERDUE)","계획서 제출 대기"),IF(U5="02-계획서제출_미검토","설계자: 계획서 검토 착수",IF(U5="03-검토중_조건충족","설계자: 승인 처리",IF(U5="04-검토중_조건불만족","보완 요청 → 협력사 재제출 독촉",IF(U5="05-계획서승인","시험편 준비 현황 확인",IF(U5="06-BIW생산중단","BIW 생산팀 확인 → 일정 재수립",IF(U5="07-생산완료_미인수","협력사 인수 독촉",IF(U5="08-단품준비완료","시험 일정 확인",IF(U5="09-시험준비중","시험 진행 모니터링",IF(U5="10-시험완료","결과 보고서 전산 등록 독촉",IF(U5="12-조건부승인검토","조건부 승인 여부 판단 → 관련부서 협의","—"))))))))))))</f>
        <v/>
      </c>
    </row>
    <row r="6">
      <c r="A6" s="5" t="n">
        <v>2</v>
      </c>
      <c r="B6" s="13" t="inlineStr">
        <is>
          <t>AE_PE</t>
        </is>
      </c>
      <c r="C6" s="14" t="inlineStr">
        <is>
          <t>Center Console Assy</t>
        </is>
      </c>
      <c r="D6" s="15">
        <f>IFERROR(VLOOKUP(C6,'Reference Data 기준데이터'!$E$8:$F$30,2,FALSE),"")</f>
        <v/>
      </c>
      <c r="E6" s="14" t="inlineStr">
        <is>
          <t>내열 시험</t>
        </is>
      </c>
      <c r="F6" s="15">
        <f>IFERROR(VLOOKUP(E6,'Reference Data 기준데이터'!$A$8:$F$30,2,FALSE),"")</f>
        <v/>
      </c>
      <c r="G6" s="15">
        <f>IFERROR(VLOOKUP(B6&amp;"_"&amp;C6,'Reference Data 기준데이터'!$A$33:$B$51,2,FALSE),"")</f>
        <v/>
      </c>
      <c r="H6" s="16">
        <f>IFERROR(VLOOKUP(B6,'Reference Data 기준데이터'!$A$2:$J$5,3,FALSE),"")</f>
        <v/>
      </c>
      <c r="I6" s="16">
        <f>IFERROR(H6+VLOOKUP(B6,'Reference Data 기준데이터'!$A$2:$J$5,7,FALSE),"")</f>
        <v/>
      </c>
      <c r="J6" s="20" t="n">
        <v>46049</v>
      </c>
      <c r="K6" s="13" t="inlineStr">
        <is>
          <t>Approved</t>
        </is>
      </c>
      <c r="L6" s="16">
        <f>IFERROR(H6+VLOOKUP(B6,'Reference Data 기준데이터'!$A$2:$J$5,8,FALSE),"")</f>
        <v/>
      </c>
      <c r="M6" s="13" t="n"/>
      <c r="N6" s="16">
        <f>IFERROR(IF(ISNUMBER(SEARCH("Vehicle",F6)),MAX(H6+VLOOKUP(B6,'Reference Data 기준데이터'!$A$2:$J$5,9,FALSE),VLOOKUP(B6,'Reference Data 기준데이터'!$A$2:$J$5,4,FALSE)),H6+VLOOKUP(B6,'Reference Data 기준데이터'!$A$2:$J$5,9,FALSE)),"")</f>
        <v/>
      </c>
      <c r="O6" s="13" t="n"/>
      <c r="P6" s="16">
        <f>IFERROR(N6+VLOOKUP(E6,'Reference Data 기준데이터'!$A$8:$F$30,4,FALSE),"")</f>
        <v/>
      </c>
      <c r="Q6" s="13" t="n"/>
      <c r="R6" s="16">
        <f>IFERROR(MIN(H6+VLOOKUP(B6,'Reference Data 기준데이터'!$A$2:$J$5,10,FALSE),VLOOKUP(B6,'Reference Data 기준데이터'!$A$2:$J$5,6,FALSE)),"")</f>
        <v/>
      </c>
      <c r="S6" s="13" t="n"/>
      <c r="T6" s="13" t="n"/>
      <c r="U6" s="17">
        <f>IF(T6&lt;&gt;"",T6,IF(AND(S6&lt;&gt;"",Q6&lt;&gt;""),"11-결과등록완료",IF(AND(Q6&lt;&gt;"",S6=""),"10-시험완료",IF(AND(O6&lt;&gt;"",Q6=""),"09-시험준비중",IF(AND(M6&lt;&gt;"",O6=""),"08-단품준비완료",IF(K6="Approved","05-계획서승인",IF(K6="Revision Needed","04-검토중_조건불만족",IF(K6="Under Review","03-검토중_조건충족",IF(AND(J6&lt;&gt;"",K6=""),"02-계획서제출_미검토","01-계획서미제출")))))))))</f>
        <v/>
      </c>
      <c r="V6" s="18">
        <f>IFS(U6="01-계획서미제출",0,U6="02-계획서제출_미검토",0.05,U6="03-검토중_조건충족",0.1,U6="04-검토중_조건불만족",0.05,U6="05-계획서승인",0.2,U6="06-BIW생산중단",0.15,U6="07-생산완료_미인수",0.3,U6="08-단품준비완료",0.4,U6="09-시험준비중",0.55,U6="10-시험완료",0.85,U6="11-결과등록완료",1,U6="12-조건부승인검토",0.9,TRUE,0)</f>
        <v/>
      </c>
      <c r="W6" s="5">
        <f>IF(S6&lt;&gt;"","-",IF(R6="","N/A",R6-TODAY()))</f>
        <v/>
      </c>
      <c r="X6" s="17">
        <f>IF(U6="11-결과등록완료","DONE",IF(OR(U6="06-BIW생산중단",AND(U6="01-계획서미제출",I6&lt;TODAY())),"CRITICAL",IF(OR(U6="04-검토중_조건불만족",U6="07-생산완료_미인수",U6="12-조건부승인검토"),"ACTION",IF(AND(ISNUMBER(W6),W6&lt;=0),"OVERDUE",IF(AND(ISNUMBER(W6),W6&lt;=14),"WARNING","ON TRACK")))))</f>
        <v/>
      </c>
      <c r="Y6" s="19">
        <f>IF(U6="11-결과등록완료","— 완료",IF(U6="01-계획서미제출",IF(I6&lt;TODAY(),"계획서 제출 독촉 (OVERDUE)","계획서 제출 대기"),IF(U6="02-계획서제출_미검토","설계자: 계획서 검토 착수",IF(U6="03-검토중_조건충족","설계자: 승인 처리",IF(U6="04-검토중_조건불만족","보완 요청 → 협력사 재제출 독촉",IF(U6="05-계획서승인","시험편 준비 현황 확인",IF(U6="06-BIW생산중단","BIW 생산팀 확인 → 일정 재수립",IF(U6="07-생산완료_미인수","협력사 인수 독촉",IF(U6="08-단품준비완료","시험 일정 확인",IF(U6="09-시험준비중","시험 진행 모니터링",IF(U6="10-시험완료","결과 보고서 전산 등록 독촉",IF(U6="12-조건부승인검토","조건부 승인 여부 판단 → 관련부서 협의","—"))))))))))))</f>
        <v/>
      </c>
    </row>
    <row r="7">
      <c r="A7" s="5" t="n">
        <v>3</v>
      </c>
      <c r="B7" s="13" t="inlineStr">
        <is>
          <t>AE_PE</t>
        </is>
      </c>
      <c r="C7" s="14" t="inlineStr">
        <is>
          <t>Center Console Assy</t>
        </is>
      </c>
      <c r="D7" s="15">
        <f>IFERROR(VLOOKUP(C7,'Reference Data 기준데이터'!$E$8:$F$30,2,FALSE),"")</f>
        <v/>
      </c>
      <c r="E7" s="14" t="inlineStr">
        <is>
          <t>마모 시험</t>
        </is>
      </c>
      <c r="F7" s="15">
        <f>IFERROR(VLOOKUP(E7,'Reference Data 기준데이터'!$A$8:$F$30,2,FALSE),"")</f>
        <v/>
      </c>
      <c r="G7" s="15">
        <f>IFERROR(VLOOKUP(B7&amp;"_"&amp;C7,'Reference Data 기준데이터'!$A$33:$B$51,2,FALSE),"")</f>
        <v/>
      </c>
      <c r="H7" s="16">
        <f>IFERROR(VLOOKUP(B7,'Reference Data 기준데이터'!$A$2:$J$5,3,FALSE),"")</f>
        <v/>
      </c>
      <c r="I7" s="16">
        <f>IFERROR(H7+VLOOKUP(B7,'Reference Data 기준데이터'!$A$2:$J$5,7,FALSE),"")</f>
        <v/>
      </c>
      <c r="J7" s="20" t="n">
        <v>46050</v>
      </c>
      <c r="K7" s="13" t="inlineStr">
        <is>
          <t>Approved</t>
        </is>
      </c>
      <c r="L7" s="16">
        <f>IFERROR(H7+VLOOKUP(B7,'Reference Data 기준데이터'!$A$2:$J$5,8,FALSE),"")</f>
        <v/>
      </c>
      <c r="M7" s="20" t="n">
        <v>46085</v>
      </c>
      <c r="N7" s="16">
        <f>IFERROR(IF(ISNUMBER(SEARCH("Vehicle",F7)),MAX(H7+VLOOKUP(B7,'Reference Data 기준데이터'!$A$2:$J$5,9,FALSE),VLOOKUP(B7,'Reference Data 기준데이터'!$A$2:$J$5,4,FALSE)),H7+VLOOKUP(B7,'Reference Data 기준데이터'!$A$2:$J$5,9,FALSE)),"")</f>
        <v/>
      </c>
      <c r="O7" s="20" t="n">
        <v>46102</v>
      </c>
      <c r="P7" s="16">
        <f>IFERROR(N7+VLOOKUP(E7,'Reference Data 기준데이터'!$A$8:$F$30,4,FALSE),"")</f>
        <v/>
      </c>
      <c r="Q7" s="13" t="n"/>
      <c r="R7" s="16">
        <f>IFERROR(MIN(H7+VLOOKUP(B7,'Reference Data 기준데이터'!$A$2:$J$5,10,FALSE),VLOOKUP(B7,'Reference Data 기준데이터'!$A$2:$J$5,6,FALSE)),"")</f>
        <v/>
      </c>
      <c r="S7" s="13" t="n"/>
      <c r="T7" s="13" t="n"/>
      <c r="U7" s="17">
        <f>IF(T7&lt;&gt;"",T7,IF(AND(S7&lt;&gt;"",Q7&lt;&gt;""),"11-결과등록완료",IF(AND(Q7&lt;&gt;"",S7=""),"10-시험완료",IF(AND(O7&lt;&gt;"",Q7=""),"09-시험준비중",IF(AND(M7&lt;&gt;"",O7=""),"08-단품준비완료",IF(K7="Approved","05-계획서승인",IF(K7="Revision Needed","04-검토중_조건불만족",IF(K7="Under Review","03-검토중_조건충족",IF(AND(J7&lt;&gt;"",K7=""),"02-계획서제출_미검토","01-계획서미제출")))))))))</f>
        <v/>
      </c>
      <c r="V7" s="18">
        <f>IFS(U7="01-계획서미제출",0,U7="02-계획서제출_미검토",0.05,U7="03-검토중_조건충족",0.1,U7="04-검토중_조건불만족",0.05,U7="05-계획서승인",0.2,U7="06-BIW생산중단",0.15,U7="07-생산완료_미인수",0.3,U7="08-단품준비완료",0.4,U7="09-시험준비중",0.55,U7="10-시험완료",0.85,U7="11-결과등록완료",1,U7="12-조건부승인검토",0.9,TRUE,0)</f>
        <v/>
      </c>
      <c r="W7" s="5">
        <f>IF(S7&lt;&gt;"","-",IF(R7="","N/A",R7-TODAY()))</f>
        <v/>
      </c>
      <c r="X7" s="17">
        <f>IF(U7="11-결과등록완료","DONE",IF(OR(U7="06-BIW생산중단",AND(U7="01-계획서미제출",I7&lt;TODAY())),"CRITICAL",IF(OR(U7="04-검토중_조건불만족",U7="07-생산완료_미인수",U7="12-조건부승인검토"),"ACTION",IF(AND(ISNUMBER(W7),W7&lt;=0),"OVERDUE",IF(AND(ISNUMBER(W7),W7&lt;=14),"WARNING","ON TRACK")))))</f>
        <v/>
      </c>
      <c r="Y7" s="19">
        <f>IF(U7="11-결과등록완료","— 완료",IF(U7="01-계획서미제출",IF(I7&lt;TODAY(),"계획서 제출 독촉 (OVERDUE)","계획서 제출 대기"),IF(U7="02-계획서제출_미검토","설계자: 계획서 검토 착수",IF(U7="03-검토중_조건충족","설계자: 승인 처리",IF(U7="04-검토중_조건불만족","보완 요청 → 협력사 재제출 독촉",IF(U7="05-계획서승인","시험편 준비 현황 확인",IF(U7="06-BIW생산중단","BIW 생산팀 확인 → 일정 재수립",IF(U7="07-생산완료_미인수","협력사 인수 독촉",IF(U7="08-단품준비완료","시험 일정 확인",IF(U7="09-시험준비중","시험 진행 모니터링",IF(U7="10-시험완료","결과 보고서 전산 등록 독촉",IF(U7="12-조건부승인검토","조건부 승인 여부 판단 → 관련부서 협의","—"))))))))))))</f>
        <v/>
      </c>
    </row>
    <row r="8">
      <c r="A8" s="5" t="n">
        <v>4</v>
      </c>
      <c r="B8" s="13" t="inlineStr">
        <is>
          <t>AE_PE</t>
        </is>
      </c>
      <c r="C8" s="14" t="inlineStr">
        <is>
          <t>Center Console Assy</t>
        </is>
      </c>
      <c r="D8" s="15">
        <f>IFERROR(VLOOKUP(C8,'Reference Data 기준데이터'!$E$8:$F$30,2,FALSE),"")</f>
        <v/>
      </c>
      <c r="E8" s="14" t="inlineStr">
        <is>
          <t>치수 검사</t>
        </is>
      </c>
      <c r="F8" s="15">
        <f>IFERROR(VLOOKUP(E8,'Reference Data 기준데이터'!$A$8:$F$30,2,FALSE),"")</f>
        <v/>
      </c>
      <c r="G8" s="15">
        <f>IFERROR(VLOOKUP(B8&amp;"_"&amp;C8,'Reference Data 기준데이터'!$A$33:$B$51,2,FALSE),"")</f>
        <v/>
      </c>
      <c r="H8" s="16">
        <f>IFERROR(VLOOKUP(B8,'Reference Data 기준데이터'!$A$2:$J$5,3,FALSE),"")</f>
        <v/>
      </c>
      <c r="I8" s="16">
        <f>IFERROR(H8+VLOOKUP(B8,'Reference Data 기준데이터'!$A$2:$J$5,7,FALSE),"")</f>
        <v/>
      </c>
      <c r="J8" s="20" t="n">
        <v>46051</v>
      </c>
      <c r="K8" s="13" t="inlineStr">
        <is>
          <t>Approved</t>
        </is>
      </c>
      <c r="L8" s="16">
        <f>IFERROR(H8+VLOOKUP(B8,'Reference Data 기준데이터'!$A$2:$J$5,8,FALSE),"")</f>
        <v/>
      </c>
      <c r="M8" s="20" t="n">
        <v>46086</v>
      </c>
      <c r="N8" s="16">
        <f>IFERROR(IF(ISNUMBER(SEARCH("Vehicle",F8)),MAX(H8+VLOOKUP(B8,'Reference Data 기준데이터'!$A$2:$J$5,9,FALSE),VLOOKUP(B8,'Reference Data 기준데이터'!$A$2:$J$5,4,FALSE)),H8+VLOOKUP(B8,'Reference Data 기준데이터'!$A$2:$J$5,9,FALSE)),"")</f>
        <v/>
      </c>
      <c r="O8" s="20" t="n">
        <v>46103</v>
      </c>
      <c r="P8" s="16">
        <f>IFERROR(N8+VLOOKUP(E8,'Reference Data 기준데이터'!$A$8:$F$30,4,FALSE),"")</f>
        <v/>
      </c>
      <c r="Q8" s="20" t="n">
        <v>46126</v>
      </c>
      <c r="R8" s="16">
        <f>IFERROR(MIN(H8+VLOOKUP(B8,'Reference Data 기준데이터'!$A$2:$J$5,10,FALSE),VLOOKUP(B8,'Reference Data 기준데이터'!$A$2:$J$5,6,FALSE)),"")</f>
        <v/>
      </c>
      <c r="S8" s="20" t="n">
        <v>46130</v>
      </c>
      <c r="T8" s="13" t="n"/>
      <c r="U8" s="17">
        <f>IF(T8&lt;&gt;"",T8,IF(AND(S8&lt;&gt;"",Q8&lt;&gt;""),"11-결과등록완료",IF(AND(Q8&lt;&gt;"",S8=""),"10-시험완료",IF(AND(O8&lt;&gt;"",Q8=""),"09-시험준비중",IF(AND(M8&lt;&gt;"",O8=""),"08-단품준비완료",IF(K8="Approved","05-계획서승인",IF(K8="Revision Needed","04-검토중_조건불만족",IF(K8="Under Review","03-검토중_조건충족",IF(AND(J8&lt;&gt;"",K8=""),"02-계획서제출_미검토","01-계획서미제출")))))))))</f>
        <v/>
      </c>
      <c r="V8" s="18">
        <f>IFS(U8="01-계획서미제출",0,U8="02-계획서제출_미검토",0.05,U8="03-검토중_조건충족",0.1,U8="04-검토중_조건불만족",0.05,U8="05-계획서승인",0.2,U8="06-BIW생산중단",0.15,U8="07-생산완료_미인수",0.3,U8="08-단품준비완료",0.4,U8="09-시험준비중",0.55,U8="10-시험완료",0.85,U8="11-결과등록완료",1,U8="12-조건부승인검토",0.9,TRUE,0)</f>
        <v/>
      </c>
      <c r="W8" s="5">
        <f>IF(S8&lt;&gt;"","-",IF(R8="","N/A",R8-TODAY()))</f>
        <v/>
      </c>
      <c r="X8" s="17">
        <f>IF(U8="11-결과등록완료","DONE",IF(OR(U8="06-BIW생산중단",AND(U8="01-계획서미제출",I8&lt;TODAY())),"CRITICAL",IF(OR(U8="04-검토중_조건불만족",U8="07-생산완료_미인수",U8="12-조건부승인검토"),"ACTION",IF(AND(ISNUMBER(W8),W8&lt;=0),"OVERDUE",IF(AND(ISNUMBER(W8),W8&lt;=14),"WARNING","ON TRACK")))))</f>
        <v/>
      </c>
      <c r="Y8" s="19">
        <f>IF(U8="11-결과등록완료","— 완료",IF(U8="01-계획서미제출",IF(I8&lt;TODAY(),"계획서 제출 독촉 (OVERDUE)","계획서 제출 대기"),IF(U8="02-계획서제출_미검토","설계자: 계획서 검토 착수",IF(U8="03-검토중_조건충족","설계자: 승인 처리",IF(U8="04-검토중_조건불만족","보완 요청 → 협력사 재제출 독촉",IF(U8="05-계획서승인","시험편 준비 현황 확인",IF(U8="06-BIW생산중단","BIW 생산팀 확인 → 일정 재수립",IF(U8="07-생산완료_미인수","협력사 인수 독촉",IF(U8="08-단품준비완료","시험 일정 확인",IF(U8="09-시험준비중","시험 진행 모니터링",IF(U8="10-시험완료","결과 보고서 전산 등록 독촉",IF(U8="12-조건부승인검토","조건부 승인 여부 판단 → 관련부서 협의","—"))))))))))))</f>
        <v/>
      </c>
    </row>
    <row r="9">
      <c r="A9" s="5" t="n">
        <v>5</v>
      </c>
      <c r="B9" s="13" t="inlineStr">
        <is>
          <t>AE_PE</t>
        </is>
      </c>
      <c r="C9" s="14" t="inlineStr">
        <is>
          <t>Console Lid Assy</t>
        </is>
      </c>
      <c r="D9" s="15">
        <f>IFERROR(VLOOKUP(C9,'Reference Data 기준데이터'!$E$8:$F$30,2,FALSE),"")</f>
        <v/>
      </c>
      <c r="E9" s="14" t="inlineStr">
        <is>
          <t>VOC 방출 시험</t>
        </is>
      </c>
      <c r="F9" s="15">
        <f>IFERROR(VLOOKUP(E9,'Reference Data 기준데이터'!$A$8:$F$30,2,FALSE),"")</f>
        <v/>
      </c>
      <c r="G9" s="15">
        <f>IFERROR(VLOOKUP(B9&amp;"_"&amp;C9,'Reference Data 기준데이터'!$A$33:$B$51,2,FALSE),"")</f>
        <v/>
      </c>
      <c r="H9" s="16">
        <f>IFERROR(VLOOKUP(B9,'Reference Data 기준데이터'!$A$2:$J$5,3,FALSE),"")</f>
        <v/>
      </c>
      <c r="I9" s="16">
        <f>IFERROR(H9+VLOOKUP(B9,'Reference Data 기준데이터'!$A$2:$J$5,7,FALSE),"")</f>
        <v/>
      </c>
      <c r="J9" s="20" t="n">
        <v>46047</v>
      </c>
      <c r="K9" s="13" t="n"/>
      <c r="L9" s="16">
        <f>IFERROR(H9+VLOOKUP(B9,'Reference Data 기준데이터'!$A$2:$J$5,8,FALSE),"")</f>
        <v/>
      </c>
      <c r="M9" s="13" t="n"/>
      <c r="N9" s="16">
        <f>IFERROR(IF(ISNUMBER(SEARCH("Vehicle",F9)),MAX(H9+VLOOKUP(B9,'Reference Data 기준데이터'!$A$2:$J$5,9,FALSE),VLOOKUP(B9,'Reference Data 기준데이터'!$A$2:$J$5,4,FALSE)),H9+VLOOKUP(B9,'Reference Data 기준데이터'!$A$2:$J$5,9,FALSE)),"")</f>
        <v/>
      </c>
      <c r="O9" s="13" t="n"/>
      <c r="P9" s="16">
        <f>IFERROR(N9+VLOOKUP(E9,'Reference Data 기준데이터'!$A$8:$F$30,4,FALSE),"")</f>
        <v/>
      </c>
      <c r="Q9" s="13" t="n"/>
      <c r="R9" s="16">
        <f>IFERROR(MIN(H9+VLOOKUP(B9,'Reference Data 기준데이터'!$A$2:$J$5,10,FALSE),VLOOKUP(B9,'Reference Data 기준데이터'!$A$2:$J$5,6,FALSE)),"")</f>
        <v/>
      </c>
      <c r="S9" s="13" t="n"/>
      <c r="T9" s="13" t="n"/>
      <c r="U9" s="17">
        <f>IF(T9&lt;&gt;"",T9,IF(AND(S9&lt;&gt;"",Q9&lt;&gt;""),"11-결과등록완료",IF(AND(Q9&lt;&gt;"",S9=""),"10-시험완료",IF(AND(O9&lt;&gt;"",Q9=""),"09-시험준비중",IF(AND(M9&lt;&gt;"",O9=""),"08-단품준비완료",IF(K9="Approved","05-계획서승인",IF(K9="Revision Needed","04-검토중_조건불만족",IF(K9="Under Review","03-검토중_조건충족",IF(AND(J9&lt;&gt;"",K9=""),"02-계획서제출_미검토","01-계획서미제출")))))))))</f>
        <v/>
      </c>
      <c r="V9" s="18">
        <f>IFS(U9="01-계획서미제출",0,U9="02-계획서제출_미검토",0.05,U9="03-검토중_조건충족",0.1,U9="04-검토중_조건불만족",0.05,U9="05-계획서승인",0.2,U9="06-BIW생산중단",0.15,U9="07-생산완료_미인수",0.3,U9="08-단품준비완료",0.4,U9="09-시험준비중",0.55,U9="10-시험완료",0.85,U9="11-결과등록완료",1,U9="12-조건부승인검토",0.9,TRUE,0)</f>
        <v/>
      </c>
      <c r="W9" s="5">
        <f>IF(S9&lt;&gt;"","-",IF(R9="","N/A",R9-TODAY()))</f>
        <v/>
      </c>
      <c r="X9" s="17">
        <f>IF(U9="11-결과등록완료","DONE",IF(OR(U9="06-BIW생산중단",AND(U9="01-계획서미제출",I9&lt;TODAY())),"CRITICAL",IF(OR(U9="04-검토중_조건불만족",U9="07-생산완료_미인수",U9="12-조건부승인검토"),"ACTION",IF(AND(ISNUMBER(W9),W9&lt;=0),"OVERDUE",IF(AND(ISNUMBER(W9),W9&lt;=14),"WARNING","ON TRACK")))))</f>
        <v/>
      </c>
      <c r="Y9" s="19">
        <f>IF(U9="11-결과등록완료","— 완료",IF(U9="01-계획서미제출",IF(I9&lt;TODAY(),"계획서 제출 독촉 (OVERDUE)","계획서 제출 대기"),IF(U9="02-계획서제출_미검토","설계자: 계획서 검토 착수",IF(U9="03-검토중_조건충족","설계자: 승인 처리",IF(U9="04-검토중_조건불만족","보완 요청 → 협력사 재제출 독촉",IF(U9="05-계획서승인","시험편 준비 현황 확인",IF(U9="06-BIW생산중단","BIW 생산팀 확인 → 일정 재수립",IF(U9="07-생산완료_미인수","협력사 인수 독촉",IF(U9="08-단품준비완료","시험 일정 확인",IF(U9="09-시험준비중","시험 진행 모니터링",IF(U9="10-시험완료","결과 보고서 전산 등록 독촉",IF(U9="12-조건부승인검토","조건부 승인 여부 판단 → 관련부서 협의","—"))))))))))))</f>
        <v/>
      </c>
    </row>
    <row r="10">
      <c r="A10" s="5" t="n">
        <v>6</v>
      </c>
      <c r="B10" s="13" t="inlineStr">
        <is>
          <t>AE_PE</t>
        </is>
      </c>
      <c r="C10" s="14" t="inlineStr">
        <is>
          <t>Console Lid Assy</t>
        </is>
      </c>
      <c r="D10" s="15">
        <f>IFERROR(VLOOKUP(C10,'Reference Data 기준데이터'!$E$8:$F$30,2,FALSE),"")</f>
        <v/>
      </c>
      <c r="E10" s="14" t="inlineStr">
        <is>
          <t>힌지 내구 시험</t>
        </is>
      </c>
      <c r="F10" s="15">
        <f>IFERROR(VLOOKUP(E10,'Reference Data 기준데이터'!$A$8:$F$30,2,FALSE),"")</f>
        <v/>
      </c>
      <c r="G10" s="15">
        <f>IFERROR(VLOOKUP(B10&amp;"_"&amp;C10,'Reference Data 기준데이터'!$A$33:$B$51,2,FALSE),"")</f>
        <v/>
      </c>
      <c r="H10" s="16">
        <f>IFERROR(VLOOKUP(B10,'Reference Data 기준데이터'!$A$2:$J$5,3,FALSE),"")</f>
        <v/>
      </c>
      <c r="I10" s="16">
        <f>IFERROR(H10+VLOOKUP(B10,'Reference Data 기준데이터'!$A$2:$J$5,7,FALSE),"")</f>
        <v/>
      </c>
      <c r="J10" s="20" t="n">
        <v>46048</v>
      </c>
      <c r="K10" s="13" t="inlineStr">
        <is>
          <t>Approved</t>
        </is>
      </c>
      <c r="L10" s="16">
        <f>IFERROR(H10+VLOOKUP(B10,'Reference Data 기준데이터'!$A$2:$J$5,8,FALSE),"")</f>
        <v/>
      </c>
      <c r="M10" s="20" t="n">
        <v>46088</v>
      </c>
      <c r="N10" s="16">
        <f>IFERROR(IF(ISNUMBER(SEARCH("Vehicle",F10)),MAX(H10+VLOOKUP(B10,'Reference Data 기준데이터'!$A$2:$J$5,9,FALSE),VLOOKUP(B10,'Reference Data 기준데이터'!$A$2:$J$5,4,FALSE)),H10+VLOOKUP(B10,'Reference Data 기준데이터'!$A$2:$J$5,9,FALSE)),"")</f>
        <v/>
      </c>
      <c r="O10" s="13" t="n"/>
      <c r="P10" s="16">
        <f>IFERROR(N10+VLOOKUP(E10,'Reference Data 기준데이터'!$A$8:$F$30,4,FALSE),"")</f>
        <v/>
      </c>
      <c r="Q10" s="13" t="n"/>
      <c r="R10" s="16">
        <f>IFERROR(MIN(H10+VLOOKUP(B10,'Reference Data 기준데이터'!$A$2:$J$5,10,FALSE),VLOOKUP(B10,'Reference Data 기준데이터'!$A$2:$J$5,6,FALSE)),"")</f>
        <v/>
      </c>
      <c r="S10" s="13" t="n"/>
      <c r="T10" s="13" t="n"/>
      <c r="U10" s="17">
        <f>IF(T10&lt;&gt;"",T10,IF(AND(S10&lt;&gt;"",Q10&lt;&gt;""),"11-결과등록완료",IF(AND(Q10&lt;&gt;"",S10=""),"10-시험완료",IF(AND(O10&lt;&gt;"",Q10=""),"09-시험준비중",IF(AND(M10&lt;&gt;"",O10=""),"08-단품준비완료",IF(K10="Approved","05-계획서승인",IF(K10="Revision Needed","04-검토중_조건불만족",IF(K10="Under Review","03-검토중_조건충족",IF(AND(J10&lt;&gt;"",K10=""),"02-계획서제출_미검토","01-계획서미제출")))))))))</f>
        <v/>
      </c>
      <c r="V10" s="18">
        <f>IFS(U10="01-계획서미제출",0,U10="02-계획서제출_미검토",0.05,U10="03-검토중_조건충족",0.1,U10="04-검토중_조건불만족",0.05,U10="05-계획서승인",0.2,U10="06-BIW생산중단",0.15,U10="07-생산완료_미인수",0.3,U10="08-단품준비완료",0.4,U10="09-시험준비중",0.55,U10="10-시험완료",0.85,U10="11-결과등록완료",1,U10="12-조건부승인검토",0.9,TRUE,0)</f>
        <v/>
      </c>
      <c r="W10" s="5">
        <f>IF(S10&lt;&gt;"","-",IF(R10="","N/A",R10-TODAY()))</f>
        <v/>
      </c>
      <c r="X10" s="17">
        <f>IF(U10="11-결과등록완료","DONE",IF(OR(U10="06-BIW생산중단",AND(U10="01-계획서미제출",I10&lt;TODAY())),"CRITICAL",IF(OR(U10="04-검토중_조건불만족",U10="07-생산완료_미인수",U10="12-조건부승인검토"),"ACTION",IF(AND(ISNUMBER(W10),W10&lt;=0),"OVERDUE",IF(AND(ISNUMBER(W10),W10&lt;=14),"WARNING","ON TRACK")))))</f>
        <v/>
      </c>
      <c r="Y10" s="19">
        <f>IF(U10="11-결과등록완료","— 완료",IF(U10="01-계획서미제출",IF(I10&lt;TODAY(),"계획서 제출 독촉 (OVERDUE)","계획서 제출 대기"),IF(U10="02-계획서제출_미검토","설계자: 계획서 검토 착수",IF(U10="03-검토중_조건충족","설계자: 승인 처리",IF(U10="04-검토중_조건불만족","보완 요청 → 협력사 재제출 독촉",IF(U10="05-계획서승인","시험편 준비 현황 확인",IF(U10="06-BIW생산중단","BIW 생산팀 확인 → 일정 재수립",IF(U10="07-생산완료_미인수","협력사 인수 독촉",IF(U10="08-단품준비완료","시험 일정 확인",IF(U10="09-시험준비중","시험 진행 모니터링",IF(U10="10-시험완료","결과 보고서 전산 등록 독촉",IF(U10="12-조건부승인검토","조건부 승인 여부 판단 → 관련부서 협의","—"))))))))))))</f>
        <v/>
      </c>
    </row>
    <row r="11">
      <c r="A11" s="5" t="n">
        <v>7</v>
      </c>
      <c r="B11" s="13" t="inlineStr">
        <is>
          <t>AE_PE</t>
        </is>
      </c>
      <c r="C11" s="14" t="inlineStr">
        <is>
          <t>Console Lid Assy</t>
        </is>
      </c>
      <c r="D11" s="15">
        <f>IFERROR(VLOOKUP(C11,'Reference Data 기준데이터'!$E$8:$F$30,2,FALSE),"")</f>
        <v/>
      </c>
      <c r="E11" s="14" t="inlineStr">
        <is>
          <t>외관 검사</t>
        </is>
      </c>
      <c r="F11" s="15">
        <f>IFERROR(VLOOKUP(E11,'Reference Data 기준데이터'!$A$8:$F$30,2,FALSE),"")</f>
        <v/>
      </c>
      <c r="G11" s="15">
        <f>IFERROR(VLOOKUP(B11&amp;"_"&amp;C11,'Reference Data 기준데이터'!$A$33:$B$51,2,FALSE),"")</f>
        <v/>
      </c>
      <c r="H11" s="16">
        <f>IFERROR(VLOOKUP(B11,'Reference Data 기준데이터'!$A$2:$J$5,3,FALSE),"")</f>
        <v/>
      </c>
      <c r="I11" s="16">
        <f>IFERROR(H11+VLOOKUP(B11,'Reference Data 기준데이터'!$A$2:$J$5,7,FALSE),"")</f>
        <v/>
      </c>
      <c r="J11" s="20" t="n">
        <v>46049</v>
      </c>
      <c r="K11" s="13" t="inlineStr">
        <is>
          <t>Approved</t>
        </is>
      </c>
      <c r="L11" s="16">
        <f>IFERROR(H11+VLOOKUP(B11,'Reference Data 기준데이터'!$A$2:$J$5,8,FALSE),"")</f>
        <v/>
      </c>
      <c r="M11" s="20" t="n">
        <v>46089</v>
      </c>
      <c r="N11" s="16">
        <f>IFERROR(IF(ISNUMBER(SEARCH("Vehicle",F11)),MAX(H11+VLOOKUP(B11,'Reference Data 기준데이터'!$A$2:$J$5,9,FALSE),VLOOKUP(B11,'Reference Data 기준데이터'!$A$2:$J$5,4,FALSE)),H11+VLOOKUP(B11,'Reference Data 기준데이터'!$A$2:$J$5,9,FALSE)),"")</f>
        <v/>
      </c>
      <c r="O11" s="20" t="n">
        <v>46100</v>
      </c>
      <c r="P11" s="16">
        <f>IFERROR(N11+VLOOKUP(E11,'Reference Data 기준데이터'!$A$8:$F$30,4,FALSE),"")</f>
        <v/>
      </c>
      <c r="Q11" s="20" t="n">
        <v>46122</v>
      </c>
      <c r="R11" s="16">
        <f>IFERROR(MIN(H11+VLOOKUP(B11,'Reference Data 기준데이터'!$A$2:$J$5,10,FALSE),VLOOKUP(B11,'Reference Data 기준데이터'!$A$2:$J$5,6,FALSE)),"")</f>
        <v/>
      </c>
      <c r="S11" s="20" t="n">
        <v>46133</v>
      </c>
      <c r="T11" s="13" t="n"/>
      <c r="U11" s="17">
        <f>IF(T11&lt;&gt;"",T11,IF(AND(S11&lt;&gt;"",Q11&lt;&gt;""),"11-결과등록완료",IF(AND(Q11&lt;&gt;"",S11=""),"10-시험완료",IF(AND(O11&lt;&gt;"",Q11=""),"09-시험준비중",IF(AND(M11&lt;&gt;"",O11=""),"08-단품준비완료",IF(K11="Approved","05-계획서승인",IF(K11="Revision Needed","04-검토중_조건불만족",IF(K11="Under Review","03-검토중_조건충족",IF(AND(J11&lt;&gt;"",K11=""),"02-계획서제출_미검토","01-계획서미제출")))))))))</f>
        <v/>
      </c>
      <c r="V11" s="18">
        <f>IFS(U11="01-계획서미제출",0,U11="02-계획서제출_미검토",0.05,U11="03-검토중_조건충족",0.1,U11="04-검토중_조건불만족",0.05,U11="05-계획서승인",0.2,U11="06-BIW생산중단",0.15,U11="07-생산완료_미인수",0.3,U11="08-단품준비완료",0.4,U11="09-시험준비중",0.55,U11="10-시험완료",0.85,U11="11-결과등록완료",1,U11="12-조건부승인검토",0.9,TRUE,0)</f>
        <v/>
      </c>
      <c r="W11" s="5">
        <f>IF(S11&lt;&gt;"","-",IF(R11="","N/A",R11-TODAY()))</f>
        <v/>
      </c>
      <c r="X11" s="17">
        <f>IF(U11="11-결과등록완료","DONE",IF(OR(U11="06-BIW생산중단",AND(U11="01-계획서미제출",I11&lt;TODAY())),"CRITICAL",IF(OR(U11="04-검토중_조건불만족",U11="07-생산완료_미인수",U11="12-조건부승인검토"),"ACTION",IF(AND(ISNUMBER(W11),W11&lt;=0),"OVERDUE",IF(AND(ISNUMBER(W11),W11&lt;=14),"WARNING","ON TRACK")))))</f>
        <v/>
      </c>
      <c r="Y11" s="19">
        <f>IF(U11="11-결과등록완료","— 완료",IF(U11="01-계획서미제출",IF(I11&lt;TODAY(),"계획서 제출 독촉 (OVERDUE)","계획서 제출 대기"),IF(U11="02-계획서제출_미검토","설계자: 계획서 검토 착수",IF(U11="03-검토중_조건충족","설계자: 승인 처리",IF(U11="04-검토중_조건불만족","보완 요청 → 협력사 재제출 독촉",IF(U11="05-계획서승인","시험편 준비 현황 확인",IF(U11="06-BIW생산중단","BIW 생산팀 확인 → 일정 재수립",IF(U11="07-생산완료_미인수","협력사 인수 독촉",IF(U11="08-단품준비완료","시험 일정 확인",IF(U11="09-시험준비중","시험 진행 모니터링",IF(U11="10-시험완료","결과 보고서 전산 등록 독촉",IF(U11="12-조건부승인검토","조건부 승인 여부 판단 → 관련부서 협의","—"))))))))))))</f>
        <v/>
      </c>
    </row>
    <row r="12">
      <c r="A12" s="5" t="n">
        <v>8</v>
      </c>
      <c r="B12" s="13" t="inlineStr">
        <is>
          <t>AE_PE</t>
        </is>
      </c>
      <c r="C12" s="14" t="inlineStr">
        <is>
          <t>Door Trim LH</t>
        </is>
      </c>
      <c r="D12" s="15">
        <f>IFERROR(VLOOKUP(C12,'Reference Data 기준데이터'!$E$8:$F$30,2,FALSE),"")</f>
        <v/>
      </c>
      <c r="E12" s="14" t="inlineStr">
        <is>
          <t>VOC 방출 시험</t>
        </is>
      </c>
      <c r="F12" s="15">
        <f>IFERROR(VLOOKUP(E12,'Reference Data 기준데이터'!$A$8:$F$30,2,FALSE),"")</f>
        <v/>
      </c>
      <c r="G12" s="15">
        <f>IFERROR(VLOOKUP(B12&amp;"_"&amp;C12,'Reference Data 기준데이터'!$A$33:$B$51,2,FALSE),"")</f>
        <v/>
      </c>
      <c r="H12" s="16">
        <f>IFERROR(VLOOKUP(B12,'Reference Data 기준데이터'!$A$2:$J$5,3,FALSE),"")</f>
        <v/>
      </c>
      <c r="I12" s="16">
        <f>IFERROR(H12+VLOOKUP(B12,'Reference Data 기준데이터'!$A$2:$J$5,7,FALSE),"")</f>
        <v/>
      </c>
      <c r="J12" s="20" t="n">
        <v>46050</v>
      </c>
      <c r="K12" s="13" t="inlineStr">
        <is>
          <t>Under Review</t>
        </is>
      </c>
      <c r="L12" s="16">
        <f>IFERROR(H12+VLOOKUP(B12,'Reference Data 기준데이터'!$A$2:$J$5,8,FALSE),"")</f>
        <v/>
      </c>
      <c r="M12" s="13" t="n"/>
      <c r="N12" s="16">
        <f>IFERROR(IF(ISNUMBER(SEARCH("Vehicle",F12)),MAX(H12+VLOOKUP(B12,'Reference Data 기준데이터'!$A$2:$J$5,9,FALSE),VLOOKUP(B12,'Reference Data 기준데이터'!$A$2:$J$5,4,FALSE)),H12+VLOOKUP(B12,'Reference Data 기준데이터'!$A$2:$J$5,9,FALSE)),"")</f>
        <v/>
      </c>
      <c r="O12" s="13" t="n"/>
      <c r="P12" s="16">
        <f>IFERROR(N12+VLOOKUP(E12,'Reference Data 기준데이터'!$A$8:$F$30,4,FALSE),"")</f>
        <v/>
      </c>
      <c r="Q12" s="13" t="n"/>
      <c r="R12" s="16">
        <f>IFERROR(MIN(H12+VLOOKUP(B12,'Reference Data 기준데이터'!$A$2:$J$5,10,FALSE),VLOOKUP(B12,'Reference Data 기준데이터'!$A$2:$J$5,6,FALSE)),"")</f>
        <v/>
      </c>
      <c r="S12" s="13" t="n"/>
      <c r="T12" s="13" t="n"/>
      <c r="U12" s="17">
        <f>IF(T12&lt;&gt;"",T12,IF(AND(S12&lt;&gt;"",Q12&lt;&gt;""),"11-결과등록완료",IF(AND(Q12&lt;&gt;"",S12=""),"10-시험완료",IF(AND(O12&lt;&gt;"",Q12=""),"09-시험준비중",IF(AND(M12&lt;&gt;"",O12=""),"08-단품준비완료",IF(K12="Approved","05-계획서승인",IF(K12="Revision Needed","04-검토중_조건불만족",IF(K12="Under Review","03-검토중_조건충족",IF(AND(J12&lt;&gt;"",K12=""),"02-계획서제출_미검토","01-계획서미제출")))))))))</f>
        <v/>
      </c>
      <c r="V12" s="18">
        <f>IFS(U12="01-계획서미제출",0,U12="02-계획서제출_미검토",0.05,U12="03-검토중_조건충족",0.1,U12="04-검토중_조건불만족",0.05,U12="05-계획서승인",0.2,U12="06-BIW생산중단",0.15,U12="07-생산완료_미인수",0.3,U12="08-단품준비완료",0.4,U12="09-시험준비중",0.55,U12="10-시험완료",0.85,U12="11-결과등록완료",1,U12="12-조건부승인검토",0.9,TRUE,0)</f>
        <v/>
      </c>
      <c r="W12" s="5">
        <f>IF(S12&lt;&gt;"","-",IF(R12="","N/A",R12-TODAY()))</f>
        <v/>
      </c>
      <c r="X12" s="17">
        <f>IF(U12="11-결과등록완료","DONE",IF(OR(U12="06-BIW생산중단",AND(U12="01-계획서미제출",I12&lt;TODAY())),"CRITICAL",IF(OR(U12="04-검토중_조건불만족",U12="07-생산완료_미인수",U12="12-조건부승인검토"),"ACTION",IF(AND(ISNUMBER(W12),W12&lt;=0),"OVERDUE",IF(AND(ISNUMBER(W12),W12&lt;=14),"WARNING","ON TRACK")))))</f>
        <v/>
      </c>
      <c r="Y12" s="19">
        <f>IF(U12="11-결과등록완료","— 완료",IF(U12="01-계획서미제출",IF(I12&lt;TODAY(),"계획서 제출 독촉 (OVERDUE)","계획서 제출 대기"),IF(U12="02-계획서제출_미검토","설계자: 계획서 검토 착수",IF(U12="03-검토중_조건충족","설계자: 승인 처리",IF(U12="04-검토중_조건불만족","보완 요청 → 협력사 재제출 독촉",IF(U12="05-계획서승인","시험편 준비 현황 확인",IF(U12="06-BIW생산중단","BIW 생산팀 확인 → 일정 재수립",IF(U12="07-생산완료_미인수","협력사 인수 독촉",IF(U12="08-단품준비완료","시험 일정 확인",IF(U12="09-시험준비중","시험 진행 모니터링",IF(U12="10-시험완료","결과 보고서 전산 등록 독촉",IF(U12="12-조건부승인검토","조건부 승인 여부 판단 → 관련부서 협의","—"))))))))))))</f>
        <v/>
      </c>
    </row>
    <row r="13">
      <c r="A13" s="5" t="n">
        <v>9</v>
      </c>
      <c r="B13" s="13" t="inlineStr">
        <is>
          <t>AE_PE</t>
        </is>
      </c>
      <c r="C13" s="14" t="inlineStr">
        <is>
          <t>Door Trim LH</t>
        </is>
      </c>
      <c r="D13" s="15">
        <f>IFERROR(VLOOKUP(C13,'Reference Data 기준데이터'!$E$8:$F$30,2,FALSE),"")</f>
        <v/>
      </c>
      <c r="E13" s="14" t="inlineStr">
        <is>
          <t>내후성 시험</t>
        </is>
      </c>
      <c r="F13" s="15">
        <f>IFERROR(VLOOKUP(E13,'Reference Data 기준데이터'!$A$8:$F$30,2,FALSE),"")</f>
        <v/>
      </c>
      <c r="G13" s="15">
        <f>IFERROR(VLOOKUP(B13&amp;"_"&amp;C13,'Reference Data 기준데이터'!$A$33:$B$51,2,FALSE),"")</f>
        <v/>
      </c>
      <c r="H13" s="16">
        <f>IFERROR(VLOOKUP(B13,'Reference Data 기준데이터'!$A$2:$J$5,3,FALSE),"")</f>
        <v/>
      </c>
      <c r="I13" s="16">
        <f>IFERROR(H13+VLOOKUP(B13,'Reference Data 기준데이터'!$A$2:$J$5,7,FALSE),"")</f>
        <v/>
      </c>
      <c r="J13" s="20" t="n">
        <v>46051</v>
      </c>
      <c r="K13" s="13" t="inlineStr">
        <is>
          <t>Approved</t>
        </is>
      </c>
      <c r="L13" s="16">
        <f>IFERROR(H13+VLOOKUP(B13,'Reference Data 기준데이터'!$A$2:$J$5,8,FALSE),"")</f>
        <v/>
      </c>
      <c r="M13" s="20" t="n">
        <v>46083</v>
      </c>
      <c r="N13" s="16">
        <f>IFERROR(IF(ISNUMBER(SEARCH("Vehicle",F13)),MAX(H13+VLOOKUP(B13,'Reference Data 기준데이터'!$A$2:$J$5,9,FALSE),VLOOKUP(B13,'Reference Data 기준데이터'!$A$2:$J$5,4,FALSE)),H13+VLOOKUP(B13,'Reference Data 기준데이터'!$A$2:$J$5,9,FALSE)),"")</f>
        <v/>
      </c>
      <c r="O13" s="20" t="n">
        <v>46102</v>
      </c>
      <c r="P13" s="16">
        <f>IFERROR(N13+VLOOKUP(E13,'Reference Data 기준데이터'!$A$8:$F$30,4,FALSE),"")</f>
        <v/>
      </c>
      <c r="Q13" s="20" t="n">
        <v>46124</v>
      </c>
      <c r="R13" s="16">
        <f>IFERROR(MIN(H13+VLOOKUP(B13,'Reference Data 기준데이터'!$A$2:$J$5,10,FALSE),VLOOKUP(B13,'Reference Data 기준데이터'!$A$2:$J$5,6,FALSE)),"")</f>
        <v/>
      </c>
      <c r="S13" s="13" t="n"/>
      <c r="T13" s="13" t="n"/>
      <c r="U13" s="17">
        <f>IF(T13&lt;&gt;"",T13,IF(AND(S13&lt;&gt;"",Q13&lt;&gt;""),"11-결과등록완료",IF(AND(Q13&lt;&gt;"",S13=""),"10-시험완료",IF(AND(O13&lt;&gt;"",Q13=""),"09-시험준비중",IF(AND(M13&lt;&gt;"",O13=""),"08-단품준비완료",IF(K13="Approved","05-계획서승인",IF(K13="Revision Needed","04-검토중_조건불만족",IF(K13="Under Review","03-검토중_조건충족",IF(AND(J13&lt;&gt;"",K13=""),"02-계획서제출_미검토","01-계획서미제출")))))))))</f>
        <v/>
      </c>
      <c r="V13" s="18">
        <f>IFS(U13="01-계획서미제출",0,U13="02-계획서제출_미검토",0.05,U13="03-검토중_조건충족",0.1,U13="04-검토중_조건불만족",0.05,U13="05-계획서승인",0.2,U13="06-BIW생산중단",0.15,U13="07-생산완료_미인수",0.3,U13="08-단품준비완료",0.4,U13="09-시험준비중",0.55,U13="10-시험완료",0.85,U13="11-결과등록완료",1,U13="12-조건부승인검토",0.9,TRUE,0)</f>
        <v/>
      </c>
      <c r="W13" s="5">
        <f>IF(S13&lt;&gt;"","-",IF(R13="","N/A",R13-TODAY()))</f>
        <v/>
      </c>
      <c r="X13" s="17">
        <f>IF(U13="11-결과등록완료","DONE",IF(OR(U13="06-BIW생산중단",AND(U13="01-계획서미제출",I13&lt;TODAY())),"CRITICAL",IF(OR(U13="04-검토중_조건불만족",U13="07-생산완료_미인수",U13="12-조건부승인검토"),"ACTION",IF(AND(ISNUMBER(W13),W13&lt;=0),"OVERDUE",IF(AND(ISNUMBER(W13),W13&lt;=14),"WARNING","ON TRACK")))))</f>
        <v/>
      </c>
      <c r="Y13" s="19">
        <f>IF(U13="11-결과등록완료","— 완료",IF(U13="01-계획서미제출",IF(I13&lt;TODAY(),"계획서 제출 독촉 (OVERDUE)","계획서 제출 대기"),IF(U13="02-계획서제출_미검토","설계자: 계획서 검토 착수",IF(U13="03-검토중_조건충족","설계자: 승인 처리",IF(U13="04-검토중_조건불만족","보완 요청 → 협력사 재제출 독촉",IF(U13="05-계획서승인","시험편 준비 현황 확인",IF(U13="06-BIW생산중단","BIW 생산팀 확인 → 일정 재수립",IF(U13="07-생산완료_미인수","협력사 인수 독촉",IF(U13="08-단품준비완료","시험 일정 확인",IF(U13="09-시험준비중","시험 진행 모니터링",IF(U13="10-시험완료","결과 보고서 전산 등록 독촉",IF(U13="12-조건부승인검토","조건부 승인 여부 판단 → 관련부서 협의","—"))))))))))))</f>
        <v/>
      </c>
    </row>
    <row r="14">
      <c r="A14" s="5" t="n">
        <v>10</v>
      </c>
      <c r="B14" s="13" t="inlineStr">
        <is>
          <t>AE_PE</t>
        </is>
      </c>
      <c r="C14" s="14" t="inlineStr">
        <is>
          <t>Door Trim LH</t>
        </is>
      </c>
      <c r="D14" s="15">
        <f>IFERROR(VLOOKUP(C14,'Reference Data 기준데이터'!$E$8:$F$30,2,FALSE),"")</f>
        <v/>
      </c>
      <c r="E14" s="14" t="inlineStr">
        <is>
          <t>연소성 시험</t>
        </is>
      </c>
      <c r="F14" s="15">
        <f>IFERROR(VLOOKUP(E14,'Reference Data 기준데이터'!$A$8:$F$30,2,FALSE),"")</f>
        <v/>
      </c>
      <c r="G14" s="15">
        <f>IFERROR(VLOOKUP(B14&amp;"_"&amp;C14,'Reference Data 기준데이터'!$A$33:$B$51,2,FALSE),"")</f>
        <v/>
      </c>
      <c r="H14" s="16">
        <f>IFERROR(VLOOKUP(B14,'Reference Data 기준데이터'!$A$2:$J$5,3,FALSE),"")</f>
        <v/>
      </c>
      <c r="I14" s="16">
        <f>IFERROR(H14+VLOOKUP(B14,'Reference Data 기준데이터'!$A$2:$J$5,7,FALSE),"")</f>
        <v/>
      </c>
      <c r="J14" s="20" t="n">
        <v>46047</v>
      </c>
      <c r="K14" s="13" t="inlineStr">
        <is>
          <t>Approved</t>
        </is>
      </c>
      <c r="L14" s="16">
        <f>IFERROR(H14+VLOOKUP(B14,'Reference Data 기준데이터'!$A$2:$J$5,8,FALSE),"")</f>
        <v/>
      </c>
      <c r="M14" s="13" t="n"/>
      <c r="N14" s="16">
        <f>IFERROR(IF(ISNUMBER(SEARCH("Vehicle",F14)),MAX(H14+VLOOKUP(B14,'Reference Data 기준데이터'!$A$2:$J$5,9,FALSE),VLOOKUP(B14,'Reference Data 기준데이터'!$A$2:$J$5,4,FALSE)),H14+VLOOKUP(B14,'Reference Data 기준데이터'!$A$2:$J$5,9,FALSE)),"")</f>
        <v/>
      </c>
      <c r="O14" s="13" t="n"/>
      <c r="P14" s="16">
        <f>IFERROR(N14+VLOOKUP(E14,'Reference Data 기준데이터'!$A$8:$F$30,4,FALSE),"")</f>
        <v/>
      </c>
      <c r="Q14" s="13" t="n"/>
      <c r="R14" s="16">
        <f>IFERROR(MIN(H14+VLOOKUP(B14,'Reference Data 기준데이터'!$A$2:$J$5,10,FALSE),VLOOKUP(B14,'Reference Data 기준데이터'!$A$2:$J$5,6,FALSE)),"")</f>
        <v/>
      </c>
      <c r="S14" s="13" t="n"/>
      <c r="T14" s="13" t="inlineStr">
        <is>
          <t>06-BIW생산중단</t>
        </is>
      </c>
      <c r="U14" s="17">
        <f>IF(T14&lt;&gt;"",T14,IF(AND(S14&lt;&gt;"",Q14&lt;&gt;""),"11-결과등록완료",IF(AND(Q14&lt;&gt;"",S14=""),"10-시험완료",IF(AND(O14&lt;&gt;"",Q14=""),"09-시험준비중",IF(AND(M14&lt;&gt;"",O14=""),"08-단품준비완료",IF(K14="Approved","05-계획서승인",IF(K14="Revision Needed","04-검토중_조건불만족",IF(K14="Under Review","03-검토중_조건충족",IF(AND(J14&lt;&gt;"",K14=""),"02-계획서제출_미검토","01-계획서미제출")))))))))</f>
        <v/>
      </c>
      <c r="V14" s="18">
        <f>IFS(U14="01-계획서미제출",0,U14="02-계획서제출_미검토",0.05,U14="03-검토중_조건충족",0.1,U14="04-검토중_조건불만족",0.05,U14="05-계획서승인",0.2,U14="06-BIW생산중단",0.15,U14="07-생산완료_미인수",0.3,U14="08-단품준비완료",0.4,U14="09-시험준비중",0.55,U14="10-시험완료",0.85,U14="11-결과등록완료",1,U14="12-조건부승인검토",0.9,TRUE,0)</f>
        <v/>
      </c>
      <c r="W14" s="5">
        <f>IF(S14&lt;&gt;"","-",IF(R14="","N/A",R14-TODAY()))</f>
        <v/>
      </c>
      <c r="X14" s="17">
        <f>IF(U14="11-결과등록완료","DONE",IF(OR(U14="06-BIW생산중단",AND(U14="01-계획서미제출",I14&lt;TODAY())),"CRITICAL",IF(OR(U14="04-검토중_조건불만족",U14="07-생산완료_미인수",U14="12-조건부승인검토"),"ACTION",IF(AND(ISNUMBER(W14),W14&lt;=0),"OVERDUE",IF(AND(ISNUMBER(W14),W14&lt;=14),"WARNING","ON TRACK")))))</f>
        <v/>
      </c>
      <c r="Y14" s="19">
        <f>IF(U14="11-결과등록완료","— 완료",IF(U14="01-계획서미제출",IF(I14&lt;TODAY(),"계획서 제출 독촉 (OVERDUE)","계획서 제출 대기"),IF(U14="02-계획서제출_미검토","설계자: 계획서 검토 착수",IF(U14="03-검토중_조건충족","설계자: 승인 처리",IF(U14="04-검토중_조건불만족","보완 요청 → 협력사 재제출 독촉",IF(U14="05-계획서승인","시험편 준비 현황 확인",IF(U14="06-BIW생산중단","BIW 생산팀 확인 → 일정 재수립",IF(U14="07-생산완료_미인수","협력사 인수 독촉",IF(U14="08-단품준비완료","시험 일정 확인",IF(U14="09-시험준비중","시험 진행 모니터링",IF(U14="10-시험완료","결과 보고서 전산 등록 독촉",IF(U14="12-조건부승인검토","조건부 승인 여부 판단 → 관련부서 협의","—"))))))))))))</f>
        <v/>
      </c>
    </row>
    <row r="15">
      <c r="A15" s="5" t="n">
        <v>11</v>
      </c>
      <c r="B15" s="13" t="inlineStr">
        <is>
          <t>AE_PE</t>
        </is>
      </c>
      <c r="C15" s="14" t="inlineStr">
        <is>
          <t>Door Trim LH</t>
        </is>
      </c>
      <c r="D15" s="15">
        <f>IFERROR(VLOOKUP(C15,'Reference Data 기준데이터'!$E$8:$F$30,2,FALSE),"")</f>
        <v/>
      </c>
      <c r="E15" s="14" t="inlineStr">
        <is>
          <t>외관 검사</t>
        </is>
      </c>
      <c r="F15" s="15">
        <f>IFERROR(VLOOKUP(E15,'Reference Data 기준데이터'!$A$8:$F$30,2,FALSE),"")</f>
        <v/>
      </c>
      <c r="G15" s="15">
        <f>IFERROR(VLOOKUP(B15&amp;"_"&amp;C15,'Reference Data 기준데이터'!$A$33:$B$51,2,FALSE),"")</f>
        <v/>
      </c>
      <c r="H15" s="16">
        <f>IFERROR(VLOOKUP(B15,'Reference Data 기준데이터'!$A$2:$J$5,3,FALSE),"")</f>
        <v/>
      </c>
      <c r="I15" s="16">
        <f>IFERROR(H15+VLOOKUP(B15,'Reference Data 기준데이터'!$A$2:$J$5,7,FALSE),"")</f>
        <v/>
      </c>
      <c r="J15" s="20" t="n">
        <v>46048</v>
      </c>
      <c r="K15" s="13" t="inlineStr">
        <is>
          <t>Approved</t>
        </is>
      </c>
      <c r="L15" s="16">
        <f>IFERROR(H15+VLOOKUP(B15,'Reference Data 기준데이터'!$A$2:$J$5,8,FALSE),"")</f>
        <v/>
      </c>
      <c r="M15" s="20" t="n">
        <v>46085</v>
      </c>
      <c r="N15" s="16">
        <f>IFERROR(IF(ISNUMBER(SEARCH("Vehicle",F15)),MAX(H15+VLOOKUP(B15,'Reference Data 기준데이터'!$A$2:$J$5,9,FALSE),VLOOKUP(B15,'Reference Data 기준데이터'!$A$2:$J$5,4,FALSE)),H15+VLOOKUP(B15,'Reference Data 기준데이터'!$A$2:$J$5,9,FALSE)),"")</f>
        <v/>
      </c>
      <c r="O15" s="20" t="n">
        <v>46104</v>
      </c>
      <c r="P15" s="16">
        <f>IFERROR(N15+VLOOKUP(E15,'Reference Data 기준데이터'!$A$8:$F$30,4,FALSE),"")</f>
        <v/>
      </c>
      <c r="Q15" s="20" t="n">
        <v>46126</v>
      </c>
      <c r="R15" s="16">
        <f>IFERROR(MIN(H15+VLOOKUP(B15,'Reference Data 기준데이터'!$A$2:$J$5,10,FALSE),VLOOKUP(B15,'Reference Data 기준데이터'!$A$2:$J$5,6,FALSE)),"")</f>
        <v/>
      </c>
      <c r="S15" s="20" t="n">
        <v>46133</v>
      </c>
      <c r="T15" s="13" t="n"/>
      <c r="U15" s="17">
        <f>IF(T15&lt;&gt;"",T15,IF(AND(S15&lt;&gt;"",Q15&lt;&gt;""),"11-결과등록완료",IF(AND(Q15&lt;&gt;"",S15=""),"10-시험완료",IF(AND(O15&lt;&gt;"",Q15=""),"09-시험준비중",IF(AND(M15&lt;&gt;"",O15=""),"08-단품준비완료",IF(K15="Approved","05-계획서승인",IF(K15="Revision Needed","04-검토중_조건불만족",IF(K15="Under Review","03-검토중_조건충족",IF(AND(J15&lt;&gt;"",K15=""),"02-계획서제출_미검토","01-계획서미제출")))))))))</f>
        <v/>
      </c>
      <c r="V15" s="18">
        <f>IFS(U15="01-계획서미제출",0,U15="02-계획서제출_미검토",0.05,U15="03-검토중_조건충족",0.1,U15="04-검토중_조건불만족",0.05,U15="05-계획서승인",0.2,U15="06-BIW생산중단",0.15,U15="07-생산완료_미인수",0.3,U15="08-단품준비완료",0.4,U15="09-시험준비중",0.55,U15="10-시험완료",0.85,U15="11-결과등록완료",1,U15="12-조건부승인검토",0.9,TRUE,0)</f>
        <v/>
      </c>
      <c r="W15" s="5">
        <f>IF(S15&lt;&gt;"","-",IF(R15="","N/A",R15-TODAY()))</f>
        <v/>
      </c>
      <c r="X15" s="17">
        <f>IF(U15="11-결과등록완료","DONE",IF(OR(U15="06-BIW생산중단",AND(U15="01-계획서미제출",I15&lt;TODAY())),"CRITICAL",IF(OR(U15="04-검토중_조건불만족",U15="07-생산완료_미인수",U15="12-조건부승인검토"),"ACTION",IF(AND(ISNUMBER(W15),W15&lt;=0),"OVERDUE",IF(AND(ISNUMBER(W15),W15&lt;=14),"WARNING","ON TRACK")))))</f>
        <v/>
      </c>
      <c r="Y15" s="19">
        <f>IF(U15="11-결과등록완료","— 완료",IF(U15="01-계획서미제출",IF(I15&lt;TODAY(),"계획서 제출 독촉 (OVERDUE)","계획서 제출 대기"),IF(U15="02-계획서제출_미검토","설계자: 계획서 검토 착수",IF(U15="03-검토중_조건충족","설계자: 승인 처리",IF(U15="04-검토중_조건불만족","보완 요청 → 협력사 재제출 독촉",IF(U15="05-계획서승인","시험편 준비 현황 확인",IF(U15="06-BIW생산중단","BIW 생산팀 확인 → 일정 재수립",IF(U15="07-생산완료_미인수","협력사 인수 독촉",IF(U15="08-단품준비완료","시험 일정 확인",IF(U15="09-시험준비중","시험 진행 모니터링",IF(U15="10-시험완료","결과 보고서 전산 등록 독촉",IF(U15="12-조건부승인검토","조건부 승인 여부 판단 → 관련부서 협의","—"))))))))))))</f>
        <v/>
      </c>
    </row>
    <row r="16">
      <c r="A16" s="5" t="n">
        <v>12</v>
      </c>
      <c r="B16" s="13" t="inlineStr">
        <is>
          <t>AE_PE</t>
        </is>
      </c>
      <c r="C16" s="14" t="inlineStr">
        <is>
          <t>Pillar Trim C</t>
        </is>
      </c>
      <c r="D16" s="15">
        <f>IFERROR(VLOOKUP(C16,'Reference Data 기준데이터'!$E$8:$F$30,2,FALSE),"")</f>
        <v/>
      </c>
      <c r="E16" s="14" t="inlineStr">
        <is>
          <t>내후성 시험</t>
        </is>
      </c>
      <c r="F16" s="15">
        <f>IFERROR(VLOOKUP(E16,'Reference Data 기준데이터'!$A$8:$F$30,2,FALSE),"")</f>
        <v/>
      </c>
      <c r="G16" s="15">
        <f>IFERROR(VLOOKUP(B16&amp;"_"&amp;C16,'Reference Data 기준데이터'!$A$33:$B$51,2,FALSE),"")</f>
        <v/>
      </c>
      <c r="H16" s="16">
        <f>IFERROR(VLOOKUP(B16,'Reference Data 기준데이터'!$A$2:$J$5,3,FALSE),"")</f>
        <v/>
      </c>
      <c r="I16" s="16">
        <f>IFERROR(H16+VLOOKUP(B16,'Reference Data 기준데이터'!$A$2:$J$5,7,FALSE),"")</f>
        <v/>
      </c>
      <c r="J16" s="20" t="n">
        <v>46049</v>
      </c>
      <c r="K16" s="13" t="inlineStr">
        <is>
          <t>Revision Needed</t>
        </is>
      </c>
      <c r="L16" s="16">
        <f>IFERROR(H16+VLOOKUP(B16,'Reference Data 기준데이터'!$A$2:$J$5,8,FALSE),"")</f>
        <v/>
      </c>
      <c r="M16" s="13" t="n"/>
      <c r="N16" s="16">
        <f>IFERROR(IF(ISNUMBER(SEARCH("Vehicle",F16)),MAX(H16+VLOOKUP(B16,'Reference Data 기준데이터'!$A$2:$J$5,9,FALSE),VLOOKUP(B16,'Reference Data 기준데이터'!$A$2:$J$5,4,FALSE)),H16+VLOOKUP(B16,'Reference Data 기준데이터'!$A$2:$J$5,9,FALSE)),"")</f>
        <v/>
      </c>
      <c r="O16" s="13" t="n"/>
      <c r="P16" s="16">
        <f>IFERROR(N16+VLOOKUP(E16,'Reference Data 기준데이터'!$A$8:$F$30,4,FALSE),"")</f>
        <v/>
      </c>
      <c r="Q16" s="13" t="n"/>
      <c r="R16" s="16">
        <f>IFERROR(MIN(H16+VLOOKUP(B16,'Reference Data 기준데이터'!$A$2:$J$5,10,FALSE),VLOOKUP(B16,'Reference Data 기준데이터'!$A$2:$J$5,6,FALSE)),"")</f>
        <v/>
      </c>
      <c r="S16" s="13" t="n"/>
      <c r="T16" s="13" t="n"/>
      <c r="U16" s="17">
        <f>IF(T16&lt;&gt;"",T16,IF(AND(S16&lt;&gt;"",Q16&lt;&gt;""),"11-결과등록완료",IF(AND(Q16&lt;&gt;"",S16=""),"10-시험완료",IF(AND(O16&lt;&gt;"",Q16=""),"09-시험준비중",IF(AND(M16&lt;&gt;"",O16=""),"08-단품준비완료",IF(K16="Approved","05-계획서승인",IF(K16="Revision Needed","04-검토중_조건불만족",IF(K16="Under Review","03-검토중_조건충족",IF(AND(J16&lt;&gt;"",K16=""),"02-계획서제출_미검토","01-계획서미제출")))))))))</f>
        <v/>
      </c>
      <c r="V16" s="18">
        <f>IFS(U16="01-계획서미제출",0,U16="02-계획서제출_미검토",0.05,U16="03-검토중_조건충족",0.1,U16="04-검토중_조건불만족",0.05,U16="05-계획서승인",0.2,U16="06-BIW생산중단",0.15,U16="07-생산완료_미인수",0.3,U16="08-단품준비완료",0.4,U16="09-시험준비중",0.55,U16="10-시험완료",0.85,U16="11-결과등록완료",1,U16="12-조건부승인검토",0.9,TRUE,0)</f>
        <v/>
      </c>
      <c r="W16" s="5">
        <f>IF(S16&lt;&gt;"","-",IF(R16="","N/A",R16-TODAY()))</f>
        <v/>
      </c>
      <c r="X16" s="17">
        <f>IF(U16="11-결과등록완료","DONE",IF(OR(U16="06-BIW생산중단",AND(U16="01-계획서미제출",I16&lt;TODAY())),"CRITICAL",IF(OR(U16="04-검토중_조건불만족",U16="07-생산완료_미인수",U16="12-조건부승인검토"),"ACTION",IF(AND(ISNUMBER(W16),W16&lt;=0),"OVERDUE",IF(AND(ISNUMBER(W16),W16&lt;=14),"WARNING","ON TRACK")))))</f>
        <v/>
      </c>
      <c r="Y16" s="19">
        <f>IF(U16="11-결과등록완료","— 완료",IF(U16="01-계획서미제출",IF(I16&lt;TODAY(),"계획서 제출 독촉 (OVERDUE)","계획서 제출 대기"),IF(U16="02-계획서제출_미검토","설계자: 계획서 검토 착수",IF(U16="03-검토중_조건충족","설계자: 승인 처리",IF(U16="04-검토중_조건불만족","보완 요청 → 협력사 재제출 독촉",IF(U16="05-계획서승인","시험편 준비 현황 확인",IF(U16="06-BIW생산중단","BIW 생산팀 확인 → 일정 재수립",IF(U16="07-생산완료_미인수","협력사 인수 독촉",IF(U16="08-단품준비완료","시험 일정 확인",IF(U16="09-시험준비중","시험 진행 모니터링",IF(U16="10-시험완료","결과 보고서 전산 등록 독촉",IF(U16="12-조건부승인검토","조건부 승인 여부 판단 → 관련부서 협의","—"))))))))))))</f>
        <v/>
      </c>
    </row>
    <row r="17">
      <c r="A17" s="5" t="n">
        <v>13</v>
      </c>
      <c r="B17" s="13" t="inlineStr">
        <is>
          <t>AE_PE</t>
        </is>
      </c>
      <c r="C17" s="14" t="inlineStr">
        <is>
          <t>Pillar Trim C</t>
        </is>
      </c>
      <c r="D17" s="15">
        <f>IFERROR(VLOOKUP(C17,'Reference Data 기준데이터'!$E$8:$F$30,2,FALSE),"")</f>
        <v/>
      </c>
      <c r="E17" s="14" t="inlineStr">
        <is>
          <t>연소성 시험</t>
        </is>
      </c>
      <c r="F17" s="15">
        <f>IFERROR(VLOOKUP(E17,'Reference Data 기준데이터'!$A$8:$F$30,2,FALSE),"")</f>
        <v/>
      </c>
      <c r="G17" s="15">
        <f>IFERROR(VLOOKUP(B17&amp;"_"&amp;C17,'Reference Data 기준데이터'!$A$33:$B$51,2,FALSE),"")</f>
        <v/>
      </c>
      <c r="H17" s="16">
        <f>IFERROR(VLOOKUP(B17,'Reference Data 기준데이터'!$A$2:$J$5,3,FALSE),"")</f>
        <v/>
      </c>
      <c r="I17" s="16">
        <f>IFERROR(H17+VLOOKUP(B17,'Reference Data 기준데이터'!$A$2:$J$5,7,FALSE),"")</f>
        <v/>
      </c>
      <c r="J17" s="20" t="n">
        <v>46050</v>
      </c>
      <c r="K17" s="13" t="inlineStr">
        <is>
          <t>Approved</t>
        </is>
      </c>
      <c r="L17" s="16">
        <f>IFERROR(H17+VLOOKUP(B17,'Reference Data 기준데이터'!$A$2:$J$5,8,FALSE),"")</f>
        <v/>
      </c>
      <c r="M17" s="20" t="n">
        <v>46087</v>
      </c>
      <c r="N17" s="16">
        <f>IFERROR(IF(ISNUMBER(SEARCH("Vehicle",F17)),MAX(H17+VLOOKUP(B17,'Reference Data 기준데이터'!$A$2:$J$5,9,FALSE),VLOOKUP(B17,'Reference Data 기준데이터'!$A$2:$J$5,4,FALSE)),H17+VLOOKUP(B17,'Reference Data 기준데이터'!$A$2:$J$5,9,FALSE)),"")</f>
        <v/>
      </c>
      <c r="O17" s="20" t="n">
        <v>46100</v>
      </c>
      <c r="P17" s="16">
        <f>IFERROR(N17+VLOOKUP(E17,'Reference Data 기준데이터'!$A$8:$F$30,4,FALSE),"")</f>
        <v/>
      </c>
      <c r="Q17" s="13" t="n"/>
      <c r="R17" s="16">
        <f>IFERROR(MIN(H17+VLOOKUP(B17,'Reference Data 기준데이터'!$A$2:$J$5,10,FALSE),VLOOKUP(B17,'Reference Data 기준데이터'!$A$2:$J$5,6,FALSE)),"")</f>
        <v/>
      </c>
      <c r="S17" s="13" t="n"/>
      <c r="T17" s="13" t="n"/>
      <c r="U17" s="17">
        <f>IF(T17&lt;&gt;"",T17,IF(AND(S17&lt;&gt;"",Q17&lt;&gt;""),"11-결과등록완료",IF(AND(Q17&lt;&gt;"",S17=""),"10-시험완료",IF(AND(O17&lt;&gt;"",Q17=""),"09-시험준비중",IF(AND(M17&lt;&gt;"",O17=""),"08-단품준비완료",IF(K17="Approved","05-계획서승인",IF(K17="Revision Needed","04-검토중_조건불만족",IF(K17="Under Review","03-검토중_조건충족",IF(AND(J17&lt;&gt;"",K17=""),"02-계획서제출_미검토","01-계획서미제출")))))))))</f>
        <v/>
      </c>
      <c r="V17" s="18">
        <f>IFS(U17="01-계획서미제출",0,U17="02-계획서제출_미검토",0.05,U17="03-검토중_조건충족",0.1,U17="04-검토중_조건불만족",0.05,U17="05-계획서승인",0.2,U17="06-BIW생산중단",0.15,U17="07-생산완료_미인수",0.3,U17="08-단품준비완료",0.4,U17="09-시험준비중",0.55,U17="10-시험완료",0.85,U17="11-결과등록완료",1,U17="12-조건부승인검토",0.9,TRUE,0)</f>
        <v/>
      </c>
      <c r="W17" s="5">
        <f>IF(S17&lt;&gt;"","-",IF(R17="","N/A",R17-TODAY()))</f>
        <v/>
      </c>
      <c r="X17" s="17">
        <f>IF(U17="11-결과등록완료","DONE",IF(OR(U17="06-BIW생산중단",AND(U17="01-계획서미제출",I17&lt;TODAY())),"CRITICAL",IF(OR(U17="04-검토중_조건불만족",U17="07-생산완료_미인수",U17="12-조건부승인검토"),"ACTION",IF(AND(ISNUMBER(W17),W17&lt;=0),"OVERDUE",IF(AND(ISNUMBER(W17),W17&lt;=14),"WARNING","ON TRACK")))))</f>
        <v/>
      </c>
      <c r="Y17" s="19">
        <f>IF(U17="11-결과등록완료","— 완료",IF(U17="01-계획서미제출",IF(I17&lt;TODAY(),"계획서 제출 독촉 (OVERDUE)","계획서 제출 대기"),IF(U17="02-계획서제출_미검토","설계자: 계획서 검토 착수",IF(U17="03-검토중_조건충족","설계자: 승인 처리",IF(U17="04-검토중_조건불만족","보완 요청 → 협력사 재제출 독촉",IF(U17="05-계획서승인","시험편 준비 현황 확인",IF(U17="06-BIW생산중단","BIW 생산팀 확인 → 일정 재수립",IF(U17="07-생산완료_미인수","협력사 인수 독촉",IF(U17="08-단품준비완료","시험 일정 확인",IF(U17="09-시험준비중","시험 진행 모니터링",IF(U17="10-시험완료","결과 보고서 전산 등록 독촉",IF(U17="12-조건부승인검토","조건부 승인 여부 판단 → 관련부서 협의","—"))))))))))))</f>
        <v/>
      </c>
    </row>
    <row r="18">
      <c r="A18" s="5" t="n">
        <v>14</v>
      </c>
      <c r="B18" s="13" t="inlineStr">
        <is>
          <t>AE_PE</t>
        </is>
      </c>
      <c r="C18" s="14" t="inlineStr">
        <is>
          <t>Pillar Trim C</t>
        </is>
      </c>
      <c r="D18" s="15">
        <f>IFERROR(VLOOKUP(C18,'Reference Data 기준데이터'!$E$8:$F$30,2,FALSE),"")</f>
        <v/>
      </c>
      <c r="E18" s="14" t="inlineStr">
        <is>
          <t>치수 검사</t>
        </is>
      </c>
      <c r="F18" s="15">
        <f>IFERROR(VLOOKUP(E18,'Reference Data 기준데이터'!$A$8:$F$30,2,FALSE),"")</f>
        <v/>
      </c>
      <c r="G18" s="15">
        <f>IFERROR(VLOOKUP(B18&amp;"_"&amp;C18,'Reference Data 기준데이터'!$A$33:$B$51,2,FALSE),"")</f>
        <v/>
      </c>
      <c r="H18" s="16">
        <f>IFERROR(VLOOKUP(B18,'Reference Data 기준데이터'!$A$2:$J$5,3,FALSE),"")</f>
        <v/>
      </c>
      <c r="I18" s="16">
        <f>IFERROR(H18+VLOOKUP(B18,'Reference Data 기준데이터'!$A$2:$J$5,7,FALSE),"")</f>
        <v/>
      </c>
      <c r="J18" s="20" t="n">
        <v>46051</v>
      </c>
      <c r="K18" s="13" t="inlineStr">
        <is>
          <t>Approved</t>
        </is>
      </c>
      <c r="L18" s="16">
        <f>IFERROR(H18+VLOOKUP(B18,'Reference Data 기준데이터'!$A$2:$J$5,8,FALSE),"")</f>
        <v/>
      </c>
      <c r="M18" s="20" t="n">
        <v>46088</v>
      </c>
      <c r="N18" s="16">
        <f>IFERROR(IF(ISNUMBER(SEARCH("Vehicle",F18)),MAX(H18+VLOOKUP(B18,'Reference Data 기준데이터'!$A$2:$J$5,9,FALSE),VLOOKUP(B18,'Reference Data 기준데이터'!$A$2:$J$5,4,FALSE)),H18+VLOOKUP(B18,'Reference Data 기준데이터'!$A$2:$J$5,9,FALSE)),"")</f>
        <v/>
      </c>
      <c r="O18" s="20" t="n">
        <v>46101</v>
      </c>
      <c r="P18" s="16">
        <f>IFERROR(N18+VLOOKUP(E18,'Reference Data 기준데이터'!$A$8:$F$30,4,FALSE),"")</f>
        <v/>
      </c>
      <c r="Q18" s="20" t="n">
        <v>46122</v>
      </c>
      <c r="R18" s="16">
        <f>IFERROR(MIN(H18+VLOOKUP(B18,'Reference Data 기준데이터'!$A$2:$J$5,10,FALSE),VLOOKUP(B18,'Reference Data 기준데이터'!$A$2:$J$5,6,FALSE)),"")</f>
        <v/>
      </c>
      <c r="S18" s="20" t="n">
        <v>46132</v>
      </c>
      <c r="T18" s="13" t="n"/>
      <c r="U18" s="17">
        <f>IF(T18&lt;&gt;"",T18,IF(AND(S18&lt;&gt;"",Q18&lt;&gt;""),"11-결과등록완료",IF(AND(Q18&lt;&gt;"",S18=""),"10-시험완료",IF(AND(O18&lt;&gt;"",Q18=""),"09-시험준비중",IF(AND(M18&lt;&gt;"",O18=""),"08-단품준비완료",IF(K18="Approved","05-계획서승인",IF(K18="Revision Needed","04-검토중_조건불만족",IF(K18="Under Review","03-검토중_조건충족",IF(AND(J18&lt;&gt;"",K18=""),"02-계획서제출_미검토","01-계획서미제출")))))))))</f>
        <v/>
      </c>
      <c r="V18" s="18">
        <f>IFS(U18="01-계획서미제출",0,U18="02-계획서제출_미검토",0.05,U18="03-검토중_조건충족",0.1,U18="04-검토중_조건불만족",0.05,U18="05-계획서승인",0.2,U18="06-BIW생산중단",0.15,U18="07-생산완료_미인수",0.3,U18="08-단품준비완료",0.4,U18="09-시험준비중",0.55,U18="10-시험완료",0.85,U18="11-결과등록완료",1,U18="12-조건부승인검토",0.9,TRUE,0)</f>
        <v/>
      </c>
      <c r="W18" s="5">
        <f>IF(S18&lt;&gt;"","-",IF(R18="","N/A",R18-TODAY()))</f>
        <v/>
      </c>
      <c r="X18" s="17">
        <f>IF(U18="11-결과등록완료","DONE",IF(OR(U18="06-BIW생산중단",AND(U18="01-계획서미제출",I18&lt;TODAY())),"CRITICAL",IF(OR(U18="04-검토중_조건불만족",U18="07-생산완료_미인수",U18="12-조건부승인검토"),"ACTION",IF(AND(ISNUMBER(W18),W18&lt;=0),"OVERDUE",IF(AND(ISNUMBER(W18),W18&lt;=14),"WARNING","ON TRACK")))))</f>
        <v/>
      </c>
      <c r="Y18" s="19">
        <f>IF(U18="11-결과등록완료","— 완료",IF(U18="01-계획서미제출",IF(I18&lt;TODAY(),"계획서 제출 독촉 (OVERDUE)","계획서 제출 대기"),IF(U18="02-계획서제출_미검토","설계자: 계획서 검토 착수",IF(U18="03-검토중_조건충족","설계자: 승인 처리",IF(U18="04-검토중_조건불만족","보완 요청 → 협력사 재제출 독촉",IF(U18="05-계획서승인","시험편 준비 현황 확인",IF(U18="06-BIW생산중단","BIW 생산팀 확인 → 일정 재수립",IF(U18="07-생산완료_미인수","협력사 인수 독촉",IF(U18="08-단품준비완료","시험 일정 확인",IF(U18="09-시험준비중","시험 진행 모니터링",IF(U18="10-시험완료","결과 보고서 전산 등록 독촉",IF(U18="12-조건부승인검토","조건부 승인 여부 판단 → 관련부서 협의","—"))))))))))))</f>
        <v/>
      </c>
    </row>
    <row r="19">
      <c r="A19" s="5" t="n">
        <v>15</v>
      </c>
      <c r="B19" s="13" t="inlineStr">
        <is>
          <t>AE_PE</t>
        </is>
      </c>
      <c r="C19" s="14" t="inlineStr">
        <is>
          <t>Front Seat Assy LH</t>
        </is>
      </c>
      <c r="D19" s="15">
        <f>IFERROR(VLOOKUP(C19,'Reference Data 기준데이터'!$E$8:$F$30,2,FALSE),"")</f>
        <v/>
      </c>
      <c r="E19" s="14" t="inlineStr">
        <is>
          <t>시트 내구 시험</t>
        </is>
      </c>
      <c r="F19" s="15">
        <f>IFERROR(VLOOKUP(E19,'Reference Data 기준데이터'!$A$8:$F$30,2,FALSE),"")</f>
        <v/>
      </c>
      <c r="G19" s="15">
        <f>IFERROR(VLOOKUP(B19&amp;"_"&amp;C19,'Reference Data 기준데이터'!$A$33:$B$51,2,FALSE),"")</f>
        <v/>
      </c>
      <c r="H19" s="16">
        <f>IFERROR(VLOOKUP(B19,'Reference Data 기준데이터'!$A$2:$J$5,3,FALSE),"")</f>
        <v/>
      </c>
      <c r="I19" s="16">
        <f>IFERROR(H19+VLOOKUP(B19,'Reference Data 기준데이터'!$A$2:$J$5,7,FALSE),"")</f>
        <v/>
      </c>
      <c r="J19" s="20" t="n">
        <v>46047</v>
      </c>
      <c r="K19" s="13" t="inlineStr">
        <is>
          <t>Approved</t>
        </is>
      </c>
      <c r="L19" s="16">
        <f>IFERROR(H19+VLOOKUP(B19,'Reference Data 기준데이터'!$A$2:$J$5,8,FALSE),"")</f>
        <v/>
      </c>
      <c r="M19" s="20" t="n">
        <v>46089</v>
      </c>
      <c r="N19" s="16">
        <f>IFERROR(IF(ISNUMBER(SEARCH("Vehicle",F19)),MAX(H19+VLOOKUP(B19,'Reference Data 기준데이터'!$A$2:$J$5,9,FALSE),VLOOKUP(B19,'Reference Data 기준데이터'!$A$2:$J$5,4,FALSE)),H19+VLOOKUP(B19,'Reference Data 기준데이터'!$A$2:$J$5,9,FALSE)),"")</f>
        <v/>
      </c>
      <c r="O19" s="13" t="n"/>
      <c r="P19" s="16">
        <f>IFERROR(N19+VLOOKUP(E19,'Reference Data 기준데이터'!$A$8:$F$30,4,FALSE),"")</f>
        <v/>
      </c>
      <c r="Q19" s="13" t="n"/>
      <c r="R19" s="16">
        <f>IFERROR(MIN(H19+VLOOKUP(B19,'Reference Data 기준데이터'!$A$2:$J$5,10,FALSE),VLOOKUP(B19,'Reference Data 기준데이터'!$A$2:$J$5,6,FALSE)),"")</f>
        <v/>
      </c>
      <c r="S19" s="13" t="n"/>
      <c r="T19" s="13" t="inlineStr">
        <is>
          <t>07-생산완료_미인수</t>
        </is>
      </c>
      <c r="U19" s="17">
        <f>IF(T19&lt;&gt;"",T19,IF(AND(S19&lt;&gt;"",Q19&lt;&gt;""),"11-결과등록완료",IF(AND(Q19&lt;&gt;"",S19=""),"10-시험완료",IF(AND(O19&lt;&gt;"",Q19=""),"09-시험준비중",IF(AND(M19&lt;&gt;"",O19=""),"08-단품준비완료",IF(K19="Approved","05-계획서승인",IF(K19="Revision Needed","04-검토중_조건불만족",IF(K19="Under Review","03-검토중_조건충족",IF(AND(J19&lt;&gt;"",K19=""),"02-계획서제출_미검토","01-계획서미제출")))))))))</f>
        <v/>
      </c>
      <c r="V19" s="18">
        <f>IFS(U19="01-계획서미제출",0,U19="02-계획서제출_미검토",0.05,U19="03-검토중_조건충족",0.1,U19="04-검토중_조건불만족",0.05,U19="05-계획서승인",0.2,U19="06-BIW생산중단",0.15,U19="07-생산완료_미인수",0.3,U19="08-단품준비완료",0.4,U19="09-시험준비중",0.55,U19="10-시험완료",0.85,U19="11-결과등록완료",1,U19="12-조건부승인검토",0.9,TRUE,0)</f>
        <v/>
      </c>
      <c r="W19" s="5">
        <f>IF(S19&lt;&gt;"","-",IF(R19="","N/A",R19-TODAY()))</f>
        <v/>
      </c>
      <c r="X19" s="17">
        <f>IF(U19="11-결과등록완료","DONE",IF(OR(U19="06-BIW생산중단",AND(U19="01-계획서미제출",I19&lt;TODAY())),"CRITICAL",IF(OR(U19="04-검토중_조건불만족",U19="07-생산완료_미인수",U19="12-조건부승인검토"),"ACTION",IF(AND(ISNUMBER(W19),W19&lt;=0),"OVERDUE",IF(AND(ISNUMBER(W19),W19&lt;=14),"WARNING","ON TRACK")))))</f>
        <v/>
      </c>
      <c r="Y19" s="19">
        <f>IF(U19="11-결과등록완료","— 완료",IF(U19="01-계획서미제출",IF(I19&lt;TODAY(),"계획서 제출 독촉 (OVERDUE)","계획서 제출 대기"),IF(U19="02-계획서제출_미검토","설계자: 계획서 검토 착수",IF(U19="03-검토중_조건충족","설계자: 승인 처리",IF(U19="04-검토중_조건불만족","보완 요청 → 협력사 재제출 독촉",IF(U19="05-계획서승인","시험편 준비 현황 확인",IF(U19="06-BIW생산중단","BIW 생산팀 확인 → 일정 재수립",IF(U19="07-생산완료_미인수","협력사 인수 독촉",IF(U19="08-단품준비완료","시험 일정 확인",IF(U19="09-시험준비중","시험 진행 모니터링",IF(U19="10-시험완료","결과 보고서 전산 등록 독촉",IF(U19="12-조건부승인검토","조건부 승인 여부 판단 → 관련부서 협의","—"))))))))))))</f>
        <v/>
      </c>
    </row>
    <row r="20">
      <c r="A20" s="5" t="n">
        <v>16</v>
      </c>
      <c r="B20" s="13" t="inlineStr">
        <is>
          <t>AE_PE</t>
        </is>
      </c>
      <c r="C20" s="14" t="inlineStr">
        <is>
          <t>Front Seat Assy LH</t>
        </is>
      </c>
      <c r="D20" s="15">
        <f>IFERROR(VLOOKUP(C20,'Reference Data 기준데이터'!$E$8:$F$30,2,FALSE),"")</f>
        <v/>
      </c>
      <c r="E20" s="14" t="inlineStr">
        <is>
          <t>안전벨트 앵커리지</t>
        </is>
      </c>
      <c r="F20" s="15">
        <f>IFERROR(VLOOKUP(E20,'Reference Data 기준데이터'!$A$8:$F$30,2,FALSE),"")</f>
        <v/>
      </c>
      <c r="G20" s="15">
        <f>IFERROR(VLOOKUP(B20&amp;"_"&amp;C20,'Reference Data 기준데이터'!$A$33:$B$51,2,FALSE),"")</f>
        <v/>
      </c>
      <c r="H20" s="16">
        <f>IFERROR(VLOOKUP(B20,'Reference Data 기준데이터'!$A$2:$J$5,3,FALSE),"")</f>
        <v/>
      </c>
      <c r="I20" s="16">
        <f>IFERROR(H20+VLOOKUP(B20,'Reference Data 기준데이터'!$A$2:$J$5,7,FALSE),"")</f>
        <v/>
      </c>
      <c r="J20" s="20" t="n">
        <v>46048</v>
      </c>
      <c r="K20" s="13" t="inlineStr">
        <is>
          <t>Approved</t>
        </is>
      </c>
      <c r="L20" s="16">
        <f>IFERROR(H20+VLOOKUP(B20,'Reference Data 기준데이터'!$A$2:$J$5,8,FALSE),"")</f>
        <v/>
      </c>
      <c r="M20" s="13" t="n"/>
      <c r="N20" s="16">
        <f>IFERROR(IF(ISNUMBER(SEARCH("Vehicle",F20)),MAX(H20+VLOOKUP(B20,'Reference Data 기준데이터'!$A$2:$J$5,9,FALSE),VLOOKUP(B20,'Reference Data 기준데이터'!$A$2:$J$5,4,FALSE)),H20+VLOOKUP(B20,'Reference Data 기준데이터'!$A$2:$J$5,9,FALSE)),"")</f>
        <v/>
      </c>
      <c r="O20" s="13" t="n"/>
      <c r="P20" s="16">
        <f>IFERROR(N20+VLOOKUP(E20,'Reference Data 기준데이터'!$A$8:$F$30,4,FALSE),"")</f>
        <v/>
      </c>
      <c r="Q20" s="13" t="n"/>
      <c r="R20" s="16">
        <f>IFERROR(MIN(H20+VLOOKUP(B20,'Reference Data 기준데이터'!$A$2:$J$5,10,FALSE),VLOOKUP(B20,'Reference Data 기준데이터'!$A$2:$J$5,6,FALSE)),"")</f>
        <v/>
      </c>
      <c r="S20" s="13" t="n"/>
      <c r="T20" s="13" t="n"/>
      <c r="U20" s="17">
        <f>IF(T20&lt;&gt;"",T20,IF(AND(S20&lt;&gt;"",Q20&lt;&gt;""),"11-결과등록완료",IF(AND(Q20&lt;&gt;"",S20=""),"10-시험완료",IF(AND(O20&lt;&gt;"",Q20=""),"09-시험준비중",IF(AND(M20&lt;&gt;"",O20=""),"08-단품준비완료",IF(K20="Approved","05-계획서승인",IF(K20="Revision Needed","04-검토중_조건불만족",IF(K20="Under Review","03-검토중_조건충족",IF(AND(J20&lt;&gt;"",K20=""),"02-계획서제출_미검토","01-계획서미제출")))))))))</f>
        <v/>
      </c>
      <c r="V20" s="18">
        <f>IFS(U20="01-계획서미제출",0,U20="02-계획서제출_미검토",0.05,U20="03-검토중_조건충족",0.1,U20="04-검토중_조건불만족",0.05,U20="05-계획서승인",0.2,U20="06-BIW생산중단",0.15,U20="07-생산완료_미인수",0.3,U20="08-단품준비완료",0.4,U20="09-시험준비중",0.55,U20="10-시험완료",0.85,U20="11-결과등록완료",1,U20="12-조건부승인검토",0.9,TRUE,0)</f>
        <v/>
      </c>
      <c r="W20" s="5">
        <f>IF(S20&lt;&gt;"","-",IF(R20="","N/A",R20-TODAY()))</f>
        <v/>
      </c>
      <c r="X20" s="17">
        <f>IF(U20="11-결과등록완료","DONE",IF(OR(U20="06-BIW생산중단",AND(U20="01-계획서미제출",I20&lt;TODAY())),"CRITICAL",IF(OR(U20="04-검토중_조건불만족",U20="07-생산완료_미인수",U20="12-조건부승인검토"),"ACTION",IF(AND(ISNUMBER(W20),W20&lt;=0),"OVERDUE",IF(AND(ISNUMBER(W20),W20&lt;=14),"WARNING","ON TRACK")))))</f>
        <v/>
      </c>
      <c r="Y20" s="19">
        <f>IF(U20="11-결과등록완료","— 완료",IF(U20="01-계획서미제출",IF(I20&lt;TODAY(),"계획서 제출 독촉 (OVERDUE)","계획서 제출 대기"),IF(U20="02-계획서제출_미검토","설계자: 계획서 검토 착수",IF(U20="03-검토중_조건충족","설계자: 승인 처리",IF(U20="04-검토중_조건불만족","보완 요청 → 협력사 재제출 독촉",IF(U20="05-계획서승인","시험편 준비 현황 확인",IF(U20="06-BIW생산중단","BIW 생산팀 확인 → 일정 재수립",IF(U20="07-생산완료_미인수","협력사 인수 독촉",IF(U20="08-단품준비완료","시험 일정 확인",IF(U20="09-시험준비중","시험 진행 모니터링",IF(U20="10-시험완료","결과 보고서 전산 등록 독촉",IF(U20="12-조건부승인검토","조건부 승인 여부 판단 → 관련부서 협의","—"))))))))))))</f>
        <v/>
      </c>
    </row>
    <row r="21">
      <c r="A21" s="5" t="n">
        <v>17</v>
      </c>
      <c r="B21" s="13" t="inlineStr">
        <is>
          <t>AE_PE</t>
        </is>
      </c>
      <c r="C21" s="14" t="inlineStr">
        <is>
          <t>Front Seat Assy LH</t>
        </is>
      </c>
      <c r="D21" s="15">
        <f>IFERROR(VLOOKUP(C21,'Reference Data 기준데이터'!$E$8:$F$30,2,FALSE),"")</f>
        <v/>
      </c>
      <c r="E21" s="14" t="inlineStr">
        <is>
          <t>H-Point 검증</t>
        </is>
      </c>
      <c r="F21" s="15">
        <f>IFERROR(VLOOKUP(E21,'Reference Data 기준데이터'!$A$8:$F$30,2,FALSE),"")</f>
        <v/>
      </c>
      <c r="G21" s="15">
        <f>IFERROR(VLOOKUP(B21&amp;"_"&amp;C21,'Reference Data 기준데이터'!$A$33:$B$51,2,FALSE),"")</f>
        <v/>
      </c>
      <c r="H21" s="16">
        <f>IFERROR(VLOOKUP(B21,'Reference Data 기준데이터'!$A$2:$J$5,3,FALSE),"")</f>
        <v/>
      </c>
      <c r="I21" s="16">
        <f>IFERROR(H21+VLOOKUP(B21,'Reference Data 기준데이터'!$A$2:$J$5,7,FALSE),"")</f>
        <v/>
      </c>
      <c r="J21" s="20" t="n">
        <v>46049</v>
      </c>
      <c r="K21" s="13" t="inlineStr">
        <is>
          <t>Approved</t>
        </is>
      </c>
      <c r="L21" s="16">
        <f>IFERROR(H21+VLOOKUP(B21,'Reference Data 기준데이터'!$A$2:$J$5,8,FALSE),"")</f>
        <v/>
      </c>
      <c r="M21" s="20" t="n">
        <v>46083</v>
      </c>
      <c r="N21" s="16">
        <f>IFERROR(IF(ISNUMBER(SEARCH("Vehicle",F21)),MAX(H21+VLOOKUP(B21,'Reference Data 기준데이터'!$A$2:$J$5,9,FALSE),VLOOKUP(B21,'Reference Data 기준데이터'!$A$2:$J$5,4,FALSE)),H21+VLOOKUP(B21,'Reference Data 기준데이터'!$A$2:$J$5,9,FALSE)),"")</f>
        <v/>
      </c>
      <c r="O21" s="20" t="n">
        <v>46104</v>
      </c>
      <c r="P21" s="16">
        <f>IFERROR(N21+VLOOKUP(E21,'Reference Data 기준데이터'!$A$8:$F$30,4,FALSE),"")</f>
        <v/>
      </c>
      <c r="Q21" s="13" t="n"/>
      <c r="R21" s="16">
        <f>IFERROR(MIN(H21+VLOOKUP(B21,'Reference Data 기준데이터'!$A$2:$J$5,10,FALSE),VLOOKUP(B21,'Reference Data 기준데이터'!$A$2:$J$5,6,FALSE)),"")</f>
        <v/>
      </c>
      <c r="S21" s="13" t="n"/>
      <c r="T21" s="13" t="n"/>
      <c r="U21" s="17">
        <f>IF(T21&lt;&gt;"",T21,IF(AND(S21&lt;&gt;"",Q21&lt;&gt;""),"11-결과등록완료",IF(AND(Q21&lt;&gt;"",S21=""),"10-시험완료",IF(AND(O21&lt;&gt;"",Q21=""),"09-시험준비중",IF(AND(M21&lt;&gt;"",O21=""),"08-단품준비완료",IF(K21="Approved","05-계획서승인",IF(K21="Revision Needed","04-검토중_조건불만족",IF(K21="Under Review","03-검토중_조건충족",IF(AND(J21&lt;&gt;"",K21=""),"02-계획서제출_미검토","01-계획서미제출")))))))))</f>
        <v/>
      </c>
      <c r="V21" s="18">
        <f>IFS(U21="01-계획서미제출",0,U21="02-계획서제출_미검토",0.05,U21="03-검토중_조건충족",0.1,U21="04-검토중_조건불만족",0.05,U21="05-계획서승인",0.2,U21="06-BIW생산중단",0.15,U21="07-생산완료_미인수",0.3,U21="08-단품준비완료",0.4,U21="09-시험준비중",0.55,U21="10-시험완료",0.85,U21="11-결과등록완료",1,U21="12-조건부승인검토",0.9,TRUE,0)</f>
        <v/>
      </c>
      <c r="W21" s="5">
        <f>IF(S21&lt;&gt;"","-",IF(R21="","N/A",R21-TODAY()))</f>
        <v/>
      </c>
      <c r="X21" s="17">
        <f>IF(U21="11-결과등록완료","DONE",IF(OR(U21="06-BIW생산중단",AND(U21="01-계획서미제출",I21&lt;TODAY())),"CRITICAL",IF(OR(U21="04-검토중_조건불만족",U21="07-생산완료_미인수",U21="12-조건부승인검토"),"ACTION",IF(AND(ISNUMBER(W21),W21&lt;=0),"OVERDUE",IF(AND(ISNUMBER(W21),W21&lt;=14),"WARNING","ON TRACK")))))</f>
        <v/>
      </c>
      <c r="Y21" s="19">
        <f>IF(U21="11-결과등록완료","— 완료",IF(U21="01-계획서미제출",IF(I21&lt;TODAY(),"계획서 제출 독촉 (OVERDUE)","계획서 제출 대기"),IF(U21="02-계획서제출_미검토","설계자: 계획서 검토 착수",IF(U21="03-검토중_조건충족","설계자: 승인 처리",IF(U21="04-검토중_조건불만족","보완 요청 → 협력사 재제출 독촉",IF(U21="05-계획서승인","시험편 준비 현황 확인",IF(U21="06-BIW생산중단","BIW 생산팀 확인 → 일정 재수립",IF(U21="07-생산완료_미인수","협력사 인수 독촉",IF(U21="08-단품준비완료","시험 일정 확인",IF(U21="09-시험준비중","시험 진행 모니터링",IF(U21="10-시험완료","결과 보고서 전산 등록 독촉",IF(U21="12-조건부승인검토","조건부 승인 여부 판단 → 관련부서 협의","—"))))))))))))</f>
        <v/>
      </c>
    </row>
    <row r="22">
      <c r="A22" s="5" t="n">
        <v>18</v>
      </c>
      <c r="B22" s="13" t="inlineStr">
        <is>
          <t>AE_PE</t>
        </is>
      </c>
      <c r="C22" s="14" t="inlineStr">
        <is>
          <t>Front Seat Assy LH</t>
        </is>
      </c>
      <c r="D22" s="15">
        <f>IFERROR(VLOOKUP(C22,'Reference Data 기준데이터'!$E$8:$F$30,2,FALSE),"")</f>
        <v/>
      </c>
      <c r="E22" s="14" t="inlineStr">
        <is>
          <t>BSR 시험</t>
        </is>
      </c>
      <c r="F22" s="15">
        <f>IFERROR(VLOOKUP(E22,'Reference Data 기준데이터'!$A$8:$F$30,2,FALSE),"")</f>
        <v/>
      </c>
      <c r="G22" s="15">
        <f>IFERROR(VLOOKUP(B22&amp;"_"&amp;C22,'Reference Data 기준데이터'!$A$33:$B$51,2,FALSE),"")</f>
        <v/>
      </c>
      <c r="H22" s="16">
        <f>IFERROR(VLOOKUP(B22,'Reference Data 기준데이터'!$A$2:$J$5,3,FALSE),"")</f>
        <v/>
      </c>
      <c r="I22" s="16">
        <f>IFERROR(H22+VLOOKUP(B22,'Reference Data 기준데이터'!$A$2:$J$5,7,FALSE),"")</f>
        <v/>
      </c>
      <c r="J22" s="20" t="n">
        <v>46050</v>
      </c>
      <c r="K22" s="13" t="inlineStr">
        <is>
          <t>Approved</t>
        </is>
      </c>
      <c r="L22" s="16">
        <f>IFERROR(H22+VLOOKUP(B22,'Reference Data 기준데이터'!$A$2:$J$5,8,FALSE),"")</f>
        <v/>
      </c>
      <c r="M22" s="20" t="n">
        <v>46084</v>
      </c>
      <c r="N22" s="16">
        <f>IFERROR(IF(ISNUMBER(SEARCH("Vehicle",F22)),MAX(H22+VLOOKUP(B22,'Reference Data 기준데이터'!$A$2:$J$5,9,FALSE),VLOOKUP(B22,'Reference Data 기준데이터'!$A$2:$J$5,4,FALSE)),H22+VLOOKUP(B22,'Reference Data 기준데이터'!$A$2:$J$5,9,FALSE)),"")</f>
        <v/>
      </c>
      <c r="O22" s="20" t="n">
        <v>46099</v>
      </c>
      <c r="P22" s="16">
        <f>IFERROR(N22+VLOOKUP(E22,'Reference Data 기준데이터'!$A$8:$F$30,4,FALSE),"")</f>
        <v/>
      </c>
      <c r="Q22" s="20" t="n">
        <v>46126</v>
      </c>
      <c r="R22" s="16">
        <f>IFERROR(MIN(H22+VLOOKUP(B22,'Reference Data 기준데이터'!$A$2:$J$5,10,FALSE),VLOOKUP(B22,'Reference Data 기준데이터'!$A$2:$J$5,6,FALSE)),"")</f>
        <v/>
      </c>
      <c r="S22" s="13" t="n"/>
      <c r="T22" s="13" t="n"/>
      <c r="U22" s="17">
        <f>IF(T22&lt;&gt;"",T22,IF(AND(S22&lt;&gt;"",Q22&lt;&gt;""),"11-결과등록완료",IF(AND(Q22&lt;&gt;"",S22=""),"10-시험완료",IF(AND(O22&lt;&gt;"",Q22=""),"09-시험준비중",IF(AND(M22&lt;&gt;"",O22=""),"08-단품준비완료",IF(K22="Approved","05-계획서승인",IF(K22="Revision Needed","04-검토중_조건불만족",IF(K22="Under Review","03-검토중_조건충족",IF(AND(J22&lt;&gt;"",K22=""),"02-계획서제출_미검토","01-계획서미제출")))))))))</f>
        <v/>
      </c>
      <c r="V22" s="18">
        <f>IFS(U22="01-계획서미제출",0,U22="02-계획서제출_미검토",0.05,U22="03-검토중_조건충족",0.1,U22="04-검토중_조건불만족",0.05,U22="05-계획서승인",0.2,U22="06-BIW생산중단",0.15,U22="07-생산완료_미인수",0.3,U22="08-단품준비완료",0.4,U22="09-시험준비중",0.55,U22="10-시험완료",0.85,U22="11-결과등록완료",1,U22="12-조건부승인검토",0.9,TRUE,0)</f>
        <v/>
      </c>
      <c r="W22" s="5">
        <f>IF(S22&lt;&gt;"","-",IF(R22="","N/A",R22-TODAY()))</f>
        <v/>
      </c>
      <c r="X22" s="17">
        <f>IF(U22="11-결과등록완료","DONE",IF(OR(U22="06-BIW생산중단",AND(U22="01-계획서미제출",I22&lt;TODAY())),"CRITICAL",IF(OR(U22="04-검토중_조건불만족",U22="07-생산완료_미인수",U22="12-조건부승인검토"),"ACTION",IF(AND(ISNUMBER(W22),W22&lt;=0),"OVERDUE",IF(AND(ISNUMBER(W22),W22&lt;=14),"WARNING","ON TRACK")))))</f>
        <v/>
      </c>
      <c r="Y22" s="19">
        <f>IF(U22="11-결과등록완료","— 완료",IF(U22="01-계획서미제출",IF(I22&lt;TODAY(),"계획서 제출 독촉 (OVERDUE)","계획서 제출 대기"),IF(U22="02-계획서제출_미검토","설계자: 계획서 검토 착수",IF(U22="03-검토중_조건충족","설계자: 승인 처리",IF(U22="04-검토중_조건불만족","보완 요청 → 협력사 재제출 독촉",IF(U22="05-계획서승인","시험편 준비 현황 확인",IF(U22="06-BIW생산중단","BIW 생산팀 확인 → 일정 재수립",IF(U22="07-생산완료_미인수","협력사 인수 독촉",IF(U22="08-단품준비완료","시험 일정 확인",IF(U22="09-시험준비중","시험 진행 모니터링",IF(U22="10-시험완료","결과 보고서 전산 등록 독촉",IF(U22="12-조건부승인검토","조건부 승인 여부 판단 → 관련부서 협의","—"))))))))))))</f>
        <v/>
      </c>
    </row>
    <row r="23">
      <c r="A23" s="5" t="n">
        <v>19</v>
      </c>
      <c r="B23" s="13" t="inlineStr">
        <is>
          <t>AE_PE</t>
        </is>
      </c>
      <c r="C23" s="14" t="inlineStr">
        <is>
          <t>Rear Seat Assy</t>
        </is>
      </c>
      <c r="D23" s="15">
        <f>IFERROR(VLOOKUP(C23,'Reference Data 기준데이터'!$E$8:$F$30,2,FALSE),"")</f>
        <v/>
      </c>
      <c r="E23" s="14" t="inlineStr">
        <is>
          <t>시트 내구 시험</t>
        </is>
      </c>
      <c r="F23" s="15">
        <f>IFERROR(VLOOKUP(E23,'Reference Data 기준데이터'!$A$8:$F$30,2,FALSE),"")</f>
        <v/>
      </c>
      <c r="G23" s="15">
        <f>IFERROR(VLOOKUP(B23&amp;"_"&amp;C23,'Reference Data 기준데이터'!$A$33:$B$51,2,FALSE),"")</f>
        <v/>
      </c>
      <c r="H23" s="16">
        <f>IFERROR(VLOOKUP(B23,'Reference Data 기준데이터'!$A$2:$J$5,3,FALSE),"")</f>
        <v/>
      </c>
      <c r="I23" s="16">
        <f>IFERROR(H23+VLOOKUP(B23,'Reference Data 기준데이터'!$A$2:$J$5,7,FALSE),"")</f>
        <v/>
      </c>
      <c r="J23" s="20" t="n">
        <v>46051</v>
      </c>
      <c r="K23" s="13" t="inlineStr">
        <is>
          <t>Approved</t>
        </is>
      </c>
      <c r="L23" s="16">
        <f>IFERROR(H23+VLOOKUP(B23,'Reference Data 기준데이터'!$A$2:$J$5,8,FALSE),"")</f>
        <v/>
      </c>
      <c r="M23" s="20" t="n">
        <v>46085</v>
      </c>
      <c r="N23" s="16">
        <f>IFERROR(IF(ISNUMBER(SEARCH("Vehicle",F23)),MAX(H23+VLOOKUP(B23,'Reference Data 기준데이터'!$A$2:$J$5,9,FALSE),VLOOKUP(B23,'Reference Data 기준데이터'!$A$2:$J$5,4,FALSE)),H23+VLOOKUP(B23,'Reference Data 기준데이터'!$A$2:$J$5,9,FALSE)),"")</f>
        <v/>
      </c>
      <c r="O23" s="13" t="n"/>
      <c r="P23" s="16">
        <f>IFERROR(N23+VLOOKUP(E23,'Reference Data 기준데이터'!$A$8:$F$30,4,FALSE),"")</f>
        <v/>
      </c>
      <c r="Q23" s="13" t="n"/>
      <c r="R23" s="16">
        <f>IFERROR(MIN(H23+VLOOKUP(B23,'Reference Data 기준데이터'!$A$2:$J$5,10,FALSE),VLOOKUP(B23,'Reference Data 기준데이터'!$A$2:$J$5,6,FALSE)),"")</f>
        <v/>
      </c>
      <c r="S23" s="13" t="n"/>
      <c r="T23" s="13" t="n"/>
      <c r="U23" s="17">
        <f>IF(T23&lt;&gt;"",T23,IF(AND(S23&lt;&gt;"",Q23&lt;&gt;""),"11-결과등록완료",IF(AND(Q23&lt;&gt;"",S23=""),"10-시험완료",IF(AND(O23&lt;&gt;"",Q23=""),"09-시험준비중",IF(AND(M23&lt;&gt;"",O23=""),"08-단품준비완료",IF(K23="Approved","05-계획서승인",IF(K23="Revision Needed","04-검토중_조건불만족",IF(K23="Under Review","03-검토중_조건충족",IF(AND(J23&lt;&gt;"",K23=""),"02-계획서제출_미검토","01-계획서미제출")))))))))</f>
        <v/>
      </c>
      <c r="V23" s="18">
        <f>IFS(U23="01-계획서미제출",0,U23="02-계획서제출_미검토",0.05,U23="03-검토중_조건충족",0.1,U23="04-검토중_조건불만족",0.05,U23="05-계획서승인",0.2,U23="06-BIW생산중단",0.15,U23="07-생산완료_미인수",0.3,U23="08-단품준비완료",0.4,U23="09-시험준비중",0.55,U23="10-시험완료",0.85,U23="11-결과등록완료",1,U23="12-조건부승인검토",0.9,TRUE,0)</f>
        <v/>
      </c>
      <c r="W23" s="5">
        <f>IF(S23&lt;&gt;"","-",IF(R23="","N/A",R23-TODAY()))</f>
        <v/>
      </c>
      <c r="X23" s="17">
        <f>IF(U23="11-결과등록완료","DONE",IF(OR(U23="06-BIW생산중단",AND(U23="01-계획서미제출",I23&lt;TODAY())),"CRITICAL",IF(OR(U23="04-검토중_조건불만족",U23="07-생산완료_미인수",U23="12-조건부승인검토"),"ACTION",IF(AND(ISNUMBER(W23),W23&lt;=0),"OVERDUE",IF(AND(ISNUMBER(W23),W23&lt;=14),"WARNING","ON TRACK")))))</f>
        <v/>
      </c>
      <c r="Y23" s="19">
        <f>IF(U23="11-결과등록완료","— 완료",IF(U23="01-계획서미제출",IF(I23&lt;TODAY(),"계획서 제출 독촉 (OVERDUE)","계획서 제출 대기"),IF(U23="02-계획서제출_미검토","설계자: 계획서 검토 착수",IF(U23="03-검토중_조건충족","설계자: 승인 처리",IF(U23="04-검토중_조건불만족","보완 요청 → 협력사 재제출 독촉",IF(U23="05-계획서승인","시험편 준비 현황 확인",IF(U23="06-BIW생산중단","BIW 생산팀 확인 → 일정 재수립",IF(U23="07-생산완료_미인수","협력사 인수 독촉",IF(U23="08-단품준비완료","시험 일정 확인",IF(U23="09-시험준비중","시험 진행 모니터링",IF(U23="10-시험완료","결과 보고서 전산 등록 독촉",IF(U23="12-조건부승인검토","조건부 승인 여부 판단 → 관련부서 협의","—"))))))))))))</f>
        <v/>
      </c>
    </row>
    <row r="24">
      <c r="A24" s="5" t="n">
        <v>20</v>
      </c>
      <c r="B24" s="13" t="inlineStr">
        <is>
          <t>AE_PE</t>
        </is>
      </c>
      <c r="C24" s="14" t="inlineStr">
        <is>
          <t>Rear Seat Assy</t>
        </is>
      </c>
      <c r="D24" s="15">
        <f>IFERROR(VLOOKUP(C24,'Reference Data 기준데이터'!$E$8:$F$30,2,FALSE),"")</f>
        <v/>
      </c>
      <c r="E24" s="14" t="inlineStr">
        <is>
          <t>ISOFIX 강도 시험</t>
        </is>
      </c>
      <c r="F24" s="15">
        <f>IFERROR(VLOOKUP(E24,'Reference Data 기준데이터'!$A$8:$F$30,2,FALSE),"")</f>
        <v/>
      </c>
      <c r="G24" s="15">
        <f>IFERROR(VLOOKUP(B24&amp;"_"&amp;C24,'Reference Data 기준데이터'!$A$33:$B$51,2,FALSE),"")</f>
        <v/>
      </c>
      <c r="H24" s="16">
        <f>IFERROR(VLOOKUP(B24,'Reference Data 기준데이터'!$A$2:$J$5,3,FALSE),"")</f>
        <v/>
      </c>
      <c r="I24" s="16">
        <f>IFERROR(H24+VLOOKUP(B24,'Reference Data 기준데이터'!$A$2:$J$5,7,FALSE),"")</f>
        <v/>
      </c>
      <c r="J24" s="20" t="n">
        <v>46047</v>
      </c>
      <c r="K24" s="13" t="inlineStr">
        <is>
          <t>Approved</t>
        </is>
      </c>
      <c r="L24" s="16">
        <f>IFERROR(H24+VLOOKUP(B24,'Reference Data 기준데이터'!$A$2:$J$5,8,FALSE),"")</f>
        <v/>
      </c>
      <c r="M24" s="20" t="n">
        <v>46086</v>
      </c>
      <c r="N24" s="16">
        <f>IFERROR(IF(ISNUMBER(SEARCH("Vehicle",F24)),MAX(H24+VLOOKUP(B24,'Reference Data 기준데이터'!$A$2:$J$5,9,FALSE),VLOOKUP(B24,'Reference Data 기준데이터'!$A$2:$J$5,4,FALSE)),H24+VLOOKUP(B24,'Reference Data 기준데이터'!$A$2:$J$5,9,FALSE)),"")</f>
        <v/>
      </c>
      <c r="O24" s="20" t="n">
        <v>46101</v>
      </c>
      <c r="P24" s="16">
        <f>IFERROR(N24+VLOOKUP(E24,'Reference Data 기준데이터'!$A$8:$F$30,4,FALSE),"")</f>
        <v/>
      </c>
      <c r="Q24" s="20" t="n">
        <v>46128</v>
      </c>
      <c r="R24" s="16">
        <f>IFERROR(MIN(H24+VLOOKUP(B24,'Reference Data 기준데이터'!$A$2:$J$5,10,FALSE),VLOOKUP(B24,'Reference Data 기준데이터'!$A$2:$J$5,6,FALSE)),"")</f>
        <v/>
      </c>
      <c r="S24" s="20" t="n">
        <v>46130</v>
      </c>
      <c r="T24" s="13" t="inlineStr">
        <is>
          <t>12-조건부승인검토</t>
        </is>
      </c>
      <c r="U24" s="17">
        <f>IF(T24&lt;&gt;"",T24,IF(AND(S24&lt;&gt;"",Q24&lt;&gt;""),"11-결과등록완료",IF(AND(Q24&lt;&gt;"",S24=""),"10-시험완료",IF(AND(O24&lt;&gt;"",Q24=""),"09-시험준비중",IF(AND(M24&lt;&gt;"",O24=""),"08-단품준비완료",IF(K24="Approved","05-계획서승인",IF(K24="Revision Needed","04-검토중_조건불만족",IF(K24="Under Review","03-검토중_조건충족",IF(AND(J24&lt;&gt;"",K24=""),"02-계획서제출_미검토","01-계획서미제출")))))))))</f>
        <v/>
      </c>
      <c r="V24" s="18">
        <f>IFS(U24="01-계획서미제출",0,U24="02-계획서제출_미검토",0.05,U24="03-검토중_조건충족",0.1,U24="04-검토중_조건불만족",0.05,U24="05-계획서승인",0.2,U24="06-BIW생산중단",0.15,U24="07-생산완료_미인수",0.3,U24="08-단품준비완료",0.4,U24="09-시험준비중",0.55,U24="10-시험완료",0.85,U24="11-결과등록완료",1,U24="12-조건부승인검토",0.9,TRUE,0)</f>
        <v/>
      </c>
      <c r="W24" s="5">
        <f>IF(S24&lt;&gt;"","-",IF(R24="","N/A",R24-TODAY()))</f>
        <v/>
      </c>
      <c r="X24" s="17">
        <f>IF(U24="11-결과등록완료","DONE",IF(OR(U24="06-BIW생산중단",AND(U24="01-계획서미제출",I24&lt;TODAY())),"CRITICAL",IF(OR(U24="04-검토중_조건불만족",U24="07-생산완료_미인수",U24="12-조건부승인검토"),"ACTION",IF(AND(ISNUMBER(W24),W24&lt;=0),"OVERDUE",IF(AND(ISNUMBER(W24),W24&lt;=14),"WARNING","ON TRACK")))))</f>
        <v/>
      </c>
      <c r="Y24" s="19">
        <f>IF(U24="11-결과등록완료","— 완료",IF(U24="01-계획서미제출",IF(I24&lt;TODAY(),"계획서 제출 독촉 (OVERDUE)","계획서 제출 대기"),IF(U24="02-계획서제출_미검토","설계자: 계획서 검토 착수",IF(U24="03-검토중_조건충족","설계자: 승인 처리",IF(U24="04-검토중_조건불만족","보완 요청 → 협력사 재제출 독촉",IF(U24="05-계획서승인","시험편 준비 현황 확인",IF(U24="06-BIW생산중단","BIW 생산팀 확인 → 일정 재수립",IF(U24="07-생산완료_미인수","협력사 인수 독촉",IF(U24="08-단품준비완료","시험 일정 확인",IF(U24="09-시험준비중","시험 진행 모니터링",IF(U24="10-시험완료","결과 보고서 전산 등록 독촉",IF(U24="12-조건부승인검토","조건부 승인 여부 판단 → 관련부서 협의","—"))))))))))))</f>
        <v/>
      </c>
    </row>
    <row r="25">
      <c r="A25" s="5" t="n">
        <v>21</v>
      </c>
      <c r="B25" s="13" t="inlineStr">
        <is>
          <t>AE_PE</t>
        </is>
      </c>
      <c r="C25" s="14" t="inlineStr">
        <is>
          <t>Rear Seat Assy</t>
        </is>
      </c>
      <c r="D25" s="15">
        <f>IFERROR(VLOOKUP(C25,'Reference Data 기준데이터'!$E$8:$F$30,2,FALSE),"")</f>
        <v/>
      </c>
      <c r="E25" s="14" t="inlineStr">
        <is>
          <t>수하물 충격 시험</t>
        </is>
      </c>
      <c r="F25" s="15">
        <f>IFERROR(VLOOKUP(E25,'Reference Data 기준데이터'!$A$8:$F$30,2,FALSE),"")</f>
        <v/>
      </c>
      <c r="G25" s="15">
        <f>IFERROR(VLOOKUP(B25&amp;"_"&amp;C25,'Reference Data 기준데이터'!$A$33:$B$51,2,FALSE),"")</f>
        <v/>
      </c>
      <c r="H25" s="16">
        <f>IFERROR(VLOOKUP(B25,'Reference Data 기준데이터'!$A$2:$J$5,3,FALSE),"")</f>
        <v/>
      </c>
      <c r="I25" s="16">
        <f>IFERROR(H25+VLOOKUP(B25,'Reference Data 기준데이터'!$A$2:$J$5,7,FALSE),"")</f>
        <v/>
      </c>
      <c r="J25" s="20" t="n">
        <v>46048</v>
      </c>
      <c r="K25" s="13" t="inlineStr">
        <is>
          <t>Approved</t>
        </is>
      </c>
      <c r="L25" s="16">
        <f>IFERROR(H25+VLOOKUP(B25,'Reference Data 기준데이터'!$A$2:$J$5,8,FALSE),"")</f>
        <v/>
      </c>
      <c r="M25" s="20" t="n">
        <v>46087</v>
      </c>
      <c r="N25" s="16">
        <f>IFERROR(IF(ISNUMBER(SEARCH("Vehicle",F25)),MAX(H25+VLOOKUP(B25,'Reference Data 기준데이터'!$A$2:$J$5,9,FALSE),VLOOKUP(B25,'Reference Data 기준데이터'!$A$2:$J$5,4,FALSE)),H25+VLOOKUP(B25,'Reference Data 기준데이터'!$A$2:$J$5,9,FALSE)),"")</f>
        <v/>
      </c>
      <c r="O25" s="20" t="n">
        <v>46102</v>
      </c>
      <c r="P25" s="16">
        <f>IFERROR(N25+VLOOKUP(E25,'Reference Data 기준데이터'!$A$8:$F$30,4,FALSE),"")</f>
        <v/>
      </c>
      <c r="Q25" s="20" t="n">
        <v>46122</v>
      </c>
      <c r="R25" s="16">
        <f>IFERROR(MIN(H25+VLOOKUP(B25,'Reference Data 기준데이터'!$A$2:$J$5,10,FALSE),VLOOKUP(B25,'Reference Data 기준데이터'!$A$2:$J$5,6,FALSE)),"")</f>
        <v/>
      </c>
      <c r="S25" s="20" t="n">
        <v>46131</v>
      </c>
      <c r="T25" s="13" t="n"/>
      <c r="U25" s="17">
        <f>IF(T25&lt;&gt;"",T25,IF(AND(S25&lt;&gt;"",Q25&lt;&gt;""),"11-결과등록완료",IF(AND(Q25&lt;&gt;"",S25=""),"10-시험완료",IF(AND(O25&lt;&gt;"",Q25=""),"09-시험준비중",IF(AND(M25&lt;&gt;"",O25=""),"08-단품준비완료",IF(K25="Approved","05-계획서승인",IF(K25="Revision Needed","04-검토중_조건불만족",IF(K25="Under Review","03-검토중_조건충족",IF(AND(J25&lt;&gt;"",K25=""),"02-계획서제출_미검토","01-계획서미제출")))))))))</f>
        <v/>
      </c>
      <c r="V25" s="18">
        <f>IFS(U25="01-계획서미제출",0,U25="02-계획서제출_미검토",0.05,U25="03-검토중_조건충족",0.1,U25="04-검토중_조건불만족",0.05,U25="05-계획서승인",0.2,U25="06-BIW생산중단",0.15,U25="07-생산완료_미인수",0.3,U25="08-단품준비완료",0.4,U25="09-시험준비중",0.55,U25="10-시험완료",0.85,U25="11-결과등록완료",1,U25="12-조건부승인검토",0.9,TRUE,0)</f>
        <v/>
      </c>
      <c r="W25" s="5">
        <f>IF(S25&lt;&gt;"","-",IF(R25="","N/A",R25-TODAY()))</f>
        <v/>
      </c>
      <c r="X25" s="17">
        <f>IF(U25="11-결과등록완료","DONE",IF(OR(U25="06-BIW생산중단",AND(U25="01-계획서미제출",I25&lt;TODAY())),"CRITICAL",IF(OR(U25="04-검토중_조건불만족",U25="07-생산완료_미인수",U25="12-조건부승인검토"),"ACTION",IF(AND(ISNUMBER(W25),W25&lt;=0),"OVERDUE",IF(AND(ISNUMBER(W25),W25&lt;=14),"WARNING","ON TRACK")))))</f>
        <v/>
      </c>
      <c r="Y25" s="19">
        <f>IF(U25="11-결과등록완료","— 완료",IF(U25="01-계획서미제출",IF(I25&lt;TODAY(),"계획서 제출 독촉 (OVERDUE)","계획서 제출 대기"),IF(U25="02-계획서제출_미검토","설계자: 계획서 검토 착수",IF(U25="03-검토중_조건충족","설계자: 승인 처리",IF(U25="04-검토중_조건불만족","보완 요청 → 협력사 재제출 독촉",IF(U25="05-계획서승인","시험편 준비 현황 확인",IF(U25="06-BIW생산중단","BIW 생산팀 확인 → 일정 재수립",IF(U25="07-생산완료_미인수","협력사 인수 독촉",IF(U25="08-단품준비완료","시험 일정 확인",IF(U25="09-시험준비중","시험 진행 모니터링",IF(U25="10-시험완료","결과 보고서 전산 등록 독촉",IF(U25="12-조건부승인검토","조건부 승인 여부 판단 → 관련부서 협의","—"))))))))))))</f>
        <v/>
      </c>
    </row>
    <row r="26">
      <c r="A26" s="5" t="n">
        <v>22</v>
      </c>
      <c r="B26" s="13" t="inlineStr">
        <is>
          <t>AE_PE</t>
        </is>
      </c>
      <c r="C26" s="14" t="inlineStr">
        <is>
          <t>Rear Seat Assy</t>
        </is>
      </c>
      <c r="D26" s="15">
        <f>IFERROR(VLOOKUP(C26,'Reference Data 기준데이터'!$E$8:$F$30,2,FALSE),"")</f>
        <v/>
      </c>
      <c r="E26" s="14" t="inlineStr">
        <is>
          <t>외관 검사</t>
        </is>
      </c>
      <c r="F26" s="15">
        <f>IFERROR(VLOOKUP(E26,'Reference Data 기준데이터'!$A$8:$F$30,2,FALSE),"")</f>
        <v/>
      </c>
      <c r="G26" s="15">
        <f>IFERROR(VLOOKUP(B26&amp;"_"&amp;C26,'Reference Data 기준데이터'!$A$33:$B$51,2,FALSE),"")</f>
        <v/>
      </c>
      <c r="H26" s="16">
        <f>IFERROR(VLOOKUP(B26,'Reference Data 기준데이터'!$A$2:$J$5,3,FALSE),"")</f>
        <v/>
      </c>
      <c r="I26" s="16">
        <f>IFERROR(H26+VLOOKUP(B26,'Reference Data 기준데이터'!$A$2:$J$5,7,FALSE),"")</f>
        <v/>
      </c>
      <c r="J26" s="20" t="n">
        <v>46049</v>
      </c>
      <c r="K26" s="13" t="inlineStr">
        <is>
          <t>Approved</t>
        </is>
      </c>
      <c r="L26" s="16">
        <f>IFERROR(H26+VLOOKUP(B26,'Reference Data 기준데이터'!$A$2:$J$5,8,FALSE),"")</f>
        <v/>
      </c>
      <c r="M26" s="20" t="n">
        <v>46088</v>
      </c>
      <c r="N26" s="16">
        <f>IFERROR(IF(ISNUMBER(SEARCH("Vehicle",F26)),MAX(H26+VLOOKUP(B26,'Reference Data 기준데이터'!$A$2:$J$5,9,FALSE),VLOOKUP(B26,'Reference Data 기준데이터'!$A$2:$J$5,4,FALSE)),H26+VLOOKUP(B26,'Reference Data 기준데이터'!$A$2:$J$5,9,FALSE)),"")</f>
        <v/>
      </c>
      <c r="O26" s="20" t="n">
        <v>46103</v>
      </c>
      <c r="P26" s="16">
        <f>IFERROR(N26+VLOOKUP(E26,'Reference Data 기준데이터'!$A$8:$F$30,4,FALSE),"")</f>
        <v/>
      </c>
      <c r="Q26" s="20" t="n">
        <v>46123</v>
      </c>
      <c r="R26" s="16">
        <f>IFERROR(MIN(H26+VLOOKUP(B26,'Reference Data 기준데이터'!$A$2:$J$5,10,FALSE),VLOOKUP(B26,'Reference Data 기준데이터'!$A$2:$J$5,6,FALSE)),"")</f>
        <v/>
      </c>
      <c r="S26" s="20" t="n">
        <v>46132</v>
      </c>
      <c r="T26" s="13" t="n"/>
      <c r="U26" s="17">
        <f>IF(T26&lt;&gt;"",T26,IF(AND(S26&lt;&gt;"",Q26&lt;&gt;""),"11-결과등록완료",IF(AND(Q26&lt;&gt;"",S26=""),"10-시험완료",IF(AND(O26&lt;&gt;"",Q26=""),"09-시험준비중",IF(AND(M26&lt;&gt;"",O26=""),"08-단품준비완료",IF(K26="Approved","05-계획서승인",IF(K26="Revision Needed","04-검토중_조건불만족",IF(K26="Under Review","03-검토중_조건충족",IF(AND(J26&lt;&gt;"",K26=""),"02-계획서제출_미검토","01-계획서미제출")))))))))</f>
        <v/>
      </c>
      <c r="V26" s="18">
        <f>IFS(U26="01-계획서미제출",0,U26="02-계획서제출_미검토",0.05,U26="03-검토중_조건충족",0.1,U26="04-검토중_조건불만족",0.05,U26="05-계획서승인",0.2,U26="06-BIW생산중단",0.15,U26="07-생산완료_미인수",0.3,U26="08-단품준비완료",0.4,U26="09-시험준비중",0.55,U26="10-시험완료",0.85,U26="11-결과등록완료",1,U26="12-조건부승인검토",0.9,TRUE,0)</f>
        <v/>
      </c>
      <c r="W26" s="5">
        <f>IF(S26&lt;&gt;"","-",IF(R26="","N/A",R26-TODAY()))</f>
        <v/>
      </c>
      <c r="X26" s="17">
        <f>IF(U26="11-결과등록완료","DONE",IF(OR(U26="06-BIW생산중단",AND(U26="01-계획서미제출",I26&lt;TODAY())),"CRITICAL",IF(OR(U26="04-검토중_조건불만족",U26="07-생산완료_미인수",U26="12-조건부승인검토"),"ACTION",IF(AND(ISNUMBER(W26),W26&lt;=0),"OVERDUE",IF(AND(ISNUMBER(W26),W26&lt;=14),"WARNING","ON TRACK")))))</f>
        <v/>
      </c>
      <c r="Y26" s="19">
        <f>IF(U26="11-결과등록완료","— 완료",IF(U26="01-계획서미제출",IF(I26&lt;TODAY(),"계획서 제출 독촉 (OVERDUE)","계획서 제출 대기"),IF(U26="02-계획서제출_미검토","설계자: 계획서 검토 착수",IF(U26="03-검토중_조건충족","설계자: 승인 처리",IF(U26="04-검토중_조건불만족","보완 요청 → 협력사 재제출 독촉",IF(U26="05-계획서승인","시험편 준비 현황 확인",IF(U26="06-BIW생산중단","BIW 생산팀 확인 → 일정 재수립",IF(U26="07-생산완료_미인수","협력사 인수 독촉",IF(U26="08-단품준비완료","시험 일정 확인",IF(U26="09-시험준비중","시험 진행 모니터링",IF(U26="10-시험완료","결과 보고서 전산 등록 독촉",IF(U26="12-조건부승인검토","조건부 승인 여부 판단 → 관련부서 협의","—"))))))))))))</f>
        <v/>
      </c>
    </row>
    <row r="27">
      <c r="A27" s="5" t="n">
        <v>23</v>
      </c>
      <c r="B27" s="13" t="inlineStr">
        <is>
          <t>SU2i</t>
        </is>
      </c>
      <c r="C27" s="14" t="inlineStr">
        <is>
          <t>Center Console Assy</t>
        </is>
      </c>
      <c r="D27" s="15">
        <f>IFERROR(VLOOKUP(C27,'Reference Data 기준데이터'!$E$8:$F$30,2,FALSE),"")</f>
        <v/>
      </c>
      <c r="E27" s="14" t="inlineStr">
        <is>
          <t>VOC 방출 시험</t>
        </is>
      </c>
      <c r="F27" s="15">
        <f>IFERROR(VLOOKUP(E27,'Reference Data 기준데이터'!$A$8:$F$30,2,FALSE),"")</f>
        <v/>
      </c>
      <c r="G27" s="15">
        <f>IFERROR(VLOOKUP(B27&amp;"_"&amp;C27,'Reference Data 기준데이터'!$A$33:$B$51,2,FALSE),"")</f>
        <v/>
      </c>
      <c r="H27" s="16">
        <f>IFERROR(VLOOKUP(B27,'Reference Data 기준데이터'!$A$2:$J$5,3,FALSE),"")</f>
        <v/>
      </c>
      <c r="I27" s="16">
        <f>IFERROR(H27+VLOOKUP(B27,'Reference Data 기준데이터'!$A$2:$J$5,7,FALSE),"")</f>
        <v/>
      </c>
      <c r="J27" s="13" t="n"/>
      <c r="K27" s="13" t="n"/>
      <c r="L27" s="16">
        <f>IFERROR(H27+VLOOKUP(B27,'Reference Data 기준데이터'!$A$2:$J$5,8,FALSE),"")</f>
        <v/>
      </c>
      <c r="M27" s="13" t="n"/>
      <c r="N27" s="16">
        <f>IFERROR(IF(ISNUMBER(SEARCH("Vehicle",F27)),MAX(H27+VLOOKUP(B27,'Reference Data 기준데이터'!$A$2:$J$5,9,FALSE),VLOOKUP(B27,'Reference Data 기준데이터'!$A$2:$J$5,4,FALSE)),H27+VLOOKUP(B27,'Reference Data 기준데이터'!$A$2:$J$5,9,FALSE)),"")</f>
        <v/>
      </c>
      <c r="O27" s="13" t="n"/>
      <c r="P27" s="16">
        <f>IFERROR(N27+VLOOKUP(E27,'Reference Data 기준데이터'!$A$8:$F$30,4,FALSE),"")</f>
        <v/>
      </c>
      <c r="Q27" s="13" t="n"/>
      <c r="R27" s="16">
        <f>IFERROR(MIN(H27+VLOOKUP(B27,'Reference Data 기준데이터'!$A$2:$J$5,10,FALSE),VLOOKUP(B27,'Reference Data 기준데이터'!$A$2:$J$5,6,FALSE)),"")</f>
        <v/>
      </c>
      <c r="S27" s="13" t="n"/>
      <c r="T27" s="13" t="n"/>
      <c r="U27" s="17">
        <f>IF(T27&lt;&gt;"",T27,IF(AND(S27&lt;&gt;"",Q27&lt;&gt;""),"11-결과등록완료",IF(AND(Q27&lt;&gt;"",S27=""),"10-시험완료",IF(AND(O27&lt;&gt;"",Q27=""),"09-시험준비중",IF(AND(M27&lt;&gt;"",O27=""),"08-단품준비완료",IF(K27="Approved","05-계획서승인",IF(K27="Revision Needed","04-검토중_조건불만족",IF(K27="Under Review","03-검토중_조건충족",IF(AND(J27&lt;&gt;"",K27=""),"02-계획서제출_미검토","01-계획서미제출")))))))))</f>
        <v/>
      </c>
      <c r="V27" s="18">
        <f>IFS(U27="01-계획서미제출",0,U27="02-계획서제출_미검토",0.05,U27="03-검토중_조건충족",0.1,U27="04-검토중_조건불만족",0.05,U27="05-계획서승인",0.2,U27="06-BIW생산중단",0.15,U27="07-생산완료_미인수",0.3,U27="08-단품준비완료",0.4,U27="09-시험준비중",0.55,U27="10-시험완료",0.85,U27="11-결과등록완료",1,U27="12-조건부승인검토",0.9,TRUE,0)</f>
        <v/>
      </c>
      <c r="W27" s="5">
        <f>IF(S27&lt;&gt;"","-",IF(R27="","N/A",R27-TODAY()))</f>
        <v/>
      </c>
      <c r="X27" s="17">
        <f>IF(U27="11-결과등록완료","DONE",IF(OR(U27="06-BIW생산중단",AND(U27="01-계획서미제출",I27&lt;TODAY())),"CRITICAL",IF(OR(U27="04-검토중_조건불만족",U27="07-생산완료_미인수",U27="12-조건부승인검토"),"ACTION",IF(AND(ISNUMBER(W27),W27&lt;=0),"OVERDUE",IF(AND(ISNUMBER(W27),W27&lt;=14),"WARNING","ON TRACK")))))</f>
        <v/>
      </c>
      <c r="Y27" s="19">
        <f>IF(U27="11-결과등록완료","— 완료",IF(U27="01-계획서미제출",IF(I27&lt;TODAY(),"계획서 제출 독촉 (OVERDUE)","계획서 제출 대기"),IF(U27="02-계획서제출_미검토","설계자: 계획서 검토 착수",IF(U27="03-검토중_조건충족","설계자: 승인 처리",IF(U27="04-검토중_조건불만족","보완 요청 → 협력사 재제출 독촉",IF(U27="05-계획서승인","시험편 준비 현황 확인",IF(U27="06-BIW생산중단","BIW 생산팀 확인 → 일정 재수립",IF(U27="07-생산완료_미인수","협력사 인수 독촉",IF(U27="08-단품준비완료","시험 일정 확인",IF(U27="09-시험준비중","시험 진행 모니터링",IF(U27="10-시험완료","결과 보고서 전산 등록 독촉",IF(U27="12-조건부승인검토","조건부 승인 여부 판단 → 관련부서 협의","—"))))))))))))</f>
        <v/>
      </c>
    </row>
    <row r="28">
      <c r="A28" s="5" t="n">
        <v>24</v>
      </c>
      <c r="B28" s="13" t="inlineStr">
        <is>
          <t>SU2i</t>
        </is>
      </c>
      <c r="C28" s="14" t="inlineStr">
        <is>
          <t>Center Console Assy</t>
        </is>
      </c>
      <c r="D28" s="15">
        <f>IFERROR(VLOOKUP(C28,'Reference Data 기준데이터'!$E$8:$F$30,2,FALSE),"")</f>
        <v/>
      </c>
      <c r="E28" s="14" t="inlineStr">
        <is>
          <t>내열 시험</t>
        </is>
      </c>
      <c r="F28" s="15">
        <f>IFERROR(VLOOKUP(E28,'Reference Data 기준데이터'!$A$8:$F$30,2,FALSE),"")</f>
        <v/>
      </c>
      <c r="G28" s="15">
        <f>IFERROR(VLOOKUP(B28&amp;"_"&amp;C28,'Reference Data 기준데이터'!$A$33:$B$51,2,FALSE),"")</f>
        <v/>
      </c>
      <c r="H28" s="16">
        <f>IFERROR(VLOOKUP(B28,'Reference Data 기준데이터'!$A$2:$J$5,3,FALSE),"")</f>
        <v/>
      </c>
      <c r="I28" s="16">
        <f>IFERROR(H28+VLOOKUP(B28,'Reference Data 기준데이터'!$A$2:$J$5,7,FALSE),"")</f>
        <v/>
      </c>
      <c r="J28" s="20" t="n">
        <v>46096</v>
      </c>
      <c r="K28" s="13" t="inlineStr">
        <is>
          <t>Approved</t>
        </is>
      </c>
      <c r="L28" s="16">
        <f>IFERROR(H28+VLOOKUP(B28,'Reference Data 기준데이터'!$A$2:$J$5,8,FALSE),"")</f>
        <v/>
      </c>
      <c r="M28" s="13" t="n"/>
      <c r="N28" s="16">
        <f>IFERROR(IF(ISNUMBER(SEARCH("Vehicle",F28)),MAX(H28+VLOOKUP(B28,'Reference Data 기준데이터'!$A$2:$J$5,9,FALSE),VLOOKUP(B28,'Reference Data 기준데이터'!$A$2:$J$5,4,FALSE)),H28+VLOOKUP(B28,'Reference Data 기준데이터'!$A$2:$J$5,9,FALSE)),"")</f>
        <v/>
      </c>
      <c r="O28" s="13" t="n"/>
      <c r="P28" s="16">
        <f>IFERROR(N28+VLOOKUP(E28,'Reference Data 기준데이터'!$A$8:$F$30,4,FALSE),"")</f>
        <v/>
      </c>
      <c r="Q28" s="13" t="n"/>
      <c r="R28" s="16">
        <f>IFERROR(MIN(H28+VLOOKUP(B28,'Reference Data 기준데이터'!$A$2:$J$5,10,FALSE),VLOOKUP(B28,'Reference Data 기준데이터'!$A$2:$J$5,6,FALSE)),"")</f>
        <v/>
      </c>
      <c r="S28" s="13" t="n"/>
      <c r="T28" s="13" t="n"/>
      <c r="U28" s="17">
        <f>IF(T28&lt;&gt;"",T28,IF(AND(S28&lt;&gt;"",Q28&lt;&gt;""),"11-결과등록완료",IF(AND(Q28&lt;&gt;"",S28=""),"10-시험완료",IF(AND(O28&lt;&gt;"",Q28=""),"09-시험준비중",IF(AND(M28&lt;&gt;"",O28=""),"08-단품준비완료",IF(K28="Approved","05-계획서승인",IF(K28="Revision Needed","04-검토중_조건불만족",IF(K28="Under Review","03-검토중_조건충족",IF(AND(J28&lt;&gt;"",K28=""),"02-계획서제출_미검토","01-계획서미제출")))))))))</f>
        <v/>
      </c>
      <c r="V28" s="18">
        <f>IFS(U28="01-계획서미제출",0,U28="02-계획서제출_미검토",0.05,U28="03-검토중_조건충족",0.1,U28="04-검토중_조건불만족",0.05,U28="05-계획서승인",0.2,U28="06-BIW생산중단",0.15,U28="07-생산완료_미인수",0.3,U28="08-단품준비완료",0.4,U28="09-시험준비중",0.55,U28="10-시험완료",0.85,U28="11-결과등록완료",1,U28="12-조건부승인검토",0.9,TRUE,0)</f>
        <v/>
      </c>
      <c r="W28" s="5">
        <f>IF(S28&lt;&gt;"","-",IF(R28="","N/A",R28-TODAY()))</f>
        <v/>
      </c>
      <c r="X28" s="17">
        <f>IF(U28="11-결과등록완료","DONE",IF(OR(U28="06-BIW생산중단",AND(U28="01-계획서미제출",I28&lt;TODAY())),"CRITICAL",IF(OR(U28="04-검토중_조건불만족",U28="07-생산완료_미인수",U28="12-조건부승인검토"),"ACTION",IF(AND(ISNUMBER(W28),W28&lt;=0),"OVERDUE",IF(AND(ISNUMBER(W28),W28&lt;=14),"WARNING","ON TRACK")))))</f>
        <v/>
      </c>
      <c r="Y28" s="19">
        <f>IF(U28="11-결과등록완료","— 완료",IF(U28="01-계획서미제출",IF(I28&lt;TODAY(),"계획서 제출 독촉 (OVERDUE)","계획서 제출 대기"),IF(U28="02-계획서제출_미검토","설계자: 계획서 검토 착수",IF(U28="03-검토중_조건충족","설계자: 승인 처리",IF(U28="04-검토중_조건불만족","보완 요청 → 협력사 재제출 독촉",IF(U28="05-계획서승인","시험편 준비 현황 확인",IF(U28="06-BIW생산중단","BIW 생산팀 확인 → 일정 재수립",IF(U28="07-생산완료_미인수","협력사 인수 독촉",IF(U28="08-단품준비완료","시험 일정 확인",IF(U28="09-시험준비중","시험 진행 모니터링",IF(U28="10-시험완료","결과 보고서 전산 등록 독촉",IF(U28="12-조건부승인검토","조건부 승인 여부 판단 → 관련부서 협의","—"))))))))))))</f>
        <v/>
      </c>
    </row>
    <row r="29">
      <c r="A29" s="5" t="n">
        <v>25</v>
      </c>
      <c r="B29" s="13" t="inlineStr">
        <is>
          <t>SU2i</t>
        </is>
      </c>
      <c r="C29" s="14" t="inlineStr">
        <is>
          <t>Center Console Assy</t>
        </is>
      </c>
      <c r="D29" s="15">
        <f>IFERROR(VLOOKUP(C29,'Reference Data 기준데이터'!$E$8:$F$30,2,FALSE),"")</f>
        <v/>
      </c>
      <c r="E29" s="14" t="inlineStr">
        <is>
          <t>마모 시험</t>
        </is>
      </c>
      <c r="F29" s="15">
        <f>IFERROR(VLOOKUP(E29,'Reference Data 기준데이터'!$A$8:$F$30,2,FALSE),"")</f>
        <v/>
      </c>
      <c r="G29" s="15">
        <f>IFERROR(VLOOKUP(B29&amp;"_"&amp;C29,'Reference Data 기준데이터'!$A$33:$B$51,2,FALSE),"")</f>
        <v/>
      </c>
      <c r="H29" s="16">
        <f>IFERROR(VLOOKUP(B29,'Reference Data 기준데이터'!$A$2:$J$5,3,FALSE),"")</f>
        <v/>
      </c>
      <c r="I29" s="16">
        <f>IFERROR(H29+VLOOKUP(B29,'Reference Data 기준데이터'!$A$2:$J$5,7,FALSE),"")</f>
        <v/>
      </c>
      <c r="J29" s="20" t="n">
        <v>46092</v>
      </c>
      <c r="K29" s="13" t="inlineStr">
        <is>
          <t>Approved</t>
        </is>
      </c>
      <c r="L29" s="16">
        <f>IFERROR(H29+VLOOKUP(B29,'Reference Data 기준데이터'!$A$2:$J$5,8,FALSE),"")</f>
        <v/>
      </c>
      <c r="M29" s="20" t="n">
        <v>46128</v>
      </c>
      <c r="N29" s="16">
        <f>IFERROR(IF(ISNUMBER(SEARCH("Vehicle",F29)),MAX(H29+VLOOKUP(B29,'Reference Data 기준데이터'!$A$2:$J$5,9,FALSE),VLOOKUP(B29,'Reference Data 기준데이터'!$A$2:$J$5,4,FALSE)),H29+VLOOKUP(B29,'Reference Data 기준데이터'!$A$2:$J$5,9,FALSE)),"")</f>
        <v/>
      </c>
      <c r="O29" s="20" t="n">
        <v>46145</v>
      </c>
      <c r="P29" s="16">
        <f>IFERROR(N29+VLOOKUP(E29,'Reference Data 기준데이터'!$A$8:$F$30,4,FALSE),"")</f>
        <v/>
      </c>
      <c r="Q29" s="13" t="n"/>
      <c r="R29" s="16">
        <f>IFERROR(MIN(H29+VLOOKUP(B29,'Reference Data 기준데이터'!$A$2:$J$5,10,FALSE),VLOOKUP(B29,'Reference Data 기준데이터'!$A$2:$J$5,6,FALSE)),"")</f>
        <v/>
      </c>
      <c r="S29" s="13" t="n"/>
      <c r="T29" s="13" t="n"/>
      <c r="U29" s="17">
        <f>IF(T29&lt;&gt;"",T29,IF(AND(S29&lt;&gt;"",Q29&lt;&gt;""),"11-결과등록완료",IF(AND(Q29&lt;&gt;"",S29=""),"10-시험완료",IF(AND(O29&lt;&gt;"",Q29=""),"09-시험준비중",IF(AND(M29&lt;&gt;"",O29=""),"08-단품준비완료",IF(K29="Approved","05-계획서승인",IF(K29="Revision Needed","04-검토중_조건불만족",IF(K29="Under Review","03-검토중_조건충족",IF(AND(J29&lt;&gt;"",K29=""),"02-계획서제출_미검토","01-계획서미제출")))))))))</f>
        <v/>
      </c>
      <c r="V29" s="18">
        <f>IFS(U29="01-계획서미제출",0,U29="02-계획서제출_미검토",0.05,U29="03-검토중_조건충족",0.1,U29="04-검토중_조건불만족",0.05,U29="05-계획서승인",0.2,U29="06-BIW생산중단",0.15,U29="07-생산완료_미인수",0.3,U29="08-단품준비완료",0.4,U29="09-시험준비중",0.55,U29="10-시험완료",0.85,U29="11-결과등록완료",1,U29="12-조건부승인검토",0.9,TRUE,0)</f>
        <v/>
      </c>
      <c r="W29" s="5">
        <f>IF(S29&lt;&gt;"","-",IF(R29="","N/A",R29-TODAY()))</f>
        <v/>
      </c>
      <c r="X29" s="17">
        <f>IF(U29="11-결과등록완료","DONE",IF(OR(U29="06-BIW생산중단",AND(U29="01-계획서미제출",I29&lt;TODAY())),"CRITICAL",IF(OR(U29="04-검토중_조건불만족",U29="07-생산완료_미인수",U29="12-조건부승인검토"),"ACTION",IF(AND(ISNUMBER(W29),W29&lt;=0),"OVERDUE",IF(AND(ISNUMBER(W29),W29&lt;=14),"WARNING","ON TRACK")))))</f>
        <v/>
      </c>
      <c r="Y29" s="19">
        <f>IF(U29="11-결과등록완료","— 완료",IF(U29="01-계획서미제출",IF(I29&lt;TODAY(),"계획서 제출 독촉 (OVERDUE)","계획서 제출 대기"),IF(U29="02-계획서제출_미검토","설계자: 계획서 검토 착수",IF(U29="03-검토중_조건충족","설계자: 승인 처리",IF(U29="04-검토중_조건불만족","보완 요청 → 협력사 재제출 독촉",IF(U29="05-계획서승인","시험편 준비 현황 확인",IF(U29="06-BIW생산중단","BIW 생산팀 확인 → 일정 재수립",IF(U29="07-생산완료_미인수","협력사 인수 독촉",IF(U29="08-단품준비완료","시험 일정 확인",IF(U29="09-시험준비중","시험 진행 모니터링",IF(U29="10-시험완료","결과 보고서 전산 등록 독촉",IF(U29="12-조건부승인검토","조건부 승인 여부 판단 → 관련부서 협의","—"))))))))))))</f>
        <v/>
      </c>
    </row>
    <row r="30">
      <c r="A30" s="5" t="n">
        <v>26</v>
      </c>
      <c r="B30" s="13" t="inlineStr">
        <is>
          <t>SU2i</t>
        </is>
      </c>
      <c r="C30" s="14" t="inlineStr">
        <is>
          <t>Center Console Assy</t>
        </is>
      </c>
      <c r="D30" s="15">
        <f>IFERROR(VLOOKUP(C30,'Reference Data 기준데이터'!$E$8:$F$30,2,FALSE),"")</f>
        <v/>
      </c>
      <c r="E30" s="14" t="inlineStr">
        <is>
          <t>치수 검사</t>
        </is>
      </c>
      <c r="F30" s="15">
        <f>IFERROR(VLOOKUP(E30,'Reference Data 기준데이터'!$A$8:$F$30,2,FALSE),"")</f>
        <v/>
      </c>
      <c r="G30" s="15">
        <f>IFERROR(VLOOKUP(B30&amp;"_"&amp;C30,'Reference Data 기준데이터'!$A$33:$B$51,2,FALSE),"")</f>
        <v/>
      </c>
      <c r="H30" s="16">
        <f>IFERROR(VLOOKUP(B30,'Reference Data 기준데이터'!$A$2:$J$5,3,FALSE),"")</f>
        <v/>
      </c>
      <c r="I30" s="16">
        <f>IFERROR(H30+VLOOKUP(B30,'Reference Data 기준데이터'!$A$2:$J$5,7,FALSE),"")</f>
        <v/>
      </c>
      <c r="J30" s="20" t="n">
        <v>46093</v>
      </c>
      <c r="K30" s="13" t="inlineStr">
        <is>
          <t>Approved</t>
        </is>
      </c>
      <c r="L30" s="16">
        <f>IFERROR(H30+VLOOKUP(B30,'Reference Data 기준데이터'!$A$2:$J$5,8,FALSE),"")</f>
        <v/>
      </c>
      <c r="M30" s="20" t="n">
        <v>46129</v>
      </c>
      <c r="N30" s="16">
        <f>IFERROR(IF(ISNUMBER(SEARCH("Vehicle",F30)),MAX(H30+VLOOKUP(B30,'Reference Data 기준데이터'!$A$2:$J$5,9,FALSE),VLOOKUP(B30,'Reference Data 기준데이터'!$A$2:$J$5,4,FALSE)),H30+VLOOKUP(B30,'Reference Data 기준데이터'!$A$2:$J$5,9,FALSE)),"")</f>
        <v/>
      </c>
      <c r="O30" s="20" t="n">
        <v>46146</v>
      </c>
      <c r="P30" s="16">
        <f>IFERROR(N30+VLOOKUP(E30,'Reference Data 기준데이터'!$A$8:$F$30,4,FALSE),"")</f>
        <v/>
      </c>
      <c r="Q30" s="20" t="n">
        <v>46172</v>
      </c>
      <c r="R30" s="16">
        <f>IFERROR(MIN(H30+VLOOKUP(B30,'Reference Data 기준데이터'!$A$2:$J$5,10,FALSE),VLOOKUP(B30,'Reference Data 기준데이터'!$A$2:$J$5,6,FALSE)),"")</f>
        <v/>
      </c>
      <c r="S30" s="20" t="n">
        <v>46177</v>
      </c>
      <c r="T30" s="13" t="n"/>
      <c r="U30" s="17">
        <f>IF(T30&lt;&gt;"",T30,IF(AND(S30&lt;&gt;"",Q30&lt;&gt;""),"11-결과등록완료",IF(AND(Q30&lt;&gt;"",S30=""),"10-시험완료",IF(AND(O30&lt;&gt;"",Q30=""),"09-시험준비중",IF(AND(M30&lt;&gt;"",O30=""),"08-단품준비완료",IF(K30="Approved","05-계획서승인",IF(K30="Revision Needed","04-검토중_조건불만족",IF(K30="Under Review","03-검토중_조건충족",IF(AND(J30&lt;&gt;"",K30=""),"02-계획서제출_미검토","01-계획서미제출")))))))))</f>
        <v/>
      </c>
      <c r="V30" s="18">
        <f>IFS(U30="01-계획서미제출",0,U30="02-계획서제출_미검토",0.05,U30="03-검토중_조건충족",0.1,U30="04-검토중_조건불만족",0.05,U30="05-계획서승인",0.2,U30="06-BIW생산중단",0.15,U30="07-생산완료_미인수",0.3,U30="08-단품준비완료",0.4,U30="09-시험준비중",0.55,U30="10-시험완료",0.85,U30="11-결과등록완료",1,U30="12-조건부승인검토",0.9,TRUE,0)</f>
        <v/>
      </c>
      <c r="W30" s="5">
        <f>IF(S30&lt;&gt;"","-",IF(R30="","N/A",R30-TODAY()))</f>
        <v/>
      </c>
      <c r="X30" s="17">
        <f>IF(U30="11-결과등록완료","DONE",IF(OR(U30="06-BIW생산중단",AND(U30="01-계획서미제출",I30&lt;TODAY())),"CRITICAL",IF(OR(U30="04-검토중_조건불만족",U30="07-생산완료_미인수",U30="12-조건부승인검토"),"ACTION",IF(AND(ISNUMBER(W30),W30&lt;=0),"OVERDUE",IF(AND(ISNUMBER(W30),W30&lt;=14),"WARNING","ON TRACK")))))</f>
        <v/>
      </c>
      <c r="Y30" s="19">
        <f>IF(U30="11-결과등록완료","— 완료",IF(U30="01-계획서미제출",IF(I30&lt;TODAY(),"계획서 제출 독촉 (OVERDUE)","계획서 제출 대기"),IF(U30="02-계획서제출_미검토","설계자: 계획서 검토 착수",IF(U30="03-검토중_조건충족","설계자: 승인 처리",IF(U30="04-검토중_조건불만족","보완 요청 → 협력사 재제출 독촉",IF(U30="05-계획서승인","시험편 준비 현황 확인",IF(U30="06-BIW생산중단","BIW 생산팀 확인 → 일정 재수립",IF(U30="07-생산완료_미인수","협력사 인수 독촉",IF(U30="08-단품준비완료","시험 일정 확인",IF(U30="09-시험준비중","시험 진행 모니터링",IF(U30="10-시험완료","결과 보고서 전산 등록 독촉",IF(U30="12-조건부승인검토","조건부 승인 여부 판단 → 관련부서 협의","—"))))))))))))</f>
        <v/>
      </c>
    </row>
    <row r="31">
      <c r="A31" s="5" t="n">
        <v>27</v>
      </c>
      <c r="B31" s="13" t="inlineStr">
        <is>
          <t>SU2i</t>
        </is>
      </c>
      <c r="C31" s="14" t="inlineStr">
        <is>
          <t>Console Lid Assy</t>
        </is>
      </c>
      <c r="D31" s="15">
        <f>IFERROR(VLOOKUP(C31,'Reference Data 기준데이터'!$E$8:$F$30,2,FALSE),"")</f>
        <v/>
      </c>
      <c r="E31" s="14" t="inlineStr">
        <is>
          <t>VOC 방출 시험</t>
        </is>
      </c>
      <c r="F31" s="15">
        <f>IFERROR(VLOOKUP(E31,'Reference Data 기준데이터'!$A$8:$F$30,2,FALSE),"")</f>
        <v/>
      </c>
      <c r="G31" s="15">
        <f>IFERROR(VLOOKUP(B31&amp;"_"&amp;C31,'Reference Data 기준데이터'!$A$33:$B$51,2,FALSE),"")</f>
        <v/>
      </c>
      <c r="H31" s="16">
        <f>IFERROR(VLOOKUP(B31,'Reference Data 기준데이터'!$A$2:$J$5,3,FALSE),"")</f>
        <v/>
      </c>
      <c r="I31" s="16">
        <f>IFERROR(H31+VLOOKUP(B31,'Reference Data 기준데이터'!$A$2:$J$5,7,FALSE),"")</f>
        <v/>
      </c>
      <c r="J31" s="20" t="n">
        <v>46094</v>
      </c>
      <c r="K31" s="13" t="n"/>
      <c r="L31" s="16">
        <f>IFERROR(H31+VLOOKUP(B31,'Reference Data 기준데이터'!$A$2:$J$5,8,FALSE),"")</f>
        <v/>
      </c>
      <c r="M31" s="13" t="n"/>
      <c r="N31" s="16">
        <f>IFERROR(IF(ISNUMBER(SEARCH("Vehicle",F31)),MAX(H31+VLOOKUP(B31,'Reference Data 기준데이터'!$A$2:$J$5,9,FALSE),VLOOKUP(B31,'Reference Data 기준데이터'!$A$2:$J$5,4,FALSE)),H31+VLOOKUP(B31,'Reference Data 기준데이터'!$A$2:$J$5,9,FALSE)),"")</f>
        <v/>
      </c>
      <c r="O31" s="13" t="n"/>
      <c r="P31" s="16">
        <f>IFERROR(N31+VLOOKUP(E31,'Reference Data 기준데이터'!$A$8:$F$30,4,FALSE),"")</f>
        <v/>
      </c>
      <c r="Q31" s="13" t="n"/>
      <c r="R31" s="16">
        <f>IFERROR(MIN(H31+VLOOKUP(B31,'Reference Data 기준데이터'!$A$2:$J$5,10,FALSE),VLOOKUP(B31,'Reference Data 기준데이터'!$A$2:$J$5,6,FALSE)),"")</f>
        <v/>
      </c>
      <c r="S31" s="13" t="n"/>
      <c r="T31" s="13" t="n"/>
      <c r="U31" s="17">
        <f>IF(T31&lt;&gt;"",T31,IF(AND(S31&lt;&gt;"",Q31&lt;&gt;""),"11-결과등록완료",IF(AND(Q31&lt;&gt;"",S31=""),"10-시험완료",IF(AND(O31&lt;&gt;"",Q31=""),"09-시험준비중",IF(AND(M31&lt;&gt;"",O31=""),"08-단품준비완료",IF(K31="Approved","05-계획서승인",IF(K31="Revision Needed","04-검토중_조건불만족",IF(K31="Under Review","03-검토중_조건충족",IF(AND(J31&lt;&gt;"",K31=""),"02-계획서제출_미검토","01-계획서미제출")))))))))</f>
        <v/>
      </c>
      <c r="V31" s="18">
        <f>IFS(U31="01-계획서미제출",0,U31="02-계획서제출_미검토",0.05,U31="03-검토중_조건충족",0.1,U31="04-검토중_조건불만족",0.05,U31="05-계획서승인",0.2,U31="06-BIW생산중단",0.15,U31="07-생산완료_미인수",0.3,U31="08-단품준비완료",0.4,U31="09-시험준비중",0.55,U31="10-시험완료",0.85,U31="11-결과등록완료",1,U31="12-조건부승인검토",0.9,TRUE,0)</f>
        <v/>
      </c>
      <c r="W31" s="5">
        <f>IF(S31&lt;&gt;"","-",IF(R31="","N/A",R31-TODAY()))</f>
        <v/>
      </c>
      <c r="X31" s="17">
        <f>IF(U31="11-결과등록완료","DONE",IF(OR(U31="06-BIW생산중단",AND(U31="01-계획서미제출",I31&lt;TODAY())),"CRITICAL",IF(OR(U31="04-검토중_조건불만족",U31="07-생산완료_미인수",U31="12-조건부승인검토"),"ACTION",IF(AND(ISNUMBER(W31),W31&lt;=0),"OVERDUE",IF(AND(ISNUMBER(W31),W31&lt;=14),"WARNING","ON TRACK")))))</f>
        <v/>
      </c>
      <c r="Y31" s="19">
        <f>IF(U31="11-결과등록완료","— 완료",IF(U31="01-계획서미제출",IF(I31&lt;TODAY(),"계획서 제출 독촉 (OVERDUE)","계획서 제출 대기"),IF(U31="02-계획서제출_미검토","설계자: 계획서 검토 착수",IF(U31="03-검토중_조건충족","설계자: 승인 처리",IF(U31="04-검토중_조건불만족","보완 요청 → 협력사 재제출 독촉",IF(U31="05-계획서승인","시험편 준비 현황 확인",IF(U31="06-BIW생산중단","BIW 생산팀 확인 → 일정 재수립",IF(U31="07-생산완료_미인수","협력사 인수 독촉",IF(U31="08-단품준비완료","시험 일정 확인",IF(U31="09-시험준비중","시험 진행 모니터링",IF(U31="10-시험완료","결과 보고서 전산 등록 독촉",IF(U31="12-조건부승인검토","조건부 승인 여부 판단 → 관련부서 협의","—"))))))))))))</f>
        <v/>
      </c>
    </row>
    <row r="32">
      <c r="A32" s="5" t="n">
        <v>28</v>
      </c>
      <c r="B32" s="13" t="inlineStr">
        <is>
          <t>SU2i</t>
        </is>
      </c>
      <c r="C32" s="14" t="inlineStr">
        <is>
          <t>Console Lid Assy</t>
        </is>
      </c>
      <c r="D32" s="15">
        <f>IFERROR(VLOOKUP(C32,'Reference Data 기준데이터'!$E$8:$F$30,2,FALSE),"")</f>
        <v/>
      </c>
      <c r="E32" s="14" t="inlineStr">
        <is>
          <t>힌지 내구 시험</t>
        </is>
      </c>
      <c r="F32" s="15">
        <f>IFERROR(VLOOKUP(E32,'Reference Data 기준데이터'!$A$8:$F$30,2,FALSE),"")</f>
        <v/>
      </c>
      <c r="G32" s="15">
        <f>IFERROR(VLOOKUP(B32&amp;"_"&amp;C32,'Reference Data 기준데이터'!$A$33:$B$51,2,FALSE),"")</f>
        <v/>
      </c>
      <c r="H32" s="16">
        <f>IFERROR(VLOOKUP(B32,'Reference Data 기준데이터'!$A$2:$J$5,3,FALSE),"")</f>
        <v/>
      </c>
      <c r="I32" s="16">
        <f>IFERROR(H32+VLOOKUP(B32,'Reference Data 기준데이터'!$A$2:$J$5,7,FALSE),"")</f>
        <v/>
      </c>
      <c r="J32" s="20" t="n">
        <v>46095</v>
      </c>
      <c r="K32" s="13" t="inlineStr">
        <is>
          <t>Approved</t>
        </is>
      </c>
      <c r="L32" s="16">
        <f>IFERROR(H32+VLOOKUP(B32,'Reference Data 기준데이터'!$A$2:$J$5,8,FALSE),"")</f>
        <v/>
      </c>
      <c r="M32" s="20" t="n">
        <v>46131</v>
      </c>
      <c r="N32" s="16">
        <f>IFERROR(IF(ISNUMBER(SEARCH("Vehicle",F32)),MAX(H32+VLOOKUP(B32,'Reference Data 기준데이터'!$A$2:$J$5,9,FALSE),VLOOKUP(B32,'Reference Data 기준데이터'!$A$2:$J$5,4,FALSE)),H32+VLOOKUP(B32,'Reference Data 기준데이터'!$A$2:$J$5,9,FALSE)),"")</f>
        <v/>
      </c>
      <c r="O32" s="13" t="n"/>
      <c r="P32" s="16">
        <f>IFERROR(N32+VLOOKUP(E32,'Reference Data 기준데이터'!$A$8:$F$30,4,FALSE),"")</f>
        <v/>
      </c>
      <c r="Q32" s="13" t="n"/>
      <c r="R32" s="16">
        <f>IFERROR(MIN(H32+VLOOKUP(B32,'Reference Data 기준데이터'!$A$2:$J$5,10,FALSE),VLOOKUP(B32,'Reference Data 기준데이터'!$A$2:$J$5,6,FALSE)),"")</f>
        <v/>
      </c>
      <c r="S32" s="13" t="n"/>
      <c r="T32" s="13" t="n"/>
      <c r="U32" s="17">
        <f>IF(T32&lt;&gt;"",T32,IF(AND(S32&lt;&gt;"",Q32&lt;&gt;""),"11-결과등록완료",IF(AND(Q32&lt;&gt;"",S32=""),"10-시험완료",IF(AND(O32&lt;&gt;"",Q32=""),"09-시험준비중",IF(AND(M32&lt;&gt;"",O32=""),"08-단품준비완료",IF(K32="Approved","05-계획서승인",IF(K32="Revision Needed","04-검토중_조건불만족",IF(K32="Under Review","03-검토중_조건충족",IF(AND(J32&lt;&gt;"",K32=""),"02-계획서제출_미검토","01-계획서미제출")))))))))</f>
        <v/>
      </c>
      <c r="V32" s="18">
        <f>IFS(U32="01-계획서미제출",0,U32="02-계획서제출_미검토",0.05,U32="03-검토중_조건충족",0.1,U32="04-검토중_조건불만족",0.05,U32="05-계획서승인",0.2,U32="06-BIW생산중단",0.15,U32="07-생산완료_미인수",0.3,U32="08-단품준비완료",0.4,U32="09-시험준비중",0.55,U32="10-시험완료",0.85,U32="11-결과등록완료",1,U32="12-조건부승인검토",0.9,TRUE,0)</f>
        <v/>
      </c>
      <c r="W32" s="5">
        <f>IF(S32&lt;&gt;"","-",IF(R32="","N/A",R32-TODAY()))</f>
        <v/>
      </c>
      <c r="X32" s="17">
        <f>IF(U32="11-결과등록완료","DONE",IF(OR(U32="06-BIW생산중단",AND(U32="01-계획서미제출",I32&lt;TODAY())),"CRITICAL",IF(OR(U32="04-검토중_조건불만족",U32="07-생산완료_미인수",U32="12-조건부승인검토"),"ACTION",IF(AND(ISNUMBER(W32),W32&lt;=0),"OVERDUE",IF(AND(ISNUMBER(W32),W32&lt;=14),"WARNING","ON TRACK")))))</f>
        <v/>
      </c>
      <c r="Y32" s="19">
        <f>IF(U32="11-결과등록완료","— 완료",IF(U32="01-계획서미제출",IF(I32&lt;TODAY(),"계획서 제출 독촉 (OVERDUE)","계획서 제출 대기"),IF(U32="02-계획서제출_미검토","설계자: 계획서 검토 착수",IF(U32="03-검토중_조건충족","설계자: 승인 처리",IF(U32="04-검토중_조건불만족","보완 요청 → 협력사 재제출 독촉",IF(U32="05-계획서승인","시험편 준비 현황 확인",IF(U32="06-BIW생산중단","BIW 생산팀 확인 → 일정 재수립",IF(U32="07-생산완료_미인수","협력사 인수 독촉",IF(U32="08-단품준비완료","시험 일정 확인",IF(U32="09-시험준비중","시험 진행 모니터링",IF(U32="10-시험완료","결과 보고서 전산 등록 독촉",IF(U32="12-조건부승인검토","조건부 승인 여부 판단 → 관련부서 협의","—"))))))))))))</f>
        <v/>
      </c>
    </row>
    <row r="33">
      <c r="A33" s="5" t="n">
        <v>29</v>
      </c>
      <c r="B33" s="13" t="inlineStr">
        <is>
          <t>SU2i</t>
        </is>
      </c>
      <c r="C33" s="14" t="inlineStr">
        <is>
          <t>Console Lid Assy</t>
        </is>
      </c>
      <c r="D33" s="15">
        <f>IFERROR(VLOOKUP(C33,'Reference Data 기준데이터'!$E$8:$F$30,2,FALSE),"")</f>
        <v/>
      </c>
      <c r="E33" s="14" t="inlineStr">
        <is>
          <t>외관 검사</t>
        </is>
      </c>
      <c r="F33" s="15">
        <f>IFERROR(VLOOKUP(E33,'Reference Data 기준데이터'!$A$8:$F$30,2,FALSE),"")</f>
        <v/>
      </c>
      <c r="G33" s="15">
        <f>IFERROR(VLOOKUP(B33&amp;"_"&amp;C33,'Reference Data 기준데이터'!$A$33:$B$51,2,FALSE),"")</f>
        <v/>
      </c>
      <c r="H33" s="16">
        <f>IFERROR(VLOOKUP(B33,'Reference Data 기준데이터'!$A$2:$J$5,3,FALSE),"")</f>
        <v/>
      </c>
      <c r="I33" s="16">
        <f>IFERROR(H33+VLOOKUP(B33,'Reference Data 기준데이터'!$A$2:$J$5,7,FALSE),"")</f>
        <v/>
      </c>
      <c r="J33" s="20" t="n">
        <v>46096</v>
      </c>
      <c r="K33" s="13" t="inlineStr">
        <is>
          <t>Approved</t>
        </is>
      </c>
      <c r="L33" s="16">
        <f>IFERROR(H33+VLOOKUP(B33,'Reference Data 기준데이터'!$A$2:$J$5,8,FALSE),"")</f>
        <v/>
      </c>
      <c r="M33" s="20" t="n">
        <v>46132</v>
      </c>
      <c r="N33" s="16">
        <f>IFERROR(IF(ISNUMBER(SEARCH("Vehicle",F33)),MAX(H33+VLOOKUP(B33,'Reference Data 기준데이터'!$A$2:$J$5,9,FALSE),VLOOKUP(B33,'Reference Data 기준데이터'!$A$2:$J$5,4,FALSE)),H33+VLOOKUP(B33,'Reference Data 기준데이터'!$A$2:$J$5,9,FALSE)),"")</f>
        <v/>
      </c>
      <c r="O33" s="20" t="n">
        <v>46149</v>
      </c>
      <c r="P33" s="16">
        <f>IFERROR(N33+VLOOKUP(E33,'Reference Data 기준데이터'!$A$8:$F$30,4,FALSE),"")</f>
        <v/>
      </c>
      <c r="Q33" s="20" t="n">
        <v>46168</v>
      </c>
      <c r="R33" s="16">
        <f>IFERROR(MIN(H33+VLOOKUP(B33,'Reference Data 기준데이터'!$A$2:$J$5,10,FALSE),VLOOKUP(B33,'Reference Data 기준데이터'!$A$2:$J$5,6,FALSE)),"")</f>
        <v/>
      </c>
      <c r="S33" s="20" t="n">
        <v>46176</v>
      </c>
      <c r="T33" s="13" t="n"/>
      <c r="U33" s="17">
        <f>IF(T33&lt;&gt;"",T33,IF(AND(S33&lt;&gt;"",Q33&lt;&gt;""),"11-결과등록완료",IF(AND(Q33&lt;&gt;"",S33=""),"10-시험완료",IF(AND(O33&lt;&gt;"",Q33=""),"09-시험준비중",IF(AND(M33&lt;&gt;"",O33=""),"08-단품준비완료",IF(K33="Approved","05-계획서승인",IF(K33="Revision Needed","04-검토중_조건불만족",IF(K33="Under Review","03-검토중_조건충족",IF(AND(J33&lt;&gt;"",K33=""),"02-계획서제출_미검토","01-계획서미제출")))))))))</f>
        <v/>
      </c>
      <c r="V33" s="18">
        <f>IFS(U33="01-계획서미제출",0,U33="02-계획서제출_미검토",0.05,U33="03-검토중_조건충족",0.1,U33="04-검토중_조건불만족",0.05,U33="05-계획서승인",0.2,U33="06-BIW생산중단",0.15,U33="07-생산완료_미인수",0.3,U33="08-단품준비완료",0.4,U33="09-시험준비중",0.55,U33="10-시험완료",0.85,U33="11-결과등록완료",1,U33="12-조건부승인검토",0.9,TRUE,0)</f>
        <v/>
      </c>
      <c r="W33" s="5">
        <f>IF(S33&lt;&gt;"","-",IF(R33="","N/A",R33-TODAY()))</f>
        <v/>
      </c>
      <c r="X33" s="17">
        <f>IF(U33="11-결과등록완료","DONE",IF(OR(U33="06-BIW생산중단",AND(U33="01-계획서미제출",I33&lt;TODAY())),"CRITICAL",IF(OR(U33="04-검토중_조건불만족",U33="07-생산완료_미인수",U33="12-조건부승인검토"),"ACTION",IF(AND(ISNUMBER(W33),W33&lt;=0),"OVERDUE",IF(AND(ISNUMBER(W33),W33&lt;=14),"WARNING","ON TRACK")))))</f>
        <v/>
      </c>
      <c r="Y33" s="19">
        <f>IF(U33="11-결과등록완료","— 완료",IF(U33="01-계획서미제출",IF(I33&lt;TODAY(),"계획서 제출 독촉 (OVERDUE)","계획서 제출 대기"),IF(U33="02-계획서제출_미검토","설계자: 계획서 검토 착수",IF(U33="03-검토중_조건충족","설계자: 승인 처리",IF(U33="04-검토중_조건불만족","보완 요청 → 협력사 재제출 독촉",IF(U33="05-계획서승인","시험편 준비 현황 확인",IF(U33="06-BIW생산중단","BIW 생산팀 확인 → 일정 재수립",IF(U33="07-생산완료_미인수","협력사 인수 독촉",IF(U33="08-단품준비완료","시험 일정 확인",IF(U33="09-시험준비중","시험 진행 모니터링",IF(U33="10-시험완료","결과 보고서 전산 등록 독촉",IF(U33="12-조건부승인검토","조건부 승인 여부 판단 → 관련부서 협의","—"))))))))))))</f>
        <v/>
      </c>
    </row>
    <row r="34">
      <c r="A34" s="5" t="n">
        <v>30</v>
      </c>
      <c r="B34" s="13" t="inlineStr">
        <is>
          <t>SU2i</t>
        </is>
      </c>
      <c r="C34" s="14" t="inlineStr">
        <is>
          <t>Door Trim LH</t>
        </is>
      </c>
      <c r="D34" s="15">
        <f>IFERROR(VLOOKUP(C34,'Reference Data 기준데이터'!$E$8:$F$30,2,FALSE),"")</f>
        <v/>
      </c>
      <c r="E34" s="14" t="inlineStr">
        <is>
          <t>VOC 방출 시험</t>
        </is>
      </c>
      <c r="F34" s="15">
        <f>IFERROR(VLOOKUP(E34,'Reference Data 기준데이터'!$A$8:$F$30,2,FALSE),"")</f>
        <v/>
      </c>
      <c r="G34" s="15">
        <f>IFERROR(VLOOKUP(B34&amp;"_"&amp;C34,'Reference Data 기준데이터'!$A$33:$B$51,2,FALSE),"")</f>
        <v/>
      </c>
      <c r="H34" s="16">
        <f>IFERROR(VLOOKUP(B34,'Reference Data 기준데이터'!$A$2:$J$5,3,FALSE),"")</f>
        <v/>
      </c>
      <c r="I34" s="16">
        <f>IFERROR(H34+VLOOKUP(B34,'Reference Data 기준데이터'!$A$2:$J$5,7,FALSE),"")</f>
        <v/>
      </c>
      <c r="J34" s="20" t="n">
        <v>46092</v>
      </c>
      <c r="K34" s="13" t="inlineStr">
        <is>
          <t>Under Review</t>
        </is>
      </c>
      <c r="L34" s="16">
        <f>IFERROR(H34+VLOOKUP(B34,'Reference Data 기준데이터'!$A$2:$J$5,8,FALSE),"")</f>
        <v/>
      </c>
      <c r="M34" s="13" t="n"/>
      <c r="N34" s="16">
        <f>IFERROR(IF(ISNUMBER(SEARCH("Vehicle",F34)),MAX(H34+VLOOKUP(B34,'Reference Data 기준데이터'!$A$2:$J$5,9,FALSE),VLOOKUP(B34,'Reference Data 기준데이터'!$A$2:$J$5,4,FALSE)),H34+VLOOKUP(B34,'Reference Data 기준데이터'!$A$2:$J$5,9,FALSE)),"")</f>
        <v/>
      </c>
      <c r="O34" s="13" t="n"/>
      <c r="P34" s="16">
        <f>IFERROR(N34+VLOOKUP(E34,'Reference Data 기준데이터'!$A$8:$F$30,4,FALSE),"")</f>
        <v/>
      </c>
      <c r="Q34" s="13" t="n"/>
      <c r="R34" s="16">
        <f>IFERROR(MIN(H34+VLOOKUP(B34,'Reference Data 기준데이터'!$A$2:$J$5,10,FALSE),VLOOKUP(B34,'Reference Data 기준데이터'!$A$2:$J$5,6,FALSE)),"")</f>
        <v/>
      </c>
      <c r="S34" s="13" t="n"/>
      <c r="T34" s="13" t="n"/>
      <c r="U34" s="17">
        <f>IF(T34&lt;&gt;"",T34,IF(AND(S34&lt;&gt;"",Q34&lt;&gt;""),"11-결과등록완료",IF(AND(Q34&lt;&gt;"",S34=""),"10-시험완료",IF(AND(O34&lt;&gt;"",Q34=""),"09-시험준비중",IF(AND(M34&lt;&gt;"",O34=""),"08-단품준비완료",IF(K34="Approved","05-계획서승인",IF(K34="Revision Needed","04-검토중_조건불만족",IF(K34="Under Review","03-검토중_조건충족",IF(AND(J34&lt;&gt;"",K34=""),"02-계획서제출_미검토","01-계획서미제출")))))))))</f>
        <v/>
      </c>
      <c r="V34" s="18">
        <f>IFS(U34="01-계획서미제출",0,U34="02-계획서제출_미검토",0.05,U34="03-검토중_조건충족",0.1,U34="04-검토중_조건불만족",0.05,U34="05-계획서승인",0.2,U34="06-BIW생산중단",0.15,U34="07-생산완료_미인수",0.3,U34="08-단품준비완료",0.4,U34="09-시험준비중",0.55,U34="10-시험완료",0.85,U34="11-결과등록완료",1,U34="12-조건부승인검토",0.9,TRUE,0)</f>
        <v/>
      </c>
      <c r="W34" s="5">
        <f>IF(S34&lt;&gt;"","-",IF(R34="","N/A",R34-TODAY()))</f>
        <v/>
      </c>
      <c r="X34" s="17">
        <f>IF(U34="11-결과등록완료","DONE",IF(OR(U34="06-BIW생산중단",AND(U34="01-계획서미제출",I34&lt;TODAY())),"CRITICAL",IF(OR(U34="04-검토중_조건불만족",U34="07-생산완료_미인수",U34="12-조건부승인검토"),"ACTION",IF(AND(ISNUMBER(W34),W34&lt;=0),"OVERDUE",IF(AND(ISNUMBER(W34),W34&lt;=14),"WARNING","ON TRACK")))))</f>
        <v/>
      </c>
      <c r="Y34" s="19">
        <f>IF(U34="11-결과등록완료","— 완료",IF(U34="01-계획서미제출",IF(I34&lt;TODAY(),"계획서 제출 독촉 (OVERDUE)","계획서 제출 대기"),IF(U34="02-계획서제출_미검토","설계자: 계획서 검토 착수",IF(U34="03-검토중_조건충족","설계자: 승인 처리",IF(U34="04-검토중_조건불만족","보완 요청 → 협력사 재제출 독촉",IF(U34="05-계획서승인","시험편 준비 현황 확인",IF(U34="06-BIW생산중단","BIW 생산팀 확인 → 일정 재수립",IF(U34="07-생산완료_미인수","협력사 인수 독촉",IF(U34="08-단품준비완료","시험 일정 확인",IF(U34="09-시험준비중","시험 진행 모니터링",IF(U34="10-시험완료","결과 보고서 전산 등록 독촉",IF(U34="12-조건부승인검토","조건부 승인 여부 판단 → 관련부서 협의","—"))))))))))))</f>
        <v/>
      </c>
    </row>
    <row r="35">
      <c r="A35" s="5" t="n">
        <v>31</v>
      </c>
      <c r="B35" s="13" t="inlineStr">
        <is>
          <t>SU2i</t>
        </is>
      </c>
      <c r="C35" s="14" t="inlineStr">
        <is>
          <t>Door Trim LH</t>
        </is>
      </c>
      <c r="D35" s="15">
        <f>IFERROR(VLOOKUP(C35,'Reference Data 기준데이터'!$E$8:$F$30,2,FALSE),"")</f>
        <v/>
      </c>
      <c r="E35" s="14" t="inlineStr">
        <is>
          <t>내후성 시험</t>
        </is>
      </c>
      <c r="F35" s="15">
        <f>IFERROR(VLOOKUP(E35,'Reference Data 기준데이터'!$A$8:$F$30,2,FALSE),"")</f>
        <v/>
      </c>
      <c r="G35" s="15">
        <f>IFERROR(VLOOKUP(B35&amp;"_"&amp;C35,'Reference Data 기준데이터'!$A$33:$B$51,2,FALSE),"")</f>
        <v/>
      </c>
      <c r="H35" s="16">
        <f>IFERROR(VLOOKUP(B35,'Reference Data 기준데이터'!$A$2:$J$5,3,FALSE),"")</f>
        <v/>
      </c>
      <c r="I35" s="16">
        <f>IFERROR(H35+VLOOKUP(B35,'Reference Data 기준데이터'!$A$2:$J$5,7,FALSE),"")</f>
        <v/>
      </c>
      <c r="J35" s="20" t="n">
        <v>46093</v>
      </c>
      <c r="K35" s="13" t="inlineStr">
        <is>
          <t>Approved</t>
        </is>
      </c>
      <c r="L35" s="16">
        <f>IFERROR(H35+VLOOKUP(B35,'Reference Data 기준데이터'!$A$2:$J$5,8,FALSE),"")</f>
        <v/>
      </c>
      <c r="M35" s="20" t="n">
        <v>46134</v>
      </c>
      <c r="N35" s="16">
        <f>IFERROR(IF(ISNUMBER(SEARCH("Vehicle",F35)),MAX(H35+VLOOKUP(B35,'Reference Data 기준데이터'!$A$2:$J$5,9,FALSE),VLOOKUP(B35,'Reference Data 기준데이터'!$A$2:$J$5,4,FALSE)),H35+VLOOKUP(B35,'Reference Data 기준데이터'!$A$2:$J$5,9,FALSE)),"")</f>
        <v/>
      </c>
      <c r="O35" s="20" t="n">
        <v>46145</v>
      </c>
      <c r="P35" s="16">
        <f>IFERROR(N35+VLOOKUP(E35,'Reference Data 기준데이터'!$A$8:$F$30,4,FALSE),"")</f>
        <v/>
      </c>
      <c r="Q35" s="20" t="n">
        <v>46170</v>
      </c>
      <c r="R35" s="16">
        <f>IFERROR(MIN(H35+VLOOKUP(B35,'Reference Data 기준데이터'!$A$2:$J$5,10,FALSE),VLOOKUP(B35,'Reference Data 기준데이터'!$A$2:$J$5,6,FALSE)),"")</f>
        <v/>
      </c>
      <c r="S35" s="13" t="n"/>
      <c r="T35" s="13" t="n"/>
      <c r="U35" s="17">
        <f>IF(T35&lt;&gt;"",T35,IF(AND(S35&lt;&gt;"",Q35&lt;&gt;""),"11-결과등록완료",IF(AND(Q35&lt;&gt;"",S35=""),"10-시험완료",IF(AND(O35&lt;&gt;"",Q35=""),"09-시험준비중",IF(AND(M35&lt;&gt;"",O35=""),"08-단품준비완료",IF(K35="Approved","05-계획서승인",IF(K35="Revision Needed","04-검토중_조건불만족",IF(K35="Under Review","03-검토중_조건충족",IF(AND(J35&lt;&gt;"",K35=""),"02-계획서제출_미검토","01-계획서미제출")))))))))</f>
        <v/>
      </c>
      <c r="V35" s="18">
        <f>IFS(U35="01-계획서미제출",0,U35="02-계획서제출_미검토",0.05,U35="03-검토중_조건충족",0.1,U35="04-검토중_조건불만족",0.05,U35="05-계획서승인",0.2,U35="06-BIW생산중단",0.15,U35="07-생산완료_미인수",0.3,U35="08-단품준비완료",0.4,U35="09-시험준비중",0.55,U35="10-시험완료",0.85,U35="11-결과등록완료",1,U35="12-조건부승인검토",0.9,TRUE,0)</f>
        <v/>
      </c>
      <c r="W35" s="5">
        <f>IF(S35&lt;&gt;"","-",IF(R35="","N/A",R35-TODAY()))</f>
        <v/>
      </c>
      <c r="X35" s="17">
        <f>IF(U35="11-결과등록완료","DONE",IF(OR(U35="06-BIW생산중단",AND(U35="01-계획서미제출",I35&lt;TODAY())),"CRITICAL",IF(OR(U35="04-검토중_조건불만족",U35="07-생산완료_미인수",U35="12-조건부승인검토"),"ACTION",IF(AND(ISNUMBER(W35),W35&lt;=0),"OVERDUE",IF(AND(ISNUMBER(W35),W35&lt;=14),"WARNING","ON TRACK")))))</f>
        <v/>
      </c>
      <c r="Y35" s="19">
        <f>IF(U35="11-결과등록완료","— 완료",IF(U35="01-계획서미제출",IF(I35&lt;TODAY(),"계획서 제출 독촉 (OVERDUE)","계획서 제출 대기"),IF(U35="02-계획서제출_미검토","설계자: 계획서 검토 착수",IF(U35="03-검토중_조건충족","설계자: 승인 처리",IF(U35="04-검토중_조건불만족","보완 요청 → 협력사 재제출 독촉",IF(U35="05-계획서승인","시험편 준비 현황 확인",IF(U35="06-BIW생산중단","BIW 생산팀 확인 → 일정 재수립",IF(U35="07-생산완료_미인수","협력사 인수 독촉",IF(U35="08-단품준비완료","시험 일정 확인",IF(U35="09-시험준비중","시험 진행 모니터링",IF(U35="10-시험완료","결과 보고서 전산 등록 독촉",IF(U35="12-조건부승인검토","조건부 승인 여부 판단 → 관련부서 협의","—"))))))))))))</f>
        <v/>
      </c>
    </row>
    <row r="36">
      <c r="A36" s="5" t="n">
        <v>32</v>
      </c>
      <c r="B36" s="13" t="inlineStr">
        <is>
          <t>SU2i</t>
        </is>
      </c>
      <c r="C36" s="14" t="inlineStr">
        <is>
          <t>Door Trim LH</t>
        </is>
      </c>
      <c r="D36" s="15">
        <f>IFERROR(VLOOKUP(C36,'Reference Data 기준데이터'!$E$8:$F$30,2,FALSE),"")</f>
        <v/>
      </c>
      <c r="E36" s="14" t="inlineStr">
        <is>
          <t>연소성 시험</t>
        </is>
      </c>
      <c r="F36" s="15">
        <f>IFERROR(VLOOKUP(E36,'Reference Data 기준데이터'!$A$8:$F$30,2,FALSE),"")</f>
        <v/>
      </c>
      <c r="G36" s="15">
        <f>IFERROR(VLOOKUP(B36&amp;"_"&amp;C36,'Reference Data 기준데이터'!$A$33:$B$51,2,FALSE),"")</f>
        <v/>
      </c>
      <c r="H36" s="16">
        <f>IFERROR(VLOOKUP(B36,'Reference Data 기준데이터'!$A$2:$J$5,3,FALSE),"")</f>
        <v/>
      </c>
      <c r="I36" s="16">
        <f>IFERROR(H36+VLOOKUP(B36,'Reference Data 기준데이터'!$A$2:$J$5,7,FALSE),"")</f>
        <v/>
      </c>
      <c r="J36" s="20" t="n">
        <v>46094</v>
      </c>
      <c r="K36" s="13" t="inlineStr">
        <is>
          <t>Approved</t>
        </is>
      </c>
      <c r="L36" s="16">
        <f>IFERROR(H36+VLOOKUP(B36,'Reference Data 기준데이터'!$A$2:$J$5,8,FALSE),"")</f>
        <v/>
      </c>
      <c r="M36" s="13" t="n"/>
      <c r="N36" s="16">
        <f>IFERROR(IF(ISNUMBER(SEARCH("Vehicle",F36)),MAX(H36+VLOOKUP(B36,'Reference Data 기준데이터'!$A$2:$J$5,9,FALSE),VLOOKUP(B36,'Reference Data 기준데이터'!$A$2:$J$5,4,FALSE)),H36+VLOOKUP(B36,'Reference Data 기준데이터'!$A$2:$J$5,9,FALSE)),"")</f>
        <v/>
      </c>
      <c r="O36" s="13" t="n"/>
      <c r="P36" s="16">
        <f>IFERROR(N36+VLOOKUP(E36,'Reference Data 기준데이터'!$A$8:$F$30,4,FALSE),"")</f>
        <v/>
      </c>
      <c r="Q36" s="13" t="n"/>
      <c r="R36" s="16">
        <f>IFERROR(MIN(H36+VLOOKUP(B36,'Reference Data 기준데이터'!$A$2:$J$5,10,FALSE),VLOOKUP(B36,'Reference Data 기준데이터'!$A$2:$J$5,6,FALSE)),"")</f>
        <v/>
      </c>
      <c r="S36" s="13" t="n"/>
      <c r="T36" s="13" t="inlineStr">
        <is>
          <t>06-BIW생산중단</t>
        </is>
      </c>
      <c r="U36" s="17">
        <f>IF(T36&lt;&gt;"",T36,IF(AND(S36&lt;&gt;"",Q36&lt;&gt;""),"11-결과등록완료",IF(AND(Q36&lt;&gt;"",S36=""),"10-시험완료",IF(AND(O36&lt;&gt;"",Q36=""),"09-시험준비중",IF(AND(M36&lt;&gt;"",O36=""),"08-단품준비완료",IF(K36="Approved","05-계획서승인",IF(K36="Revision Needed","04-검토중_조건불만족",IF(K36="Under Review","03-검토중_조건충족",IF(AND(J36&lt;&gt;"",K36=""),"02-계획서제출_미검토","01-계획서미제출")))))))))</f>
        <v/>
      </c>
      <c r="V36" s="18">
        <f>IFS(U36="01-계획서미제출",0,U36="02-계획서제출_미검토",0.05,U36="03-검토중_조건충족",0.1,U36="04-검토중_조건불만족",0.05,U36="05-계획서승인",0.2,U36="06-BIW생산중단",0.15,U36="07-생산완료_미인수",0.3,U36="08-단품준비완료",0.4,U36="09-시험준비중",0.55,U36="10-시험완료",0.85,U36="11-결과등록완료",1,U36="12-조건부승인검토",0.9,TRUE,0)</f>
        <v/>
      </c>
      <c r="W36" s="5">
        <f>IF(S36&lt;&gt;"","-",IF(R36="","N/A",R36-TODAY()))</f>
        <v/>
      </c>
      <c r="X36" s="17">
        <f>IF(U36="11-결과등록완료","DONE",IF(OR(U36="06-BIW생산중단",AND(U36="01-계획서미제출",I36&lt;TODAY())),"CRITICAL",IF(OR(U36="04-검토중_조건불만족",U36="07-생산완료_미인수",U36="12-조건부승인검토"),"ACTION",IF(AND(ISNUMBER(W36),W36&lt;=0),"OVERDUE",IF(AND(ISNUMBER(W36),W36&lt;=14),"WARNING","ON TRACK")))))</f>
        <v/>
      </c>
      <c r="Y36" s="19">
        <f>IF(U36="11-결과등록완료","— 완료",IF(U36="01-계획서미제출",IF(I36&lt;TODAY(),"계획서 제출 독촉 (OVERDUE)","계획서 제출 대기"),IF(U36="02-계획서제출_미검토","설계자: 계획서 검토 착수",IF(U36="03-검토중_조건충족","설계자: 승인 처리",IF(U36="04-검토중_조건불만족","보완 요청 → 협력사 재제출 독촉",IF(U36="05-계획서승인","시험편 준비 현황 확인",IF(U36="06-BIW생산중단","BIW 생산팀 확인 → 일정 재수립",IF(U36="07-생산완료_미인수","협력사 인수 독촉",IF(U36="08-단품준비완료","시험 일정 확인",IF(U36="09-시험준비중","시험 진행 모니터링",IF(U36="10-시험완료","결과 보고서 전산 등록 독촉",IF(U36="12-조건부승인검토","조건부 승인 여부 판단 → 관련부서 협의","—"))))))))))))</f>
        <v/>
      </c>
    </row>
    <row r="37">
      <c r="A37" s="5" t="n">
        <v>33</v>
      </c>
      <c r="B37" s="13" t="inlineStr">
        <is>
          <t>SU2i</t>
        </is>
      </c>
      <c r="C37" s="14" t="inlineStr">
        <is>
          <t>Door Trim LH</t>
        </is>
      </c>
      <c r="D37" s="15">
        <f>IFERROR(VLOOKUP(C37,'Reference Data 기준데이터'!$E$8:$F$30,2,FALSE),"")</f>
        <v/>
      </c>
      <c r="E37" s="14" t="inlineStr">
        <is>
          <t>외관 검사</t>
        </is>
      </c>
      <c r="F37" s="15">
        <f>IFERROR(VLOOKUP(E37,'Reference Data 기준데이터'!$A$8:$F$30,2,FALSE),"")</f>
        <v/>
      </c>
      <c r="G37" s="15">
        <f>IFERROR(VLOOKUP(B37&amp;"_"&amp;C37,'Reference Data 기준데이터'!$A$33:$B$51,2,FALSE),"")</f>
        <v/>
      </c>
      <c r="H37" s="16">
        <f>IFERROR(VLOOKUP(B37,'Reference Data 기준데이터'!$A$2:$J$5,3,FALSE),"")</f>
        <v/>
      </c>
      <c r="I37" s="16">
        <f>IFERROR(H37+VLOOKUP(B37,'Reference Data 기준데이터'!$A$2:$J$5,7,FALSE),"")</f>
        <v/>
      </c>
      <c r="J37" s="20" t="n">
        <v>46095</v>
      </c>
      <c r="K37" s="13" t="inlineStr">
        <is>
          <t>Approved</t>
        </is>
      </c>
      <c r="L37" s="16">
        <f>IFERROR(H37+VLOOKUP(B37,'Reference Data 기준데이터'!$A$2:$J$5,8,FALSE),"")</f>
        <v/>
      </c>
      <c r="M37" s="20" t="n">
        <v>46128</v>
      </c>
      <c r="N37" s="16">
        <f>IFERROR(IF(ISNUMBER(SEARCH("Vehicle",F37)),MAX(H37+VLOOKUP(B37,'Reference Data 기준데이터'!$A$2:$J$5,9,FALSE),VLOOKUP(B37,'Reference Data 기준데이터'!$A$2:$J$5,4,FALSE)),H37+VLOOKUP(B37,'Reference Data 기준데이터'!$A$2:$J$5,9,FALSE)),"")</f>
        <v/>
      </c>
      <c r="O37" s="20" t="n">
        <v>46147</v>
      </c>
      <c r="P37" s="16">
        <f>IFERROR(N37+VLOOKUP(E37,'Reference Data 기준데이터'!$A$8:$F$30,4,FALSE),"")</f>
        <v/>
      </c>
      <c r="Q37" s="20" t="n">
        <v>46172</v>
      </c>
      <c r="R37" s="16">
        <f>IFERROR(MIN(H37+VLOOKUP(B37,'Reference Data 기준데이터'!$A$2:$J$5,10,FALSE),VLOOKUP(B37,'Reference Data 기준데이터'!$A$2:$J$5,6,FALSE)),"")</f>
        <v/>
      </c>
      <c r="S37" s="20" t="n">
        <v>46176</v>
      </c>
      <c r="T37" s="13" t="n"/>
      <c r="U37" s="17">
        <f>IF(T37&lt;&gt;"",T37,IF(AND(S37&lt;&gt;"",Q37&lt;&gt;""),"11-결과등록완료",IF(AND(Q37&lt;&gt;"",S37=""),"10-시험완료",IF(AND(O37&lt;&gt;"",Q37=""),"09-시험준비중",IF(AND(M37&lt;&gt;"",O37=""),"08-단품준비완료",IF(K37="Approved","05-계획서승인",IF(K37="Revision Needed","04-검토중_조건불만족",IF(K37="Under Review","03-검토중_조건충족",IF(AND(J37&lt;&gt;"",K37=""),"02-계획서제출_미검토","01-계획서미제출")))))))))</f>
        <v/>
      </c>
      <c r="V37" s="18">
        <f>IFS(U37="01-계획서미제출",0,U37="02-계획서제출_미검토",0.05,U37="03-검토중_조건충족",0.1,U37="04-검토중_조건불만족",0.05,U37="05-계획서승인",0.2,U37="06-BIW생산중단",0.15,U37="07-생산완료_미인수",0.3,U37="08-단품준비완료",0.4,U37="09-시험준비중",0.55,U37="10-시험완료",0.85,U37="11-결과등록완료",1,U37="12-조건부승인검토",0.9,TRUE,0)</f>
        <v/>
      </c>
      <c r="W37" s="5">
        <f>IF(S37&lt;&gt;"","-",IF(R37="","N/A",R37-TODAY()))</f>
        <v/>
      </c>
      <c r="X37" s="17">
        <f>IF(U37="11-결과등록완료","DONE",IF(OR(U37="06-BIW생산중단",AND(U37="01-계획서미제출",I37&lt;TODAY())),"CRITICAL",IF(OR(U37="04-검토중_조건불만족",U37="07-생산완료_미인수",U37="12-조건부승인검토"),"ACTION",IF(AND(ISNUMBER(W37),W37&lt;=0),"OVERDUE",IF(AND(ISNUMBER(W37),W37&lt;=14),"WARNING","ON TRACK")))))</f>
        <v/>
      </c>
      <c r="Y37" s="19">
        <f>IF(U37="11-결과등록완료","— 완료",IF(U37="01-계획서미제출",IF(I37&lt;TODAY(),"계획서 제출 독촉 (OVERDUE)","계획서 제출 대기"),IF(U37="02-계획서제출_미검토","설계자: 계획서 검토 착수",IF(U37="03-검토중_조건충족","설계자: 승인 처리",IF(U37="04-검토중_조건불만족","보완 요청 → 협력사 재제출 독촉",IF(U37="05-계획서승인","시험편 준비 현황 확인",IF(U37="06-BIW생산중단","BIW 생산팀 확인 → 일정 재수립",IF(U37="07-생산완료_미인수","협력사 인수 독촉",IF(U37="08-단품준비완료","시험 일정 확인",IF(U37="09-시험준비중","시험 진행 모니터링",IF(U37="10-시험완료","결과 보고서 전산 등록 독촉",IF(U37="12-조건부승인검토","조건부 승인 여부 판단 → 관련부서 협의","—"))))))))))))</f>
        <v/>
      </c>
    </row>
    <row r="38">
      <c r="A38" s="5" t="n">
        <v>34</v>
      </c>
      <c r="B38" s="13" t="inlineStr">
        <is>
          <t>SU2i</t>
        </is>
      </c>
      <c r="C38" s="14" t="inlineStr">
        <is>
          <t>Pillar Trim C</t>
        </is>
      </c>
      <c r="D38" s="15">
        <f>IFERROR(VLOOKUP(C38,'Reference Data 기준데이터'!$E$8:$F$30,2,FALSE),"")</f>
        <v/>
      </c>
      <c r="E38" s="14" t="inlineStr">
        <is>
          <t>내후성 시험</t>
        </is>
      </c>
      <c r="F38" s="15">
        <f>IFERROR(VLOOKUP(E38,'Reference Data 기준데이터'!$A$8:$F$30,2,FALSE),"")</f>
        <v/>
      </c>
      <c r="G38" s="15">
        <f>IFERROR(VLOOKUP(B38&amp;"_"&amp;C38,'Reference Data 기준데이터'!$A$33:$B$51,2,FALSE),"")</f>
        <v/>
      </c>
      <c r="H38" s="16">
        <f>IFERROR(VLOOKUP(B38,'Reference Data 기준데이터'!$A$2:$J$5,3,FALSE),"")</f>
        <v/>
      </c>
      <c r="I38" s="16">
        <f>IFERROR(H38+VLOOKUP(B38,'Reference Data 기준데이터'!$A$2:$J$5,7,FALSE),"")</f>
        <v/>
      </c>
      <c r="J38" s="20" t="n">
        <v>46096</v>
      </c>
      <c r="K38" s="13" t="inlineStr">
        <is>
          <t>Revision Needed</t>
        </is>
      </c>
      <c r="L38" s="16">
        <f>IFERROR(H38+VLOOKUP(B38,'Reference Data 기준데이터'!$A$2:$J$5,8,FALSE),"")</f>
        <v/>
      </c>
      <c r="M38" s="13" t="n"/>
      <c r="N38" s="16">
        <f>IFERROR(IF(ISNUMBER(SEARCH("Vehicle",F38)),MAX(H38+VLOOKUP(B38,'Reference Data 기준데이터'!$A$2:$J$5,9,FALSE),VLOOKUP(B38,'Reference Data 기준데이터'!$A$2:$J$5,4,FALSE)),H38+VLOOKUP(B38,'Reference Data 기준데이터'!$A$2:$J$5,9,FALSE)),"")</f>
        <v/>
      </c>
      <c r="O38" s="13" t="n"/>
      <c r="P38" s="16">
        <f>IFERROR(N38+VLOOKUP(E38,'Reference Data 기준데이터'!$A$8:$F$30,4,FALSE),"")</f>
        <v/>
      </c>
      <c r="Q38" s="13" t="n"/>
      <c r="R38" s="16">
        <f>IFERROR(MIN(H38+VLOOKUP(B38,'Reference Data 기준데이터'!$A$2:$J$5,10,FALSE),VLOOKUP(B38,'Reference Data 기준데이터'!$A$2:$J$5,6,FALSE)),"")</f>
        <v/>
      </c>
      <c r="S38" s="13" t="n"/>
      <c r="T38" s="13" t="n"/>
      <c r="U38" s="17">
        <f>IF(T38&lt;&gt;"",T38,IF(AND(S38&lt;&gt;"",Q38&lt;&gt;""),"11-결과등록완료",IF(AND(Q38&lt;&gt;"",S38=""),"10-시험완료",IF(AND(O38&lt;&gt;"",Q38=""),"09-시험준비중",IF(AND(M38&lt;&gt;"",O38=""),"08-단품준비완료",IF(K38="Approved","05-계획서승인",IF(K38="Revision Needed","04-검토중_조건불만족",IF(K38="Under Review","03-검토중_조건충족",IF(AND(J38&lt;&gt;"",K38=""),"02-계획서제출_미검토","01-계획서미제출")))))))))</f>
        <v/>
      </c>
      <c r="V38" s="18">
        <f>IFS(U38="01-계획서미제출",0,U38="02-계획서제출_미검토",0.05,U38="03-검토중_조건충족",0.1,U38="04-검토중_조건불만족",0.05,U38="05-계획서승인",0.2,U38="06-BIW생산중단",0.15,U38="07-생산완료_미인수",0.3,U38="08-단품준비완료",0.4,U38="09-시험준비중",0.55,U38="10-시험완료",0.85,U38="11-결과등록완료",1,U38="12-조건부승인검토",0.9,TRUE,0)</f>
        <v/>
      </c>
      <c r="W38" s="5">
        <f>IF(S38&lt;&gt;"","-",IF(R38="","N/A",R38-TODAY()))</f>
        <v/>
      </c>
      <c r="X38" s="17">
        <f>IF(U38="11-결과등록완료","DONE",IF(OR(U38="06-BIW생산중단",AND(U38="01-계획서미제출",I38&lt;TODAY())),"CRITICAL",IF(OR(U38="04-검토중_조건불만족",U38="07-생산완료_미인수",U38="12-조건부승인검토"),"ACTION",IF(AND(ISNUMBER(W38),W38&lt;=0),"OVERDUE",IF(AND(ISNUMBER(W38),W38&lt;=14),"WARNING","ON TRACK")))))</f>
        <v/>
      </c>
      <c r="Y38" s="19">
        <f>IF(U38="11-결과등록완료","— 완료",IF(U38="01-계획서미제출",IF(I38&lt;TODAY(),"계획서 제출 독촉 (OVERDUE)","계획서 제출 대기"),IF(U38="02-계획서제출_미검토","설계자: 계획서 검토 착수",IF(U38="03-검토중_조건충족","설계자: 승인 처리",IF(U38="04-검토중_조건불만족","보완 요청 → 협력사 재제출 독촉",IF(U38="05-계획서승인","시험편 준비 현황 확인",IF(U38="06-BIW생산중단","BIW 생산팀 확인 → 일정 재수립",IF(U38="07-생산완료_미인수","협력사 인수 독촉",IF(U38="08-단품준비완료","시험 일정 확인",IF(U38="09-시험준비중","시험 진행 모니터링",IF(U38="10-시험완료","결과 보고서 전산 등록 독촉",IF(U38="12-조건부승인검토","조건부 승인 여부 판단 → 관련부서 협의","—"))))))))))))</f>
        <v/>
      </c>
    </row>
    <row r="39">
      <c r="A39" s="5" t="n">
        <v>35</v>
      </c>
      <c r="B39" s="13" t="inlineStr">
        <is>
          <t>SU2i</t>
        </is>
      </c>
      <c r="C39" s="14" t="inlineStr">
        <is>
          <t>Pillar Trim C</t>
        </is>
      </c>
      <c r="D39" s="15">
        <f>IFERROR(VLOOKUP(C39,'Reference Data 기준데이터'!$E$8:$F$30,2,FALSE),"")</f>
        <v/>
      </c>
      <c r="E39" s="14" t="inlineStr">
        <is>
          <t>연소성 시험</t>
        </is>
      </c>
      <c r="F39" s="15">
        <f>IFERROR(VLOOKUP(E39,'Reference Data 기준데이터'!$A$8:$F$30,2,FALSE),"")</f>
        <v/>
      </c>
      <c r="G39" s="15">
        <f>IFERROR(VLOOKUP(B39&amp;"_"&amp;C39,'Reference Data 기준데이터'!$A$33:$B$51,2,FALSE),"")</f>
        <v/>
      </c>
      <c r="H39" s="16">
        <f>IFERROR(VLOOKUP(B39,'Reference Data 기준데이터'!$A$2:$J$5,3,FALSE),"")</f>
        <v/>
      </c>
      <c r="I39" s="16">
        <f>IFERROR(H39+VLOOKUP(B39,'Reference Data 기준데이터'!$A$2:$J$5,7,FALSE),"")</f>
        <v/>
      </c>
      <c r="J39" s="20" t="n">
        <v>46092</v>
      </c>
      <c r="K39" s="13" t="inlineStr">
        <is>
          <t>Approved</t>
        </is>
      </c>
      <c r="L39" s="16">
        <f>IFERROR(H39+VLOOKUP(B39,'Reference Data 기준데이터'!$A$2:$J$5,8,FALSE),"")</f>
        <v/>
      </c>
      <c r="M39" s="20" t="n">
        <v>46130</v>
      </c>
      <c r="N39" s="16">
        <f>IFERROR(IF(ISNUMBER(SEARCH("Vehicle",F39)),MAX(H39+VLOOKUP(B39,'Reference Data 기준데이터'!$A$2:$J$5,9,FALSE),VLOOKUP(B39,'Reference Data 기준데이터'!$A$2:$J$5,4,FALSE)),H39+VLOOKUP(B39,'Reference Data 기준데이터'!$A$2:$J$5,9,FALSE)),"")</f>
        <v/>
      </c>
      <c r="O39" s="20" t="n">
        <v>46149</v>
      </c>
      <c r="P39" s="16">
        <f>IFERROR(N39+VLOOKUP(E39,'Reference Data 기준데이터'!$A$8:$F$30,4,FALSE),"")</f>
        <v/>
      </c>
      <c r="Q39" s="13" t="n"/>
      <c r="R39" s="16">
        <f>IFERROR(MIN(H39+VLOOKUP(B39,'Reference Data 기준데이터'!$A$2:$J$5,10,FALSE),VLOOKUP(B39,'Reference Data 기준데이터'!$A$2:$J$5,6,FALSE)),"")</f>
        <v/>
      </c>
      <c r="S39" s="13" t="n"/>
      <c r="T39" s="13" t="n"/>
      <c r="U39" s="17">
        <f>IF(T39&lt;&gt;"",T39,IF(AND(S39&lt;&gt;"",Q39&lt;&gt;""),"11-결과등록완료",IF(AND(Q39&lt;&gt;"",S39=""),"10-시험완료",IF(AND(O39&lt;&gt;"",Q39=""),"09-시험준비중",IF(AND(M39&lt;&gt;"",O39=""),"08-단품준비완료",IF(K39="Approved","05-계획서승인",IF(K39="Revision Needed","04-검토중_조건불만족",IF(K39="Under Review","03-검토중_조건충족",IF(AND(J39&lt;&gt;"",K39=""),"02-계획서제출_미검토","01-계획서미제출")))))))))</f>
        <v/>
      </c>
      <c r="V39" s="18">
        <f>IFS(U39="01-계획서미제출",0,U39="02-계획서제출_미검토",0.05,U39="03-검토중_조건충족",0.1,U39="04-검토중_조건불만족",0.05,U39="05-계획서승인",0.2,U39="06-BIW생산중단",0.15,U39="07-생산완료_미인수",0.3,U39="08-단품준비완료",0.4,U39="09-시험준비중",0.55,U39="10-시험완료",0.85,U39="11-결과등록완료",1,U39="12-조건부승인검토",0.9,TRUE,0)</f>
        <v/>
      </c>
      <c r="W39" s="5">
        <f>IF(S39&lt;&gt;"","-",IF(R39="","N/A",R39-TODAY()))</f>
        <v/>
      </c>
      <c r="X39" s="17">
        <f>IF(U39="11-결과등록완료","DONE",IF(OR(U39="06-BIW생산중단",AND(U39="01-계획서미제출",I39&lt;TODAY())),"CRITICAL",IF(OR(U39="04-검토중_조건불만족",U39="07-생산완료_미인수",U39="12-조건부승인검토"),"ACTION",IF(AND(ISNUMBER(W39),W39&lt;=0),"OVERDUE",IF(AND(ISNUMBER(W39),W39&lt;=14),"WARNING","ON TRACK")))))</f>
        <v/>
      </c>
      <c r="Y39" s="19">
        <f>IF(U39="11-결과등록완료","— 완료",IF(U39="01-계획서미제출",IF(I39&lt;TODAY(),"계획서 제출 독촉 (OVERDUE)","계획서 제출 대기"),IF(U39="02-계획서제출_미검토","설계자: 계획서 검토 착수",IF(U39="03-검토중_조건충족","설계자: 승인 처리",IF(U39="04-검토중_조건불만족","보완 요청 → 협력사 재제출 독촉",IF(U39="05-계획서승인","시험편 준비 현황 확인",IF(U39="06-BIW생산중단","BIW 생산팀 확인 → 일정 재수립",IF(U39="07-생산완료_미인수","협력사 인수 독촉",IF(U39="08-단품준비완료","시험 일정 확인",IF(U39="09-시험준비중","시험 진행 모니터링",IF(U39="10-시험완료","결과 보고서 전산 등록 독촉",IF(U39="12-조건부승인검토","조건부 승인 여부 판단 → 관련부서 협의","—"))))))))))))</f>
        <v/>
      </c>
    </row>
    <row r="40">
      <c r="A40" s="5" t="n">
        <v>36</v>
      </c>
      <c r="B40" s="13" t="inlineStr">
        <is>
          <t>SU2i</t>
        </is>
      </c>
      <c r="C40" s="14" t="inlineStr">
        <is>
          <t>Pillar Trim C</t>
        </is>
      </c>
      <c r="D40" s="15">
        <f>IFERROR(VLOOKUP(C40,'Reference Data 기준데이터'!$E$8:$F$30,2,FALSE),"")</f>
        <v/>
      </c>
      <c r="E40" s="14" t="inlineStr">
        <is>
          <t>치수 검사</t>
        </is>
      </c>
      <c r="F40" s="15">
        <f>IFERROR(VLOOKUP(E40,'Reference Data 기준데이터'!$A$8:$F$30,2,FALSE),"")</f>
        <v/>
      </c>
      <c r="G40" s="15">
        <f>IFERROR(VLOOKUP(B40&amp;"_"&amp;C40,'Reference Data 기준데이터'!$A$33:$B$51,2,FALSE),"")</f>
        <v/>
      </c>
      <c r="H40" s="16">
        <f>IFERROR(VLOOKUP(B40,'Reference Data 기준데이터'!$A$2:$J$5,3,FALSE),"")</f>
        <v/>
      </c>
      <c r="I40" s="16">
        <f>IFERROR(H40+VLOOKUP(B40,'Reference Data 기준데이터'!$A$2:$J$5,7,FALSE),"")</f>
        <v/>
      </c>
      <c r="J40" s="20" t="n">
        <v>46093</v>
      </c>
      <c r="K40" s="13" t="inlineStr">
        <is>
          <t>Approved</t>
        </is>
      </c>
      <c r="L40" s="16">
        <f>IFERROR(H40+VLOOKUP(B40,'Reference Data 기준데이터'!$A$2:$J$5,8,FALSE),"")</f>
        <v/>
      </c>
      <c r="M40" s="20" t="n">
        <v>46131</v>
      </c>
      <c r="N40" s="16">
        <f>IFERROR(IF(ISNUMBER(SEARCH("Vehicle",F40)),MAX(H40+VLOOKUP(B40,'Reference Data 기준데이터'!$A$2:$J$5,9,FALSE),VLOOKUP(B40,'Reference Data 기준데이터'!$A$2:$J$5,4,FALSE)),H40+VLOOKUP(B40,'Reference Data 기준데이터'!$A$2:$J$5,9,FALSE)),"")</f>
        <v/>
      </c>
      <c r="O40" s="20" t="n">
        <v>46144</v>
      </c>
      <c r="P40" s="16">
        <f>IFERROR(N40+VLOOKUP(E40,'Reference Data 기준데이터'!$A$8:$F$30,4,FALSE),"")</f>
        <v/>
      </c>
      <c r="Q40" s="20" t="n">
        <v>46168</v>
      </c>
      <c r="R40" s="16">
        <f>IFERROR(MIN(H40+VLOOKUP(B40,'Reference Data 기준데이터'!$A$2:$J$5,10,FALSE),VLOOKUP(B40,'Reference Data 기준데이터'!$A$2:$J$5,6,FALSE)),"")</f>
        <v/>
      </c>
      <c r="S40" s="20" t="n">
        <v>46175</v>
      </c>
      <c r="T40" s="13" t="n"/>
      <c r="U40" s="17">
        <f>IF(T40&lt;&gt;"",T40,IF(AND(S40&lt;&gt;"",Q40&lt;&gt;""),"11-결과등록완료",IF(AND(Q40&lt;&gt;"",S40=""),"10-시험완료",IF(AND(O40&lt;&gt;"",Q40=""),"09-시험준비중",IF(AND(M40&lt;&gt;"",O40=""),"08-단품준비완료",IF(K40="Approved","05-계획서승인",IF(K40="Revision Needed","04-검토중_조건불만족",IF(K40="Under Review","03-검토중_조건충족",IF(AND(J40&lt;&gt;"",K40=""),"02-계획서제출_미검토","01-계획서미제출")))))))))</f>
        <v/>
      </c>
      <c r="V40" s="18">
        <f>IFS(U40="01-계획서미제출",0,U40="02-계획서제출_미검토",0.05,U40="03-검토중_조건충족",0.1,U40="04-검토중_조건불만족",0.05,U40="05-계획서승인",0.2,U40="06-BIW생산중단",0.15,U40="07-생산완료_미인수",0.3,U40="08-단품준비완료",0.4,U40="09-시험준비중",0.55,U40="10-시험완료",0.85,U40="11-결과등록완료",1,U40="12-조건부승인검토",0.9,TRUE,0)</f>
        <v/>
      </c>
      <c r="W40" s="5">
        <f>IF(S40&lt;&gt;"","-",IF(R40="","N/A",R40-TODAY()))</f>
        <v/>
      </c>
      <c r="X40" s="17">
        <f>IF(U40="11-결과등록완료","DONE",IF(OR(U40="06-BIW생산중단",AND(U40="01-계획서미제출",I40&lt;TODAY())),"CRITICAL",IF(OR(U40="04-검토중_조건불만족",U40="07-생산완료_미인수",U40="12-조건부승인검토"),"ACTION",IF(AND(ISNUMBER(W40),W40&lt;=0),"OVERDUE",IF(AND(ISNUMBER(W40),W40&lt;=14),"WARNING","ON TRACK")))))</f>
        <v/>
      </c>
      <c r="Y40" s="19">
        <f>IF(U40="11-결과등록완료","— 완료",IF(U40="01-계획서미제출",IF(I40&lt;TODAY(),"계획서 제출 독촉 (OVERDUE)","계획서 제출 대기"),IF(U40="02-계획서제출_미검토","설계자: 계획서 검토 착수",IF(U40="03-검토중_조건충족","설계자: 승인 처리",IF(U40="04-검토중_조건불만족","보완 요청 → 협력사 재제출 독촉",IF(U40="05-계획서승인","시험편 준비 현황 확인",IF(U40="06-BIW생산중단","BIW 생산팀 확인 → 일정 재수립",IF(U40="07-생산완료_미인수","협력사 인수 독촉",IF(U40="08-단품준비완료","시험 일정 확인",IF(U40="09-시험준비중","시험 진행 모니터링",IF(U40="10-시험완료","결과 보고서 전산 등록 독촉",IF(U40="12-조건부승인검토","조건부 승인 여부 판단 → 관련부서 협의","—"))))))))))))</f>
        <v/>
      </c>
    </row>
    <row r="41">
      <c r="A41" s="5" t="n">
        <v>37</v>
      </c>
      <c r="B41" s="13" t="inlineStr">
        <is>
          <t>SU2i</t>
        </is>
      </c>
      <c r="C41" s="14" t="inlineStr">
        <is>
          <t>Front Seat Assy LH</t>
        </is>
      </c>
      <c r="D41" s="15">
        <f>IFERROR(VLOOKUP(C41,'Reference Data 기준데이터'!$E$8:$F$30,2,FALSE),"")</f>
        <v/>
      </c>
      <c r="E41" s="14" t="inlineStr">
        <is>
          <t>시트 내구 시험</t>
        </is>
      </c>
      <c r="F41" s="15">
        <f>IFERROR(VLOOKUP(E41,'Reference Data 기준데이터'!$A$8:$F$30,2,FALSE),"")</f>
        <v/>
      </c>
      <c r="G41" s="15">
        <f>IFERROR(VLOOKUP(B41&amp;"_"&amp;C41,'Reference Data 기준데이터'!$A$33:$B$51,2,FALSE),"")</f>
        <v/>
      </c>
      <c r="H41" s="16">
        <f>IFERROR(VLOOKUP(B41,'Reference Data 기준데이터'!$A$2:$J$5,3,FALSE),"")</f>
        <v/>
      </c>
      <c r="I41" s="16">
        <f>IFERROR(H41+VLOOKUP(B41,'Reference Data 기준데이터'!$A$2:$J$5,7,FALSE),"")</f>
        <v/>
      </c>
      <c r="J41" s="20" t="n">
        <v>46094</v>
      </c>
      <c r="K41" s="13" t="inlineStr">
        <is>
          <t>Approved</t>
        </is>
      </c>
      <c r="L41" s="16">
        <f>IFERROR(H41+VLOOKUP(B41,'Reference Data 기준데이터'!$A$2:$J$5,8,FALSE),"")</f>
        <v/>
      </c>
      <c r="M41" s="20" t="n">
        <v>46132</v>
      </c>
      <c r="N41" s="16">
        <f>IFERROR(IF(ISNUMBER(SEARCH("Vehicle",F41)),MAX(H41+VLOOKUP(B41,'Reference Data 기준데이터'!$A$2:$J$5,9,FALSE),VLOOKUP(B41,'Reference Data 기준데이터'!$A$2:$J$5,4,FALSE)),H41+VLOOKUP(B41,'Reference Data 기준데이터'!$A$2:$J$5,9,FALSE)),"")</f>
        <v/>
      </c>
      <c r="O41" s="13" t="n"/>
      <c r="P41" s="16">
        <f>IFERROR(N41+VLOOKUP(E41,'Reference Data 기준데이터'!$A$8:$F$30,4,FALSE),"")</f>
        <v/>
      </c>
      <c r="Q41" s="13" t="n"/>
      <c r="R41" s="16">
        <f>IFERROR(MIN(H41+VLOOKUP(B41,'Reference Data 기준데이터'!$A$2:$J$5,10,FALSE),VLOOKUP(B41,'Reference Data 기준데이터'!$A$2:$J$5,6,FALSE)),"")</f>
        <v/>
      </c>
      <c r="S41" s="13" t="n"/>
      <c r="T41" s="13" t="inlineStr">
        <is>
          <t>07-생산완료_미인수</t>
        </is>
      </c>
      <c r="U41" s="17">
        <f>IF(T41&lt;&gt;"",T41,IF(AND(S41&lt;&gt;"",Q41&lt;&gt;""),"11-결과등록완료",IF(AND(Q41&lt;&gt;"",S41=""),"10-시험완료",IF(AND(O41&lt;&gt;"",Q41=""),"09-시험준비중",IF(AND(M41&lt;&gt;"",O41=""),"08-단품준비완료",IF(K41="Approved","05-계획서승인",IF(K41="Revision Needed","04-검토중_조건불만족",IF(K41="Under Review","03-검토중_조건충족",IF(AND(J41&lt;&gt;"",K41=""),"02-계획서제출_미검토","01-계획서미제출")))))))))</f>
        <v/>
      </c>
      <c r="V41" s="18">
        <f>IFS(U41="01-계획서미제출",0,U41="02-계획서제출_미검토",0.05,U41="03-검토중_조건충족",0.1,U41="04-검토중_조건불만족",0.05,U41="05-계획서승인",0.2,U41="06-BIW생산중단",0.15,U41="07-생산완료_미인수",0.3,U41="08-단품준비완료",0.4,U41="09-시험준비중",0.55,U41="10-시험완료",0.85,U41="11-결과등록완료",1,U41="12-조건부승인검토",0.9,TRUE,0)</f>
        <v/>
      </c>
      <c r="W41" s="5">
        <f>IF(S41&lt;&gt;"","-",IF(R41="","N/A",R41-TODAY()))</f>
        <v/>
      </c>
      <c r="X41" s="17">
        <f>IF(U41="11-결과등록완료","DONE",IF(OR(U41="06-BIW생산중단",AND(U41="01-계획서미제출",I41&lt;TODAY())),"CRITICAL",IF(OR(U41="04-검토중_조건불만족",U41="07-생산완료_미인수",U41="12-조건부승인검토"),"ACTION",IF(AND(ISNUMBER(W41),W41&lt;=0),"OVERDUE",IF(AND(ISNUMBER(W41),W41&lt;=14),"WARNING","ON TRACK")))))</f>
        <v/>
      </c>
      <c r="Y41" s="19">
        <f>IF(U41="11-결과등록완료","— 완료",IF(U41="01-계획서미제출",IF(I41&lt;TODAY(),"계획서 제출 독촉 (OVERDUE)","계획서 제출 대기"),IF(U41="02-계획서제출_미검토","설계자: 계획서 검토 착수",IF(U41="03-검토중_조건충족","설계자: 승인 처리",IF(U41="04-검토중_조건불만족","보완 요청 → 협력사 재제출 독촉",IF(U41="05-계획서승인","시험편 준비 현황 확인",IF(U41="06-BIW생산중단","BIW 생산팀 확인 → 일정 재수립",IF(U41="07-생산완료_미인수","협력사 인수 독촉",IF(U41="08-단품준비완료","시험 일정 확인",IF(U41="09-시험준비중","시험 진행 모니터링",IF(U41="10-시험완료","결과 보고서 전산 등록 독촉",IF(U41="12-조건부승인검토","조건부 승인 여부 판단 → 관련부서 협의","—"))))))))))))</f>
        <v/>
      </c>
    </row>
    <row r="42">
      <c r="A42" s="5" t="n">
        <v>38</v>
      </c>
      <c r="B42" s="13" t="inlineStr">
        <is>
          <t>SU2i</t>
        </is>
      </c>
      <c r="C42" s="14" t="inlineStr">
        <is>
          <t>Front Seat Assy LH</t>
        </is>
      </c>
      <c r="D42" s="15">
        <f>IFERROR(VLOOKUP(C42,'Reference Data 기준데이터'!$E$8:$F$30,2,FALSE),"")</f>
        <v/>
      </c>
      <c r="E42" s="14" t="inlineStr">
        <is>
          <t>안전벨트 앵커리지</t>
        </is>
      </c>
      <c r="F42" s="15">
        <f>IFERROR(VLOOKUP(E42,'Reference Data 기준데이터'!$A$8:$F$30,2,FALSE),"")</f>
        <v/>
      </c>
      <c r="G42" s="15">
        <f>IFERROR(VLOOKUP(B42&amp;"_"&amp;C42,'Reference Data 기준데이터'!$A$33:$B$51,2,FALSE),"")</f>
        <v/>
      </c>
      <c r="H42" s="16">
        <f>IFERROR(VLOOKUP(B42,'Reference Data 기준데이터'!$A$2:$J$5,3,FALSE),"")</f>
        <v/>
      </c>
      <c r="I42" s="16">
        <f>IFERROR(H42+VLOOKUP(B42,'Reference Data 기준데이터'!$A$2:$J$5,7,FALSE),"")</f>
        <v/>
      </c>
      <c r="J42" s="20" t="n">
        <v>46095</v>
      </c>
      <c r="K42" s="13" t="inlineStr">
        <is>
          <t>Approved</t>
        </is>
      </c>
      <c r="L42" s="16">
        <f>IFERROR(H42+VLOOKUP(B42,'Reference Data 기준데이터'!$A$2:$J$5,8,FALSE),"")</f>
        <v/>
      </c>
      <c r="M42" s="13" t="n"/>
      <c r="N42" s="16">
        <f>IFERROR(IF(ISNUMBER(SEARCH("Vehicle",F42)),MAX(H42+VLOOKUP(B42,'Reference Data 기준데이터'!$A$2:$J$5,9,FALSE),VLOOKUP(B42,'Reference Data 기준데이터'!$A$2:$J$5,4,FALSE)),H42+VLOOKUP(B42,'Reference Data 기준데이터'!$A$2:$J$5,9,FALSE)),"")</f>
        <v/>
      </c>
      <c r="O42" s="13" t="n"/>
      <c r="P42" s="16">
        <f>IFERROR(N42+VLOOKUP(E42,'Reference Data 기준데이터'!$A$8:$F$30,4,FALSE),"")</f>
        <v/>
      </c>
      <c r="Q42" s="13" t="n"/>
      <c r="R42" s="16">
        <f>IFERROR(MIN(H42+VLOOKUP(B42,'Reference Data 기준데이터'!$A$2:$J$5,10,FALSE),VLOOKUP(B42,'Reference Data 기준데이터'!$A$2:$J$5,6,FALSE)),"")</f>
        <v/>
      </c>
      <c r="S42" s="13" t="n"/>
      <c r="T42" s="13" t="n"/>
      <c r="U42" s="17">
        <f>IF(T42&lt;&gt;"",T42,IF(AND(S42&lt;&gt;"",Q42&lt;&gt;""),"11-결과등록완료",IF(AND(Q42&lt;&gt;"",S42=""),"10-시험완료",IF(AND(O42&lt;&gt;"",Q42=""),"09-시험준비중",IF(AND(M42&lt;&gt;"",O42=""),"08-단품준비완료",IF(K42="Approved","05-계획서승인",IF(K42="Revision Needed","04-검토중_조건불만족",IF(K42="Under Review","03-검토중_조건충족",IF(AND(J42&lt;&gt;"",K42=""),"02-계획서제출_미검토","01-계획서미제출")))))))))</f>
        <v/>
      </c>
      <c r="V42" s="18">
        <f>IFS(U42="01-계획서미제출",0,U42="02-계획서제출_미검토",0.05,U42="03-검토중_조건충족",0.1,U42="04-검토중_조건불만족",0.05,U42="05-계획서승인",0.2,U42="06-BIW생산중단",0.15,U42="07-생산완료_미인수",0.3,U42="08-단품준비완료",0.4,U42="09-시험준비중",0.55,U42="10-시험완료",0.85,U42="11-결과등록완료",1,U42="12-조건부승인검토",0.9,TRUE,0)</f>
        <v/>
      </c>
      <c r="W42" s="5">
        <f>IF(S42&lt;&gt;"","-",IF(R42="","N/A",R42-TODAY()))</f>
        <v/>
      </c>
      <c r="X42" s="17">
        <f>IF(U42="11-결과등록완료","DONE",IF(OR(U42="06-BIW생산중단",AND(U42="01-계획서미제출",I42&lt;TODAY())),"CRITICAL",IF(OR(U42="04-검토중_조건불만족",U42="07-생산완료_미인수",U42="12-조건부승인검토"),"ACTION",IF(AND(ISNUMBER(W42),W42&lt;=0),"OVERDUE",IF(AND(ISNUMBER(W42),W42&lt;=14),"WARNING","ON TRACK")))))</f>
        <v/>
      </c>
      <c r="Y42" s="19">
        <f>IF(U42="11-결과등록완료","— 완료",IF(U42="01-계획서미제출",IF(I42&lt;TODAY(),"계획서 제출 독촉 (OVERDUE)","계획서 제출 대기"),IF(U42="02-계획서제출_미검토","설계자: 계획서 검토 착수",IF(U42="03-검토중_조건충족","설계자: 승인 처리",IF(U42="04-검토중_조건불만족","보완 요청 → 협력사 재제출 독촉",IF(U42="05-계획서승인","시험편 준비 현황 확인",IF(U42="06-BIW생산중단","BIW 생산팀 확인 → 일정 재수립",IF(U42="07-생산완료_미인수","협력사 인수 독촉",IF(U42="08-단품준비완료","시험 일정 확인",IF(U42="09-시험준비중","시험 진행 모니터링",IF(U42="10-시험완료","결과 보고서 전산 등록 독촉",IF(U42="12-조건부승인검토","조건부 승인 여부 판단 → 관련부서 협의","—"))))))))))))</f>
        <v/>
      </c>
    </row>
    <row r="43">
      <c r="A43" s="5" t="n">
        <v>39</v>
      </c>
      <c r="B43" s="13" t="inlineStr">
        <is>
          <t>SU2i</t>
        </is>
      </c>
      <c r="C43" s="14" t="inlineStr">
        <is>
          <t>Front Seat Assy LH</t>
        </is>
      </c>
      <c r="D43" s="15">
        <f>IFERROR(VLOOKUP(C43,'Reference Data 기준데이터'!$E$8:$F$30,2,FALSE),"")</f>
        <v/>
      </c>
      <c r="E43" s="14" t="inlineStr">
        <is>
          <t>H-Point 검증</t>
        </is>
      </c>
      <c r="F43" s="15">
        <f>IFERROR(VLOOKUP(E43,'Reference Data 기준데이터'!$A$8:$F$30,2,FALSE),"")</f>
        <v/>
      </c>
      <c r="G43" s="15">
        <f>IFERROR(VLOOKUP(B43&amp;"_"&amp;C43,'Reference Data 기준데이터'!$A$33:$B$51,2,FALSE),"")</f>
        <v/>
      </c>
      <c r="H43" s="16">
        <f>IFERROR(VLOOKUP(B43,'Reference Data 기준데이터'!$A$2:$J$5,3,FALSE),"")</f>
        <v/>
      </c>
      <c r="I43" s="16">
        <f>IFERROR(H43+VLOOKUP(B43,'Reference Data 기준데이터'!$A$2:$J$5,7,FALSE),"")</f>
        <v/>
      </c>
      <c r="J43" s="20" t="n">
        <v>46096</v>
      </c>
      <c r="K43" s="13" t="inlineStr">
        <is>
          <t>Approved</t>
        </is>
      </c>
      <c r="L43" s="16">
        <f>IFERROR(H43+VLOOKUP(B43,'Reference Data 기준데이터'!$A$2:$J$5,8,FALSE),"")</f>
        <v/>
      </c>
      <c r="M43" s="20" t="n">
        <v>46134</v>
      </c>
      <c r="N43" s="16">
        <f>IFERROR(IF(ISNUMBER(SEARCH("Vehicle",F43)),MAX(H43+VLOOKUP(B43,'Reference Data 기준데이터'!$A$2:$J$5,9,FALSE),VLOOKUP(B43,'Reference Data 기준데이터'!$A$2:$J$5,4,FALSE)),H43+VLOOKUP(B43,'Reference Data 기준데이터'!$A$2:$J$5,9,FALSE)),"")</f>
        <v/>
      </c>
      <c r="O43" s="20" t="n">
        <v>46147</v>
      </c>
      <c r="P43" s="16">
        <f>IFERROR(N43+VLOOKUP(E43,'Reference Data 기준데이터'!$A$8:$F$30,4,FALSE),"")</f>
        <v/>
      </c>
      <c r="Q43" s="13" t="n"/>
      <c r="R43" s="16">
        <f>IFERROR(MIN(H43+VLOOKUP(B43,'Reference Data 기준데이터'!$A$2:$J$5,10,FALSE),VLOOKUP(B43,'Reference Data 기준데이터'!$A$2:$J$5,6,FALSE)),"")</f>
        <v/>
      </c>
      <c r="S43" s="13" t="n"/>
      <c r="T43" s="13" t="n"/>
      <c r="U43" s="17">
        <f>IF(T43&lt;&gt;"",T43,IF(AND(S43&lt;&gt;"",Q43&lt;&gt;""),"11-결과등록완료",IF(AND(Q43&lt;&gt;"",S43=""),"10-시험완료",IF(AND(O43&lt;&gt;"",Q43=""),"09-시험준비중",IF(AND(M43&lt;&gt;"",O43=""),"08-단품준비완료",IF(K43="Approved","05-계획서승인",IF(K43="Revision Needed","04-검토중_조건불만족",IF(K43="Under Review","03-검토중_조건충족",IF(AND(J43&lt;&gt;"",K43=""),"02-계획서제출_미검토","01-계획서미제출")))))))))</f>
        <v/>
      </c>
      <c r="V43" s="18">
        <f>IFS(U43="01-계획서미제출",0,U43="02-계획서제출_미검토",0.05,U43="03-검토중_조건충족",0.1,U43="04-검토중_조건불만족",0.05,U43="05-계획서승인",0.2,U43="06-BIW생산중단",0.15,U43="07-생산완료_미인수",0.3,U43="08-단품준비완료",0.4,U43="09-시험준비중",0.55,U43="10-시험완료",0.85,U43="11-결과등록완료",1,U43="12-조건부승인검토",0.9,TRUE,0)</f>
        <v/>
      </c>
      <c r="W43" s="5">
        <f>IF(S43&lt;&gt;"","-",IF(R43="","N/A",R43-TODAY()))</f>
        <v/>
      </c>
      <c r="X43" s="17">
        <f>IF(U43="11-결과등록완료","DONE",IF(OR(U43="06-BIW생산중단",AND(U43="01-계획서미제출",I43&lt;TODAY())),"CRITICAL",IF(OR(U43="04-검토중_조건불만족",U43="07-생산완료_미인수",U43="12-조건부승인검토"),"ACTION",IF(AND(ISNUMBER(W43),W43&lt;=0),"OVERDUE",IF(AND(ISNUMBER(W43),W43&lt;=14),"WARNING","ON TRACK")))))</f>
        <v/>
      </c>
      <c r="Y43" s="19">
        <f>IF(U43="11-결과등록완료","— 완료",IF(U43="01-계획서미제출",IF(I43&lt;TODAY(),"계획서 제출 독촉 (OVERDUE)","계획서 제출 대기"),IF(U43="02-계획서제출_미검토","설계자: 계획서 검토 착수",IF(U43="03-검토중_조건충족","설계자: 승인 처리",IF(U43="04-검토중_조건불만족","보완 요청 → 협력사 재제출 독촉",IF(U43="05-계획서승인","시험편 준비 현황 확인",IF(U43="06-BIW생산중단","BIW 생산팀 확인 → 일정 재수립",IF(U43="07-생산완료_미인수","협력사 인수 독촉",IF(U43="08-단품준비완료","시험 일정 확인",IF(U43="09-시험준비중","시험 진행 모니터링",IF(U43="10-시험완료","결과 보고서 전산 등록 독촉",IF(U43="12-조건부승인검토","조건부 승인 여부 판단 → 관련부서 협의","—"))))))))))))</f>
        <v/>
      </c>
    </row>
    <row r="44">
      <c r="A44" s="5" t="n">
        <v>40</v>
      </c>
      <c r="B44" s="13" t="inlineStr">
        <is>
          <t>SU2i</t>
        </is>
      </c>
      <c r="C44" s="14" t="inlineStr">
        <is>
          <t>Front Seat Assy LH</t>
        </is>
      </c>
      <c r="D44" s="15">
        <f>IFERROR(VLOOKUP(C44,'Reference Data 기준데이터'!$E$8:$F$30,2,FALSE),"")</f>
        <v/>
      </c>
      <c r="E44" s="14" t="inlineStr">
        <is>
          <t>BSR 시험</t>
        </is>
      </c>
      <c r="F44" s="15">
        <f>IFERROR(VLOOKUP(E44,'Reference Data 기준데이터'!$A$8:$F$30,2,FALSE),"")</f>
        <v/>
      </c>
      <c r="G44" s="15">
        <f>IFERROR(VLOOKUP(B44&amp;"_"&amp;C44,'Reference Data 기준데이터'!$A$33:$B$51,2,FALSE),"")</f>
        <v/>
      </c>
      <c r="H44" s="16">
        <f>IFERROR(VLOOKUP(B44,'Reference Data 기준데이터'!$A$2:$J$5,3,FALSE),"")</f>
        <v/>
      </c>
      <c r="I44" s="16">
        <f>IFERROR(H44+VLOOKUP(B44,'Reference Data 기준데이터'!$A$2:$J$5,7,FALSE),"")</f>
        <v/>
      </c>
      <c r="J44" s="20" t="n">
        <v>46092</v>
      </c>
      <c r="K44" s="13" t="inlineStr">
        <is>
          <t>Approved</t>
        </is>
      </c>
      <c r="L44" s="16">
        <f>IFERROR(H44+VLOOKUP(B44,'Reference Data 기준데이터'!$A$2:$J$5,8,FALSE),"")</f>
        <v/>
      </c>
      <c r="M44" s="20" t="n">
        <v>46127</v>
      </c>
      <c r="N44" s="16">
        <f>IFERROR(IF(ISNUMBER(SEARCH("Vehicle",F44)),MAX(H44+VLOOKUP(B44,'Reference Data 기준데이터'!$A$2:$J$5,9,FALSE),VLOOKUP(B44,'Reference Data 기준데이터'!$A$2:$J$5,4,FALSE)),H44+VLOOKUP(B44,'Reference Data 기준데이터'!$A$2:$J$5,9,FALSE)),"")</f>
        <v/>
      </c>
      <c r="O44" s="20" t="n">
        <v>46148</v>
      </c>
      <c r="P44" s="16">
        <f>IFERROR(N44+VLOOKUP(E44,'Reference Data 기준데이터'!$A$8:$F$30,4,FALSE),"")</f>
        <v/>
      </c>
      <c r="Q44" s="20" t="n">
        <v>46172</v>
      </c>
      <c r="R44" s="16">
        <f>IFERROR(MIN(H44+VLOOKUP(B44,'Reference Data 기준데이터'!$A$2:$J$5,10,FALSE),VLOOKUP(B44,'Reference Data 기준데이터'!$A$2:$J$5,6,FALSE)),"")</f>
        <v/>
      </c>
      <c r="S44" s="13" t="n"/>
      <c r="T44" s="13" t="n"/>
      <c r="U44" s="17">
        <f>IF(T44&lt;&gt;"",T44,IF(AND(S44&lt;&gt;"",Q44&lt;&gt;""),"11-결과등록완료",IF(AND(Q44&lt;&gt;"",S44=""),"10-시험완료",IF(AND(O44&lt;&gt;"",Q44=""),"09-시험준비중",IF(AND(M44&lt;&gt;"",O44=""),"08-단품준비완료",IF(K44="Approved","05-계획서승인",IF(K44="Revision Needed","04-검토중_조건불만족",IF(K44="Under Review","03-검토중_조건충족",IF(AND(J44&lt;&gt;"",K44=""),"02-계획서제출_미검토","01-계획서미제출")))))))))</f>
        <v/>
      </c>
      <c r="V44" s="18">
        <f>IFS(U44="01-계획서미제출",0,U44="02-계획서제출_미검토",0.05,U44="03-검토중_조건충족",0.1,U44="04-검토중_조건불만족",0.05,U44="05-계획서승인",0.2,U44="06-BIW생산중단",0.15,U44="07-생산완료_미인수",0.3,U44="08-단품준비완료",0.4,U44="09-시험준비중",0.55,U44="10-시험완료",0.85,U44="11-결과등록완료",1,U44="12-조건부승인검토",0.9,TRUE,0)</f>
        <v/>
      </c>
      <c r="W44" s="5">
        <f>IF(S44&lt;&gt;"","-",IF(R44="","N/A",R44-TODAY()))</f>
        <v/>
      </c>
      <c r="X44" s="17">
        <f>IF(U44="11-결과등록완료","DONE",IF(OR(U44="06-BIW생산중단",AND(U44="01-계획서미제출",I44&lt;TODAY())),"CRITICAL",IF(OR(U44="04-검토중_조건불만족",U44="07-생산완료_미인수",U44="12-조건부승인검토"),"ACTION",IF(AND(ISNUMBER(W44),W44&lt;=0),"OVERDUE",IF(AND(ISNUMBER(W44),W44&lt;=14),"WARNING","ON TRACK")))))</f>
        <v/>
      </c>
      <c r="Y44" s="19">
        <f>IF(U44="11-결과등록완료","— 완료",IF(U44="01-계획서미제출",IF(I44&lt;TODAY(),"계획서 제출 독촉 (OVERDUE)","계획서 제출 대기"),IF(U44="02-계획서제출_미검토","설계자: 계획서 검토 착수",IF(U44="03-검토중_조건충족","설계자: 승인 처리",IF(U44="04-검토중_조건불만족","보완 요청 → 협력사 재제출 독촉",IF(U44="05-계획서승인","시험편 준비 현황 확인",IF(U44="06-BIW생산중단","BIW 생산팀 확인 → 일정 재수립",IF(U44="07-생산완료_미인수","협력사 인수 독촉",IF(U44="08-단품준비완료","시험 일정 확인",IF(U44="09-시험준비중","시험 진행 모니터링",IF(U44="10-시험완료","결과 보고서 전산 등록 독촉",IF(U44="12-조건부승인검토","조건부 승인 여부 판단 → 관련부서 협의","—"))))))))))))</f>
        <v/>
      </c>
    </row>
    <row r="45">
      <c r="A45" s="5" t="n">
        <v>41</v>
      </c>
      <c r="B45" s="13" t="inlineStr">
        <is>
          <t>SU2i</t>
        </is>
      </c>
      <c r="C45" s="14" t="inlineStr">
        <is>
          <t>Rear Seat Assy</t>
        </is>
      </c>
      <c r="D45" s="15">
        <f>IFERROR(VLOOKUP(C45,'Reference Data 기준데이터'!$E$8:$F$30,2,FALSE),"")</f>
        <v/>
      </c>
      <c r="E45" s="14" t="inlineStr">
        <is>
          <t>시트 내구 시험</t>
        </is>
      </c>
      <c r="F45" s="15">
        <f>IFERROR(VLOOKUP(E45,'Reference Data 기준데이터'!$A$8:$F$30,2,FALSE),"")</f>
        <v/>
      </c>
      <c r="G45" s="15">
        <f>IFERROR(VLOOKUP(B45&amp;"_"&amp;C45,'Reference Data 기준데이터'!$A$33:$B$51,2,FALSE),"")</f>
        <v/>
      </c>
      <c r="H45" s="16">
        <f>IFERROR(VLOOKUP(B45,'Reference Data 기준데이터'!$A$2:$J$5,3,FALSE),"")</f>
        <v/>
      </c>
      <c r="I45" s="16">
        <f>IFERROR(H45+VLOOKUP(B45,'Reference Data 기준데이터'!$A$2:$J$5,7,FALSE),"")</f>
        <v/>
      </c>
      <c r="J45" s="20" t="n">
        <v>46093</v>
      </c>
      <c r="K45" s="13" t="inlineStr">
        <is>
          <t>Approved</t>
        </is>
      </c>
      <c r="L45" s="16">
        <f>IFERROR(H45+VLOOKUP(B45,'Reference Data 기준데이터'!$A$2:$J$5,8,FALSE),"")</f>
        <v/>
      </c>
      <c r="M45" s="20" t="n">
        <v>46128</v>
      </c>
      <c r="N45" s="16">
        <f>IFERROR(IF(ISNUMBER(SEARCH("Vehicle",F45)),MAX(H45+VLOOKUP(B45,'Reference Data 기준데이터'!$A$2:$J$5,9,FALSE),VLOOKUP(B45,'Reference Data 기준데이터'!$A$2:$J$5,4,FALSE)),H45+VLOOKUP(B45,'Reference Data 기준데이터'!$A$2:$J$5,9,FALSE)),"")</f>
        <v/>
      </c>
      <c r="O45" s="13" t="n"/>
      <c r="P45" s="16">
        <f>IFERROR(N45+VLOOKUP(E45,'Reference Data 기준데이터'!$A$8:$F$30,4,FALSE),"")</f>
        <v/>
      </c>
      <c r="Q45" s="13" t="n"/>
      <c r="R45" s="16">
        <f>IFERROR(MIN(H45+VLOOKUP(B45,'Reference Data 기준데이터'!$A$2:$J$5,10,FALSE),VLOOKUP(B45,'Reference Data 기준데이터'!$A$2:$J$5,6,FALSE)),"")</f>
        <v/>
      </c>
      <c r="S45" s="13" t="n"/>
      <c r="T45" s="13" t="n"/>
      <c r="U45" s="17">
        <f>IF(T45&lt;&gt;"",T45,IF(AND(S45&lt;&gt;"",Q45&lt;&gt;""),"11-결과등록완료",IF(AND(Q45&lt;&gt;"",S45=""),"10-시험완료",IF(AND(O45&lt;&gt;"",Q45=""),"09-시험준비중",IF(AND(M45&lt;&gt;"",O45=""),"08-단품준비완료",IF(K45="Approved","05-계획서승인",IF(K45="Revision Needed","04-검토중_조건불만족",IF(K45="Under Review","03-검토중_조건충족",IF(AND(J45&lt;&gt;"",K45=""),"02-계획서제출_미검토","01-계획서미제출")))))))))</f>
        <v/>
      </c>
      <c r="V45" s="18">
        <f>IFS(U45="01-계획서미제출",0,U45="02-계획서제출_미검토",0.05,U45="03-검토중_조건충족",0.1,U45="04-검토중_조건불만족",0.05,U45="05-계획서승인",0.2,U45="06-BIW생산중단",0.15,U45="07-생산완료_미인수",0.3,U45="08-단품준비완료",0.4,U45="09-시험준비중",0.55,U45="10-시험완료",0.85,U45="11-결과등록완료",1,U45="12-조건부승인검토",0.9,TRUE,0)</f>
        <v/>
      </c>
      <c r="W45" s="5">
        <f>IF(S45&lt;&gt;"","-",IF(R45="","N/A",R45-TODAY()))</f>
        <v/>
      </c>
      <c r="X45" s="17">
        <f>IF(U45="11-결과등록완료","DONE",IF(OR(U45="06-BIW생산중단",AND(U45="01-계획서미제출",I45&lt;TODAY())),"CRITICAL",IF(OR(U45="04-검토중_조건불만족",U45="07-생산완료_미인수",U45="12-조건부승인검토"),"ACTION",IF(AND(ISNUMBER(W45),W45&lt;=0),"OVERDUE",IF(AND(ISNUMBER(W45),W45&lt;=14),"WARNING","ON TRACK")))))</f>
        <v/>
      </c>
      <c r="Y45" s="19">
        <f>IF(U45="11-결과등록완료","— 완료",IF(U45="01-계획서미제출",IF(I45&lt;TODAY(),"계획서 제출 독촉 (OVERDUE)","계획서 제출 대기"),IF(U45="02-계획서제출_미검토","설계자: 계획서 검토 착수",IF(U45="03-검토중_조건충족","설계자: 승인 처리",IF(U45="04-검토중_조건불만족","보완 요청 → 협력사 재제출 독촉",IF(U45="05-계획서승인","시험편 준비 현황 확인",IF(U45="06-BIW생산중단","BIW 생산팀 확인 → 일정 재수립",IF(U45="07-생산완료_미인수","협력사 인수 독촉",IF(U45="08-단품준비완료","시험 일정 확인",IF(U45="09-시험준비중","시험 진행 모니터링",IF(U45="10-시험완료","결과 보고서 전산 등록 독촉",IF(U45="12-조건부승인검토","조건부 승인 여부 판단 → 관련부서 협의","—"))))))))))))</f>
        <v/>
      </c>
    </row>
    <row r="46">
      <c r="A46" s="5" t="n">
        <v>42</v>
      </c>
      <c r="B46" s="13" t="inlineStr">
        <is>
          <t>SU2i</t>
        </is>
      </c>
      <c r="C46" s="14" t="inlineStr">
        <is>
          <t>Rear Seat Assy</t>
        </is>
      </c>
      <c r="D46" s="15">
        <f>IFERROR(VLOOKUP(C46,'Reference Data 기준데이터'!$E$8:$F$30,2,FALSE),"")</f>
        <v/>
      </c>
      <c r="E46" s="14" t="inlineStr">
        <is>
          <t>ISOFIX 강도 시험</t>
        </is>
      </c>
      <c r="F46" s="15">
        <f>IFERROR(VLOOKUP(E46,'Reference Data 기준데이터'!$A$8:$F$30,2,FALSE),"")</f>
        <v/>
      </c>
      <c r="G46" s="15">
        <f>IFERROR(VLOOKUP(B46&amp;"_"&amp;C46,'Reference Data 기준데이터'!$A$33:$B$51,2,FALSE),"")</f>
        <v/>
      </c>
      <c r="H46" s="16">
        <f>IFERROR(VLOOKUP(B46,'Reference Data 기준데이터'!$A$2:$J$5,3,FALSE),"")</f>
        <v/>
      </c>
      <c r="I46" s="16">
        <f>IFERROR(H46+VLOOKUP(B46,'Reference Data 기준데이터'!$A$2:$J$5,7,FALSE),"")</f>
        <v/>
      </c>
      <c r="J46" s="20" t="n">
        <v>46094</v>
      </c>
      <c r="K46" s="13" t="inlineStr">
        <is>
          <t>Approved</t>
        </is>
      </c>
      <c r="L46" s="16">
        <f>IFERROR(H46+VLOOKUP(B46,'Reference Data 기준데이터'!$A$2:$J$5,8,FALSE),"")</f>
        <v/>
      </c>
      <c r="M46" s="20" t="n">
        <v>46129</v>
      </c>
      <c r="N46" s="16">
        <f>IFERROR(IF(ISNUMBER(SEARCH("Vehicle",F46)),MAX(H46+VLOOKUP(B46,'Reference Data 기준데이터'!$A$2:$J$5,9,FALSE),VLOOKUP(B46,'Reference Data 기준데이터'!$A$2:$J$5,4,FALSE)),H46+VLOOKUP(B46,'Reference Data 기준데이터'!$A$2:$J$5,9,FALSE)),"")</f>
        <v/>
      </c>
      <c r="O46" s="20" t="n">
        <v>46144</v>
      </c>
      <c r="P46" s="16">
        <f>IFERROR(N46+VLOOKUP(E46,'Reference Data 기준데이터'!$A$8:$F$30,4,FALSE),"")</f>
        <v/>
      </c>
      <c r="Q46" s="20" t="n">
        <v>46167</v>
      </c>
      <c r="R46" s="16">
        <f>IFERROR(MIN(H46+VLOOKUP(B46,'Reference Data 기준데이터'!$A$2:$J$5,10,FALSE),VLOOKUP(B46,'Reference Data 기준데이터'!$A$2:$J$5,6,FALSE)),"")</f>
        <v/>
      </c>
      <c r="S46" s="20" t="n">
        <v>46177</v>
      </c>
      <c r="T46" s="13" t="inlineStr">
        <is>
          <t>12-조건부승인검토</t>
        </is>
      </c>
      <c r="U46" s="17">
        <f>IF(T46&lt;&gt;"",T46,IF(AND(S46&lt;&gt;"",Q46&lt;&gt;""),"11-결과등록완료",IF(AND(Q46&lt;&gt;"",S46=""),"10-시험완료",IF(AND(O46&lt;&gt;"",Q46=""),"09-시험준비중",IF(AND(M46&lt;&gt;"",O46=""),"08-단품준비완료",IF(K46="Approved","05-계획서승인",IF(K46="Revision Needed","04-검토중_조건불만족",IF(K46="Under Review","03-검토중_조건충족",IF(AND(J46&lt;&gt;"",K46=""),"02-계획서제출_미검토","01-계획서미제출")))))))))</f>
        <v/>
      </c>
      <c r="V46" s="18">
        <f>IFS(U46="01-계획서미제출",0,U46="02-계획서제출_미검토",0.05,U46="03-검토중_조건충족",0.1,U46="04-검토중_조건불만족",0.05,U46="05-계획서승인",0.2,U46="06-BIW생산중단",0.15,U46="07-생산완료_미인수",0.3,U46="08-단품준비완료",0.4,U46="09-시험준비중",0.55,U46="10-시험완료",0.85,U46="11-결과등록완료",1,U46="12-조건부승인검토",0.9,TRUE,0)</f>
        <v/>
      </c>
      <c r="W46" s="5">
        <f>IF(S46&lt;&gt;"","-",IF(R46="","N/A",R46-TODAY()))</f>
        <v/>
      </c>
      <c r="X46" s="17">
        <f>IF(U46="11-결과등록완료","DONE",IF(OR(U46="06-BIW생산중단",AND(U46="01-계획서미제출",I46&lt;TODAY())),"CRITICAL",IF(OR(U46="04-검토중_조건불만족",U46="07-생산완료_미인수",U46="12-조건부승인검토"),"ACTION",IF(AND(ISNUMBER(W46),W46&lt;=0),"OVERDUE",IF(AND(ISNUMBER(W46),W46&lt;=14),"WARNING","ON TRACK")))))</f>
        <v/>
      </c>
      <c r="Y46" s="19">
        <f>IF(U46="11-결과등록완료","— 완료",IF(U46="01-계획서미제출",IF(I46&lt;TODAY(),"계획서 제출 독촉 (OVERDUE)","계획서 제출 대기"),IF(U46="02-계획서제출_미검토","설계자: 계획서 검토 착수",IF(U46="03-검토중_조건충족","설계자: 승인 처리",IF(U46="04-검토중_조건불만족","보완 요청 → 협력사 재제출 독촉",IF(U46="05-계획서승인","시험편 준비 현황 확인",IF(U46="06-BIW생산중단","BIW 생산팀 확인 → 일정 재수립",IF(U46="07-생산완료_미인수","협력사 인수 독촉",IF(U46="08-단품준비완료","시험 일정 확인",IF(U46="09-시험준비중","시험 진행 모니터링",IF(U46="10-시험완료","결과 보고서 전산 등록 독촉",IF(U46="12-조건부승인검토","조건부 승인 여부 판단 → 관련부서 협의","—"))))))))))))</f>
        <v/>
      </c>
    </row>
    <row r="47">
      <c r="A47" s="5" t="n">
        <v>43</v>
      </c>
      <c r="B47" s="13" t="inlineStr">
        <is>
          <t>SU2i</t>
        </is>
      </c>
      <c r="C47" s="14" t="inlineStr">
        <is>
          <t>Rear Seat Assy</t>
        </is>
      </c>
      <c r="D47" s="15">
        <f>IFERROR(VLOOKUP(C47,'Reference Data 기준데이터'!$E$8:$F$30,2,FALSE),"")</f>
        <v/>
      </c>
      <c r="E47" s="14" t="inlineStr">
        <is>
          <t>수하물 충격 시험</t>
        </is>
      </c>
      <c r="F47" s="15">
        <f>IFERROR(VLOOKUP(E47,'Reference Data 기준데이터'!$A$8:$F$30,2,FALSE),"")</f>
        <v/>
      </c>
      <c r="G47" s="15">
        <f>IFERROR(VLOOKUP(B47&amp;"_"&amp;C47,'Reference Data 기준데이터'!$A$33:$B$51,2,FALSE),"")</f>
        <v/>
      </c>
      <c r="H47" s="16">
        <f>IFERROR(VLOOKUP(B47,'Reference Data 기준데이터'!$A$2:$J$5,3,FALSE),"")</f>
        <v/>
      </c>
      <c r="I47" s="16">
        <f>IFERROR(H47+VLOOKUP(B47,'Reference Data 기준데이터'!$A$2:$J$5,7,FALSE),"")</f>
        <v/>
      </c>
      <c r="J47" s="20" t="n">
        <v>46095</v>
      </c>
      <c r="K47" s="13" t="inlineStr">
        <is>
          <t>Approved</t>
        </is>
      </c>
      <c r="L47" s="16">
        <f>IFERROR(H47+VLOOKUP(B47,'Reference Data 기준데이터'!$A$2:$J$5,8,FALSE),"")</f>
        <v/>
      </c>
      <c r="M47" s="20" t="n">
        <v>46130</v>
      </c>
      <c r="N47" s="16">
        <f>IFERROR(IF(ISNUMBER(SEARCH("Vehicle",F47)),MAX(H47+VLOOKUP(B47,'Reference Data 기준데이터'!$A$2:$J$5,9,FALSE),VLOOKUP(B47,'Reference Data 기준데이터'!$A$2:$J$5,4,FALSE)),H47+VLOOKUP(B47,'Reference Data 기준데이터'!$A$2:$J$5,9,FALSE)),"")</f>
        <v/>
      </c>
      <c r="O47" s="20" t="n">
        <v>46145</v>
      </c>
      <c r="P47" s="16">
        <f>IFERROR(N47+VLOOKUP(E47,'Reference Data 기준데이터'!$A$8:$F$30,4,FALSE),"")</f>
        <v/>
      </c>
      <c r="Q47" s="20" t="n">
        <v>46168</v>
      </c>
      <c r="R47" s="16">
        <f>IFERROR(MIN(H47+VLOOKUP(B47,'Reference Data 기준데이터'!$A$2:$J$5,10,FALSE),VLOOKUP(B47,'Reference Data 기준데이터'!$A$2:$J$5,6,FALSE)),"")</f>
        <v/>
      </c>
      <c r="S47" s="20" t="n">
        <v>46178</v>
      </c>
      <c r="T47" s="13" t="n"/>
      <c r="U47" s="17">
        <f>IF(T47&lt;&gt;"",T47,IF(AND(S47&lt;&gt;"",Q47&lt;&gt;""),"11-결과등록완료",IF(AND(Q47&lt;&gt;"",S47=""),"10-시험완료",IF(AND(O47&lt;&gt;"",Q47=""),"09-시험준비중",IF(AND(M47&lt;&gt;"",O47=""),"08-단품준비완료",IF(K47="Approved","05-계획서승인",IF(K47="Revision Needed","04-검토중_조건불만족",IF(K47="Under Review","03-검토중_조건충족",IF(AND(J47&lt;&gt;"",K47=""),"02-계획서제출_미검토","01-계획서미제출")))))))))</f>
        <v/>
      </c>
      <c r="V47" s="18">
        <f>IFS(U47="01-계획서미제출",0,U47="02-계획서제출_미검토",0.05,U47="03-검토중_조건충족",0.1,U47="04-검토중_조건불만족",0.05,U47="05-계획서승인",0.2,U47="06-BIW생산중단",0.15,U47="07-생산완료_미인수",0.3,U47="08-단품준비완료",0.4,U47="09-시험준비중",0.55,U47="10-시험완료",0.85,U47="11-결과등록완료",1,U47="12-조건부승인검토",0.9,TRUE,0)</f>
        <v/>
      </c>
      <c r="W47" s="5">
        <f>IF(S47&lt;&gt;"","-",IF(R47="","N/A",R47-TODAY()))</f>
        <v/>
      </c>
      <c r="X47" s="17">
        <f>IF(U47="11-결과등록완료","DONE",IF(OR(U47="06-BIW생산중단",AND(U47="01-계획서미제출",I47&lt;TODAY())),"CRITICAL",IF(OR(U47="04-검토중_조건불만족",U47="07-생산완료_미인수",U47="12-조건부승인검토"),"ACTION",IF(AND(ISNUMBER(W47),W47&lt;=0),"OVERDUE",IF(AND(ISNUMBER(W47),W47&lt;=14),"WARNING","ON TRACK")))))</f>
        <v/>
      </c>
      <c r="Y47" s="19">
        <f>IF(U47="11-결과등록완료","— 완료",IF(U47="01-계획서미제출",IF(I47&lt;TODAY(),"계획서 제출 독촉 (OVERDUE)","계획서 제출 대기"),IF(U47="02-계획서제출_미검토","설계자: 계획서 검토 착수",IF(U47="03-검토중_조건충족","설계자: 승인 처리",IF(U47="04-검토중_조건불만족","보완 요청 → 협력사 재제출 독촉",IF(U47="05-계획서승인","시험편 준비 현황 확인",IF(U47="06-BIW생산중단","BIW 생산팀 확인 → 일정 재수립",IF(U47="07-생산완료_미인수","협력사 인수 독촉",IF(U47="08-단품준비완료","시험 일정 확인",IF(U47="09-시험준비중","시험 진행 모니터링",IF(U47="10-시험완료","결과 보고서 전산 등록 독촉",IF(U47="12-조건부승인검토","조건부 승인 여부 판단 → 관련부서 협의","—"))))))))))))</f>
        <v/>
      </c>
    </row>
    <row r="48">
      <c r="A48" s="5" t="n">
        <v>44</v>
      </c>
      <c r="B48" s="13" t="inlineStr">
        <is>
          <t>SU2i</t>
        </is>
      </c>
      <c r="C48" s="14" t="inlineStr">
        <is>
          <t>Rear Seat Assy</t>
        </is>
      </c>
      <c r="D48" s="15">
        <f>IFERROR(VLOOKUP(C48,'Reference Data 기준데이터'!$E$8:$F$30,2,FALSE),"")</f>
        <v/>
      </c>
      <c r="E48" s="14" t="inlineStr">
        <is>
          <t>외관 검사</t>
        </is>
      </c>
      <c r="F48" s="15">
        <f>IFERROR(VLOOKUP(E48,'Reference Data 기준데이터'!$A$8:$F$30,2,FALSE),"")</f>
        <v/>
      </c>
      <c r="G48" s="15">
        <f>IFERROR(VLOOKUP(B48&amp;"_"&amp;C48,'Reference Data 기준데이터'!$A$33:$B$51,2,FALSE),"")</f>
        <v/>
      </c>
      <c r="H48" s="16">
        <f>IFERROR(VLOOKUP(B48,'Reference Data 기준데이터'!$A$2:$J$5,3,FALSE),"")</f>
        <v/>
      </c>
      <c r="I48" s="16">
        <f>IFERROR(H48+VLOOKUP(B48,'Reference Data 기준데이터'!$A$2:$J$5,7,FALSE),"")</f>
        <v/>
      </c>
      <c r="J48" s="20" t="n">
        <v>46096</v>
      </c>
      <c r="K48" s="13" t="inlineStr">
        <is>
          <t>Approved</t>
        </is>
      </c>
      <c r="L48" s="16">
        <f>IFERROR(H48+VLOOKUP(B48,'Reference Data 기준데이터'!$A$2:$J$5,8,FALSE),"")</f>
        <v/>
      </c>
      <c r="M48" s="20" t="n">
        <v>46131</v>
      </c>
      <c r="N48" s="16">
        <f>IFERROR(IF(ISNUMBER(SEARCH("Vehicle",F48)),MAX(H48+VLOOKUP(B48,'Reference Data 기준데이터'!$A$2:$J$5,9,FALSE),VLOOKUP(B48,'Reference Data 기준데이터'!$A$2:$J$5,4,FALSE)),H48+VLOOKUP(B48,'Reference Data 기준데이터'!$A$2:$J$5,9,FALSE)),"")</f>
        <v/>
      </c>
      <c r="O48" s="20" t="n">
        <v>46146</v>
      </c>
      <c r="P48" s="16">
        <f>IFERROR(N48+VLOOKUP(E48,'Reference Data 기준데이터'!$A$8:$F$30,4,FALSE),"")</f>
        <v/>
      </c>
      <c r="Q48" s="20" t="n">
        <v>46169</v>
      </c>
      <c r="R48" s="16">
        <f>IFERROR(MIN(H48+VLOOKUP(B48,'Reference Data 기준데이터'!$A$2:$J$5,10,FALSE),VLOOKUP(B48,'Reference Data 기준데이터'!$A$2:$J$5,6,FALSE)),"")</f>
        <v/>
      </c>
      <c r="S48" s="20" t="n">
        <v>46175</v>
      </c>
      <c r="T48" s="13" t="n"/>
      <c r="U48" s="17">
        <f>IF(T48&lt;&gt;"",T48,IF(AND(S48&lt;&gt;"",Q48&lt;&gt;""),"11-결과등록완료",IF(AND(Q48&lt;&gt;"",S48=""),"10-시험완료",IF(AND(O48&lt;&gt;"",Q48=""),"09-시험준비중",IF(AND(M48&lt;&gt;"",O48=""),"08-단품준비완료",IF(K48="Approved","05-계획서승인",IF(K48="Revision Needed","04-검토중_조건불만족",IF(K48="Under Review","03-검토중_조건충족",IF(AND(J48&lt;&gt;"",K48=""),"02-계획서제출_미검토","01-계획서미제출")))))))))</f>
        <v/>
      </c>
      <c r="V48" s="18">
        <f>IFS(U48="01-계획서미제출",0,U48="02-계획서제출_미검토",0.05,U48="03-검토중_조건충족",0.1,U48="04-검토중_조건불만족",0.05,U48="05-계획서승인",0.2,U48="06-BIW생산중단",0.15,U48="07-생산완료_미인수",0.3,U48="08-단품준비완료",0.4,U48="09-시험준비중",0.55,U48="10-시험완료",0.85,U48="11-결과등록완료",1,U48="12-조건부승인검토",0.9,TRUE,0)</f>
        <v/>
      </c>
      <c r="W48" s="5">
        <f>IF(S48&lt;&gt;"","-",IF(R48="","N/A",R48-TODAY()))</f>
        <v/>
      </c>
      <c r="X48" s="17">
        <f>IF(U48="11-결과등록완료","DONE",IF(OR(U48="06-BIW생산중단",AND(U48="01-계획서미제출",I48&lt;TODAY())),"CRITICAL",IF(OR(U48="04-검토중_조건불만족",U48="07-생산완료_미인수",U48="12-조건부승인검토"),"ACTION",IF(AND(ISNUMBER(W48),W48&lt;=0),"OVERDUE",IF(AND(ISNUMBER(W48),W48&lt;=14),"WARNING","ON TRACK")))))</f>
        <v/>
      </c>
      <c r="Y48" s="19">
        <f>IF(U48="11-결과등록완료","— 완료",IF(U48="01-계획서미제출",IF(I48&lt;TODAY(),"계획서 제출 독촉 (OVERDUE)","계획서 제출 대기"),IF(U48="02-계획서제출_미검토","설계자: 계획서 검토 착수",IF(U48="03-검토중_조건충족","설계자: 승인 처리",IF(U48="04-검토중_조건불만족","보완 요청 → 협력사 재제출 독촉",IF(U48="05-계획서승인","시험편 준비 현황 확인",IF(U48="06-BIW생산중단","BIW 생산팀 확인 → 일정 재수립",IF(U48="07-생산완료_미인수","협력사 인수 독촉",IF(U48="08-단품준비완료","시험 일정 확인",IF(U48="09-시험준비중","시험 진행 모니터링",IF(U48="10-시험완료","결과 보고서 전산 등록 독촉",IF(U48="12-조건부승인검토","조건부 승인 여부 판단 → 관련부서 협의","—"))))))))))))</f>
        <v/>
      </c>
    </row>
    <row r="49">
      <c r="A49" s="5" t="n">
        <v>45</v>
      </c>
      <c r="B49" s="13" t="inlineStr">
        <is>
          <t>EN_SUV</t>
        </is>
      </c>
      <c r="C49" s="14" t="inlineStr">
        <is>
          <t>Center Console Assy</t>
        </is>
      </c>
      <c r="D49" s="15">
        <f>IFERROR(VLOOKUP(C49,'Reference Data 기준데이터'!$E$8:$F$30,2,FALSE),"")</f>
        <v/>
      </c>
      <c r="E49" s="14" t="inlineStr">
        <is>
          <t>VOC 방출 시험</t>
        </is>
      </c>
      <c r="F49" s="15">
        <f>IFERROR(VLOOKUP(E49,'Reference Data 기준데이터'!$A$8:$F$30,2,FALSE),"")</f>
        <v/>
      </c>
      <c r="G49" s="15">
        <f>IFERROR(VLOOKUP(B49&amp;"_"&amp;C49,'Reference Data 기준데이터'!$A$33:$B$51,2,FALSE),"")</f>
        <v/>
      </c>
      <c r="H49" s="16">
        <f>IFERROR(VLOOKUP(B49,'Reference Data 기준데이터'!$A$2:$J$5,3,FALSE),"")</f>
        <v/>
      </c>
      <c r="I49" s="16">
        <f>IFERROR(H49+VLOOKUP(B49,'Reference Data 기준데이터'!$A$2:$J$5,7,FALSE),"")</f>
        <v/>
      </c>
      <c r="J49" s="13" t="n"/>
      <c r="K49" s="13" t="n"/>
      <c r="L49" s="16">
        <f>IFERROR(H49+VLOOKUP(B49,'Reference Data 기준데이터'!$A$2:$J$5,8,FALSE),"")</f>
        <v/>
      </c>
      <c r="M49" s="13" t="n"/>
      <c r="N49" s="16">
        <f>IFERROR(IF(ISNUMBER(SEARCH("Vehicle",F49)),MAX(H49+VLOOKUP(B49,'Reference Data 기준데이터'!$A$2:$J$5,9,FALSE),VLOOKUP(B49,'Reference Data 기준데이터'!$A$2:$J$5,4,FALSE)),H49+VLOOKUP(B49,'Reference Data 기준데이터'!$A$2:$J$5,9,FALSE)),"")</f>
        <v/>
      </c>
      <c r="O49" s="13" t="n"/>
      <c r="P49" s="16">
        <f>IFERROR(N49+VLOOKUP(E49,'Reference Data 기준데이터'!$A$8:$F$30,4,FALSE),"")</f>
        <v/>
      </c>
      <c r="Q49" s="13" t="n"/>
      <c r="R49" s="16">
        <f>IFERROR(MIN(H49+VLOOKUP(B49,'Reference Data 기준데이터'!$A$2:$J$5,10,FALSE),VLOOKUP(B49,'Reference Data 기준데이터'!$A$2:$J$5,6,FALSE)),"")</f>
        <v/>
      </c>
      <c r="S49" s="13" t="n"/>
      <c r="T49" s="13" t="n"/>
      <c r="U49" s="17">
        <f>IF(T49&lt;&gt;"",T49,IF(AND(S49&lt;&gt;"",Q49&lt;&gt;""),"11-결과등록완료",IF(AND(Q49&lt;&gt;"",S49=""),"10-시험완료",IF(AND(O49&lt;&gt;"",Q49=""),"09-시험준비중",IF(AND(M49&lt;&gt;"",O49=""),"08-단품준비완료",IF(K49="Approved","05-계획서승인",IF(K49="Revision Needed","04-검토중_조건불만족",IF(K49="Under Review","03-검토중_조건충족",IF(AND(J49&lt;&gt;"",K49=""),"02-계획서제출_미검토","01-계획서미제출")))))))))</f>
        <v/>
      </c>
      <c r="V49" s="18">
        <f>IFS(U49="01-계획서미제출",0,U49="02-계획서제출_미검토",0.05,U49="03-검토중_조건충족",0.1,U49="04-검토중_조건불만족",0.05,U49="05-계획서승인",0.2,U49="06-BIW생산중단",0.15,U49="07-생산완료_미인수",0.3,U49="08-단품준비완료",0.4,U49="09-시험준비중",0.55,U49="10-시험완료",0.85,U49="11-결과등록완료",1,U49="12-조건부승인검토",0.9,TRUE,0)</f>
        <v/>
      </c>
      <c r="W49" s="5">
        <f>IF(S49&lt;&gt;"","-",IF(R49="","N/A",R49-TODAY()))</f>
        <v/>
      </c>
      <c r="X49" s="17">
        <f>IF(U49="11-결과등록완료","DONE",IF(OR(U49="06-BIW생산중단",AND(U49="01-계획서미제출",I49&lt;TODAY())),"CRITICAL",IF(OR(U49="04-검토중_조건불만족",U49="07-생산완료_미인수",U49="12-조건부승인검토"),"ACTION",IF(AND(ISNUMBER(W49),W49&lt;=0),"OVERDUE",IF(AND(ISNUMBER(W49),W49&lt;=14),"WARNING","ON TRACK")))))</f>
        <v/>
      </c>
      <c r="Y49" s="19">
        <f>IF(U49="11-결과등록완료","— 완료",IF(U49="01-계획서미제출",IF(I49&lt;TODAY(),"계획서 제출 독촉 (OVERDUE)","계획서 제출 대기"),IF(U49="02-계획서제출_미검토","설계자: 계획서 검토 착수",IF(U49="03-검토중_조건충족","설계자: 승인 처리",IF(U49="04-검토중_조건불만족","보완 요청 → 협력사 재제출 독촉",IF(U49="05-계획서승인","시험편 준비 현황 확인",IF(U49="06-BIW생산중단","BIW 생산팀 확인 → 일정 재수립",IF(U49="07-생산완료_미인수","협력사 인수 독촉",IF(U49="08-단품준비완료","시험 일정 확인",IF(U49="09-시험준비중","시험 진행 모니터링",IF(U49="10-시험완료","결과 보고서 전산 등록 독촉",IF(U49="12-조건부승인검토","조건부 승인 여부 판단 → 관련부서 협의","—"))))))))))))</f>
        <v/>
      </c>
    </row>
    <row r="50">
      <c r="A50" s="5" t="n">
        <v>46</v>
      </c>
      <c r="B50" s="13" t="inlineStr">
        <is>
          <t>EN_SUV</t>
        </is>
      </c>
      <c r="C50" s="14" t="inlineStr">
        <is>
          <t>Center Console Assy</t>
        </is>
      </c>
      <c r="D50" s="15">
        <f>IFERROR(VLOOKUP(C50,'Reference Data 기준데이터'!$E$8:$F$30,2,FALSE),"")</f>
        <v/>
      </c>
      <c r="E50" s="14" t="inlineStr">
        <is>
          <t>내열 시험</t>
        </is>
      </c>
      <c r="F50" s="15">
        <f>IFERROR(VLOOKUP(E50,'Reference Data 기준데이터'!$A$8:$F$30,2,FALSE),"")</f>
        <v/>
      </c>
      <c r="G50" s="15">
        <f>IFERROR(VLOOKUP(B50&amp;"_"&amp;C50,'Reference Data 기준데이터'!$A$33:$B$51,2,FALSE),"")</f>
        <v/>
      </c>
      <c r="H50" s="16">
        <f>IFERROR(VLOOKUP(B50,'Reference Data 기준데이터'!$A$2:$J$5,3,FALSE),"")</f>
        <v/>
      </c>
      <c r="I50" s="16">
        <f>IFERROR(H50+VLOOKUP(B50,'Reference Data 기준데이터'!$A$2:$J$5,7,FALSE),"")</f>
        <v/>
      </c>
      <c r="J50" s="20" t="n">
        <v>46065</v>
      </c>
      <c r="K50" s="13" t="inlineStr">
        <is>
          <t>Approved</t>
        </is>
      </c>
      <c r="L50" s="16">
        <f>IFERROR(H50+VLOOKUP(B50,'Reference Data 기준데이터'!$A$2:$J$5,8,FALSE),"")</f>
        <v/>
      </c>
      <c r="M50" s="13" t="n"/>
      <c r="N50" s="16">
        <f>IFERROR(IF(ISNUMBER(SEARCH("Vehicle",F50)),MAX(H50+VLOOKUP(B50,'Reference Data 기준데이터'!$A$2:$J$5,9,FALSE),VLOOKUP(B50,'Reference Data 기준데이터'!$A$2:$J$5,4,FALSE)),H50+VLOOKUP(B50,'Reference Data 기준데이터'!$A$2:$J$5,9,FALSE)),"")</f>
        <v/>
      </c>
      <c r="O50" s="13" t="n"/>
      <c r="P50" s="16">
        <f>IFERROR(N50+VLOOKUP(E50,'Reference Data 기준데이터'!$A$8:$F$30,4,FALSE),"")</f>
        <v/>
      </c>
      <c r="Q50" s="13" t="n"/>
      <c r="R50" s="16">
        <f>IFERROR(MIN(H50+VLOOKUP(B50,'Reference Data 기준데이터'!$A$2:$J$5,10,FALSE),VLOOKUP(B50,'Reference Data 기준데이터'!$A$2:$J$5,6,FALSE)),"")</f>
        <v/>
      </c>
      <c r="S50" s="13" t="n"/>
      <c r="T50" s="13" t="n"/>
      <c r="U50" s="17">
        <f>IF(T50&lt;&gt;"",T50,IF(AND(S50&lt;&gt;"",Q50&lt;&gt;""),"11-결과등록완료",IF(AND(Q50&lt;&gt;"",S50=""),"10-시험완료",IF(AND(O50&lt;&gt;"",Q50=""),"09-시험준비중",IF(AND(M50&lt;&gt;"",O50=""),"08-단품준비완료",IF(K50="Approved","05-계획서승인",IF(K50="Revision Needed","04-검토중_조건불만족",IF(K50="Under Review","03-검토중_조건충족",IF(AND(J50&lt;&gt;"",K50=""),"02-계획서제출_미검토","01-계획서미제출")))))))))</f>
        <v/>
      </c>
      <c r="V50" s="18">
        <f>IFS(U50="01-계획서미제출",0,U50="02-계획서제출_미검토",0.05,U50="03-검토중_조건충족",0.1,U50="04-검토중_조건불만족",0.05,U50="05-계획서승인",0.2,U50="06-BIW생산중단",0.15,U50="07-생산완료_미인수",0.3,U50="08-단품준비완료",0.4,U50="09-시험준비중",0.55,U50="10-시험완료",0.85,U50="11-결과등록완료",1,U50="12-조건부승인검토",0.9,TRUE,0)</f>
        <v/>
      </c>
      <c r="W50" s="5">
        <f>IF(S50&lt;&gt;"","-",IF(R50="","N/A",R50-TODAY()))</f>
        <v/>
      </c>
      <c r="X50" s="17">
        <f>IF(U50="11-결과등록완료","DONE",IF(OR(U50="06-BIW생산중단",AND(U50="01-계획서미제출",I50&lt;TODAY())),"CRITICAL",IF(OR(U50="04-검토중_조건불만족",U50="07-생산완료_미인수",U50="12-조건부승인검토"),"ACTION",IF(AND(ISNUMBER(W50),W50&lt;=0),"OVERDUE",IF(AND(ISNUMBER(W50),W50&lt;=14),"WARNING","ON TRACK")))))</f>
        <v/>
      </c>
      <c r="Y50" s="19">
        <f>IF(U50="11-결과등록완료","— 완료",IF(U50="01-계획서미제출",IF(I50&lt;TODAY(),"계획서 제출 독촉 (OVERDUE)","계획서 제출 대기"),IF(U50="02-계획서제출_미검토","설계자: 계획서 검토 착수",IF(U50="03-검토중_조건충족","설계자: 승인 처리",IF(U50="04-검토중_조건불만족","보완 요청 → 협력사 재제출 독촉",IF(U50="05-계획서승인","시험편 준비 현황 확인",IF(U50="06-BIW생산중단","BIW 생산팀 확인 → 일정 재수립",IF(U50="07-생산완료_미인수","협력사 인수 독촉",IF(U50="08-단품준비완료","시험 일정 확인",IF(U50="09-시험준비중","시험 진행 모니터링",IF(U50="10-시험완료","결과 보고서 전산 등록 독촉",IF(U50="12-조건부승인검토","조건부 승인 여부 판단 → 관련부서 협의","—"))))))))))))</f>
        <v/>
      </c>
    </row>
    <row r="51">
      <c r="A51" s="5" t="n">
        <v>47</v>
      </c>
      <c r="B51" s="13" t="inlineStr">
        <is>
          <t>EN_SUV</t>
        </is>
      </c>
      <c r="C51" s="14" t="inlineStr">
        <is>
          <t>Center Console Assy</t>
        </is>
      </c>
      <c r="D51" s="15">
        <f>IFERROR(VLOOKUP(C51,'Reference Data 기준데이터'!$E$8:$F$30,2,FALSE),"")</f>
        <v/>
      </c>
      <c r="E51" s="14" t="inlineStr">
        <is>
          <t>마모 시험</t>
        </is>
      </c>
      <c r="F51" s="15">
        <f>IFERROR(VLOOKUP(E51,'Reference Data 기준데이터'!$A$8:$F$30,2,FALSE),"")</f>
        <v/>
      </c>
      <c r="G51" s="15">
        <f>IFERROR(VLOOKUP(B51&amp;"_"&amp;C51,'Reference Data 기준데이터'!$A$33:$B$51,2,FALSE),"")</f>
        <v/>
      </c>
      <c r="H51" s="16">
        <f>IFERROR(VLOOKUP(B51,'Reference Data 기준데이터'!$A$2:$J$5,3,FALSE),"")</f>
        <v/>
      </c>
      <c r="I51" s="16">
        <f>IFERROR(H51+VLOOKUP(B51,'Reference Data 기준데이터'!$A$2:$J$5,7,FALSE),"")</f>
        <v/>
      </c>
      <c r="J51" s="20" t="n">
        <v>46066</v>
      </c>
      <c r="K51" s="13" t="inlineStr">
        <is>
          <t>Approved</t>
        </is>
      </c>
      <c r="L51" s="16">
        <f>IFERROR(H51+VLOOKUP(B51,'Reference Data 기준데이터'!$A$2:$J$5,8,FALSE),"")</f>
        <v/>
      </c>
      <c r="M51" s="20" t="n">
        <v>46106</v>
      </c>
      <c r="N51" s="16">
        <f>IFERROR(IF(ISNUMBER(SEARCH("Vehicle",F51)),MAX(H51+VLOOKUP(B51,'Reference Data 기준데이터'!$A$2:$J$5,9,FALSE),VLOOKUP(B51,'Reference Data 기준데이터'!$A$2:$J$5,4,FALSE)),H51+VLOOKUP(B51,'Reference Data 기준데이터'!$A$2:$J$5,9,FALSE)),"")</f>
        <v/>
      </c>
      <c r="O51" s="20" t="n">
        <v>46121</v>
      </c>
      <c r="P51" s="16">
        <f>IFERROR(N51+VLOOKUP(E51,'Reference Data 기준데이터'!$A$8:$F$30,4,FALSE),"")</f>
        <v/>
      </c>
      <c r="Q51" s="13" t="n"/>
      <c r="R51" s="16">
        <f>IFERROR(MIN(H51+VLOOKUP(B51,'Reference Data 기준데이터'!$A$2:$J$5,10,FALSE),VLOOKUP(B51,'Reference Data 기준데이터'!$A$2:$J$5,6,FALSE)),"")</f>
        <v/>
      </c>
      <c r="S51" s="13" t="n"/>
      <c r="T51" s="13" t="n"/>
      <c r="U51" s="17">
        <f>IF(T51&lt;&gt;"",T51,IF(AND(S51&lt;&gt;"",Q51&lt;&gt;""),"11-결과등록완료",IF(AND(Q51&lt;&gt;"",S51=""),"10-시험완료",IF(AND(O51&lt;&gt;"",Q51=""),"09-시험준비중",IF(AND(M51&lt;&gt;"",O51=""),"08-단품준비완료",IF(K51="Approved","05-계획서승인",IF(K51="Revision Needed","04-검토중_조건불만족",IF(K51="Under Review","03-검토중_조건충족",IF(AND(J51&lt;&gt;"",K51=""),"02-계획서제출_미검토","01-계획서미제출")))))))))</f>
        <v/>
      </c>
      <c r="V51" s="18">
        <f>IFS(U51="01-계획서미제출",0,U51="02-계획서제출_미검토",0.05,U51="03-검토중_조건충족",0.1,U51="04-검토중_조건불만족",0.05,U51="05-계획서승인",0.2,U51="06-BIW생산중단",0.15,U51="07-생산완료_미인수",0.3,U51="08-단품준비완료",0.4,U51="09-시험준비중",0.55,U51="10-시험완료",0.85,U51="11-결과등록완료",1,U51="12-조건부승인검토",0.9,TRUE,0)</f>
        <v/>
      </c>
      <c r="W51" s="5">
        <f>IF(S51&lt;&gt;"","-",IF(R51="","N/A",R51-TODAY()))</f>
        <v/>
      </c>
      <c r="X51" s="17">
        <f>IF(U51="11-결과등록완료","DONE",IF(OR(U51="06-BIW생산중단",AND(U51="01-계획서미제출",I51&lt;TODAY())),"CRITICAL",IF(OR(U51="04-검토중_조건불만족",U51="07-생산완료_미인수",U51="12-조건부승인검토"),"ACTION",IF(AND(ISNUMBER(W51),W51&lt;=0),"OVERDUE",IF(AND(ISNUMBER(W51),W51&lt;=14),"WARNING","ON TRACK")))))</f>
        <v/>
      </c>
      <c r="Y51" s="19">
        <f>IF(U51="11-결과등록완료","— 완료",IF(U51="01-계획서미제출",IF(I51&lt;TODAY(),"계획서 제출 독촉 (OVERDUE)","계획서 제출 대기"),IF(U51="02-계획서제출_미검토","설계자: 계획서 검토 착수",IF(U51="03-검토중_조건충족","설계자: 승인 처리",IF(U51="04-검토중_조건불만족","보완 요청 → 협력사 재제출 독촉",IF(U51="05-계획서승인","시험편 준비 현황 확인",IF(U51="06-BIW생산중단","BIW 생산팀 확인 → 일정 재수립",IF(U51="07-생산완료_미인수","협력사 인수 독촉",IF(U51="08-단품준비완료","시험 일정 확인",IF(U51="09-시험준비중","시험 진행 모니터링",IF(U51="10-시험완료","결과 보고서 전산 등록 독촉",IF(U51="12-조건부승인검토","조건부 승인 여부 판단 → 관련부서 협의","—"))))))))))))</f>
        <v/>
      </c>
    </row>
    <row r="52">
      <c r="A52" s="5" t="n">
        <v>48</v>
      </c>
      <c r="B52" s="13" t="inlineStr">
        <is>
          <t>EN_SUV</t>
        </is>
      </c>
      <c r="C52" s="14" t="inlineStr">
        <is>
          <t>Center Console Assy</t>
        </is>
      </c>
      <c r="D52" s="15">
        <f>IFERROR(VLOOKUP(C52,'Reference Data 기준데이터'!$E$8:$F$30,2,FALSE),"")</f>
        <v/>
      </c>
      <c r="E52" s="14" t="inlineStr">
        <is>
          <t>치수 검사</t>
        </is>
      </c>
      <c r="F52" s="15">
        <f>IFERROR(VLOOKUP(E52,'Reference Data 기준데이터'!$A$8:$F$30,2,FALSE),"")</f>
        <v/>
      </c>
      <c r="G52" s="15">
        <f>IFERROR(VLOOKUP(B52&amp;"_"&amp;C52,'Reference Data 기준데이터'!$A$33:$B$51,2,FALSE),"")</f>
        <v/>
      </c>
      <c r="H52" s="16">
        <f>IFERROR(VLOOKUP(B52,'Reference Data 기준데이터'!$A$2:$J$5,3,FALSE),"")</f>
        <v/>
      </c>
      <c r="I52" s="16">
        <f>IFERROR(H52+VLOOKUP(B52,'Reference Data 기준데이터'!$A$2:$J$5,7,FALSE),"")</f>
        <v/>
      </c>
      <c r="J52" s="20" t="n">
        <v>46067</v>
      </c>
      <c r="K52" s="13" t="inlineStr">
        <is>
          <t>Approved</t>
        </is>
      </c>
      <c r="L52" s="16">
        <f>IFERROR(H52+VLOOKUP(B52,'Reference Data 기준데이터'!$A$2:$J$5,8,FALSE),"")</f>
        <v/>
      </c>
      <c r="M52" s="20" t="n">
        <v>46099</v>
      </c>
      <c r="N52" s="16">
        <f>IFERROR(IF(ISNUMBER(SEARCH("Vehicle",F52)),MAX(H52+VLOOKUP(B52,'Reference Data 기준데이터'!$A$2:$J$5,9,FALSE),VLOOKUP(B52,'Reference Data 기준데이터'!$A$2:$J$5,4,FALSE)),H52+VLOOKUP(B52,'Reference Data 기준데이터'!$A$2:$J$5,9,FALSE)),"")</f>
        <v/>
      </c>
      <c r="O52" s="20" t="n">
        <v>46116</v>
      </c>
      <c r="P52" s="16">
        <f>IFERROR(N52+VLOOKUP(E52,'Reference Data 기준데이터'!$A$8:$F$30,4,FALSE),"")</f>
        <v/>
      </c>
      <c r="Q52" s="20" t="n">
        <v>46145</v>
      </c>
      <c r="R52" s="16">
        <f>IFERROR(MIN(H52+VLOOKUP(B52,'Reference Data 기준데이터'!$A$2:$J$5,10,FALSE),VLOOKUP(B52,'Reference Data 기준데이터'!$A$2:$J$5,6,FALSE)),"")</f>
        <v/>
      </c>
      <c r="S52" s="20" t="n">
        <v>46147</v>
      </c>
      <c r="T52" s="13" t="n"/>
      <c r="U52" s="17">
        <f>IF(T52&lt;&gt;"",T52,IF(AND(S52&lt;&gt;"",Q52&lt;&gt;""),"11-결과등록완료",IF(AND(Q52&lt;&gt;"",S52=""),"10-시험완료",IF(AND(O52&lt;&gt;"",Q52=""),"09-시험준비중",IF(AND(M52&lt;&gt;"",O52=""),"08-단품준비완료",IF(K52="Approved","05-계획서승인",IF(K52="Revision Needed","04-검토중_조건불만족",IF(K52="Under Review","03-검토중_조건충족",IF(AND(J52&lt;&gt;"",K52=""),"02-계획서제출_미검토","01-계획서미제출")))))))))</f>
        <v/>
      </c>
      <c r="V52" s="18">
        <f>IFS(U52="01-계획서미제출",0,U52="02-계획서제출_미검토",0.05,U52="03-검토중_조건충족",0.1,U52="04-검토중_조건불만족",0.05,U52="05-계획서승인",0.2,U52="06-BIW생산중단",0.15,U52="07-생산완료_미인수",0.3,U52="08-단품준비완료",0.4,U52="09-시험준비중",0.55,U52="10-시험완료",0.85,U52="11-결과등록완료",1,U52="12-조건부승인검토",0.9,TRUE,0)</f>
        <v/>
      </c>
      <c r="W52" s="5">
        <f>IF(S52&lt;&gt;"","-",IF(R52="","N/A",R52-TODAY()))</f>
        <v/>
      </c>
      <c r="X52" s="17">
        <f>IF(U52="11-결과등록완료","DONE",IF(OR(U52="06-BIW생산중단",AND(U52="01-계획서미제출",I52&lt;TODAY())),"CRITICAL",IF(OR(U52="04-검토중_조건불만족",U52="07-생산완료_미인수",U52="12-조건부승인검토"),"ACTION",IF(AND(ISNUMBER(W52),W52&lt;=0),"OVERDUE",IF(AND(ISNUMBER(W52),W52&lt;=14),"WARNING","ON TRACK")))))</f>
        <v/>
      </c>
      <c r="Y52" s="19">
        <f>IF(U52="11-결과등록완료","— 완료",IF(U52="01-계획서미제출",IF(I52&lt;TODAY(),"계획서 제출 독촉 (OVERDUE)","계획서 제출 대기"),IF(U52="02-계획서제출_미검토","설계자: 계획서 검토 착수",IF(U52="03-검토중_조건충족","설계자: 승인 처리",IF(U52="04-검토중_조건불만족","보완 요청 → 협력사 재제출 독촉",IF(U52="05-계획서승인","시험편 준비 현황 확인",IF(U52="06-BIW생산중단","BIW 생산팀 확인 → 일정 재수립",IF(U52="07-생산완료_미인수","협력사 인수 독촉",IF(U52="08-단품준비완료","시험 일정 확인",IF(U52="09-시험준비중","시험 진행 모니터링",IF(U52="10-시험완료","결과 보고서 전산 등록 독촉",IF(U52="12-조건부승인검토","조건부 승인 여부 판단 → 관련부서 협의","—"))))))))))))</f>
        <v/>
      </c>
    </row>
    <row r="53">
      <c r="A53" s="5" t="n">
        <v>49</v>
      </c>
      <c r="B53" s="13" t="inlineStr">
        <is>
          <t>EN_SUV</t>
        </is>
      </c>
      <c r="C53" s="14" t="inlineStr">
        <is>
          <t>Console Lid Assy</t>
        </is>
      </c>
      <c r="D53" s="15">
        <f>IFERROR(VLOOKUP(C53,'Reference Data 기준데이터'!$E$8:$F$30,2,FALSE),"")</f>
        <v/>
      </c>
      <c r="E53" s="14" t="inlineStr">
        <is>
          <t>VOC 방출 시험</t>
        </is>
      </c>
      <c r="F53" s="15">
        <f>IFERROR(VLOOKUP(E53,'Reference Data 기준데이터'!$A$8:$F$30,2,FALSE),"")</f>
        <v/>
      </c>
      <c r="G53" s="15">
        <f>IFERROR(VLOOKUP(B53&amp;"_"&amp;C53,'Reference Data 기준데이터'!$A$33:$B$51,2,FALSE),"")</f>
        <v/>
      </c>
      <c r="H53" s="16">
        <f>IFERROR(VLOOKUP(B53,'Reference Data 기준데이터'!$A$2:$J$5,3,FALSE),"")</f>
        <v/>
      </c>
      <c r="I53" s="16">
        <f>IFERROR(H53+VLOOKUP(B53,'Reference Data 기준데이터'!$A$2:$J$5,7,FALSE),"")</f>
        <v/>
      </c>
      <c r="J53" s="20" t="n">
        <v>46068</v>
      </c>
      <c r="K53" s="13" t="n"/>
      <c r="L53" s="16">
        <f>IFERROR(H53+VLOOKUP(B53,'Reference Data 기준데이터'!$A$2:$J$5,8,FALSE),"")</f>
        <v/>
      </c>
      <c r="M53" s="13" t="n"/>
      <c r="N53" s="16">
        <f>IFERROR(IF(ISNUMBER(SEARCH("Vehicle",F53)),MAX(H53+VLOOKUP(B53,'Reference Data 기준데이터'!$A$2:$J$5,9,FALSE),VLOOKUP(B53,'Reference Data 기준데이터'!$A$2:$J$5,4,FALSE)),H53+VLOOKUP(B53,'Reference Data 기준데이터'!$A$2:$J$5,9,FALSE)),"")</f>
        <v/>
      </c>
      <c r="O53" s="13" t="n"/>
      <c r="P53" s="16">
        <f>IFERROR(N53+VLOOKUP(E53,'Reference Data 기준데이터'!$A$8:$F$30,4,FALSE),"")</f>
        <v/>
      </c>
      <c r="Q53" s="13" t="n"/>
      <c r="R53" s="16">
        <f>IFERROR(MIN(H53+VLOOKUP(B53,'Reference Data 기준데이터'!$A$2:$J$5,10,FALSE),VLOOKUP(B53,'Reference Data 기준데이터'!$A$2:$J$5,6,FALSE)),"")</f>
        <v/>
      </c>
      <c r="S53" s="13" t="n"/>
      <c r="T53" s="13" t="n"/>
      <c r="U53" s="17">
        <f>IF(T53&lt;&gt;"",T53,IF(AND(S53&lt;&gt;"",Q53&lt;&gt;""),"11-결과등록완료",IF(AND(Q53&lt;&gt;"",S53=""),"10-시험완료",IF(AND(O53&lt;&gt;"",Q53=""),"09-시험준비중",IF(AND(M53&lt;&gt;"",O53=""),"08-단품준비완료",IF(K53="Approved","05-계획서승인",IF(K53="Revision Needed","04-검토중_조건불만족",IF(K53="Under Review","03-검토중_조건충족",IF(AND(J53&lt;&gt;"",K53=""),"02-계획서제출_미검토","01-계획서미제출")))))))))</f>
        <v/>
      </c>
      <c r="V53" s="18">
        <f>IFS(U53="01-계획서미제출",0,U53="02-계획서제출_미검토",0.05,U53="03-검토중_조건충족",0.1,U53="04-검토중_조건불만족",0.05,U53="05-계획서승인",0.2,U53="06-BIW생산중단",0.15,U53="07-생산완료_미인수",0.3,U53="08-단품준비완료",0.4,U53="09-시험준비중",0.55,U53="10-시험완료",0.85,U53="11-결과등록완료",1,U53="12-조건부승인검토",0.9,TRUE,0)</f>
        <v/>
      </c>
      <c r="W53" s="5">
        <f>IF(S53&lt;&gt;"","-",IF(R53="","N/A",R53-TODAY()))</f>
        <v/>
      </c>
      <c r="X53" s="17">
        <f>IF(U53="11-결과등록완료","DONE",IF(OR(U53="06-BIW생산중단",AND(U53="01-계획서미제출",I53&lt;TODAY())),"CRITICAL",IF(OR(U53="04-검토중_조건불만족",U53="07-생산완료_미인수",U53="12-조건부승인검토"),"ACTION",IF(AND(ISNUMBER(W53),W53&lt;=0),"OVERDUE",IF(AND(ISNUMBER(W53),W53&lt;=14),"WARNING","ON TRACK")))))</f>
        <v/>
      </c>
      <c r="Y53" s="19">
        <f>IF(U53="11-결과등록완료","— 완료",IF(U53="01-계획서미제출",IF(I53&lt;TODAY(),"계획서 제출 독촉 (OVERDUE)","계획서 제출 대기"),IF(U53="02-계획서제출_미검토","설계자: 계획서 검토 착수",IF(U53="03-검토중_조건충족","설계자: 승인 처리",IF(U53="04-검토중_조건불만족","보완 요청 → 협력사 재제출 독촉",IF(U53="05-계획서승인","시험편 준비 현황 확인",IF(U53="06-BIW생산중단","BIW 생산팀 확인 → 일정 재수립",IF(U53="07-생산완료_미인수","협력사 인수 독촉",IF(U53="08-단품준비완료","시험 일정 확인",IF(U53="09-시험준비중","시험 진행 모니터링",IF(U53="10-시험완료","결과 보고서 전산 등록 독촉",IF(U53="12-조건부승인검토","조건부 승인 여부 판단 → 관련부서 협의","—"))))))))))))</f>
        <v/>
      </c>
    </row>
    <row r="54">
      <c r="A54" s="5" t="n">
        <v>50</v>
      </c>
      <c r="B54" s="13" t="inlineStr">
        <is>
          <t>EN_SUV</t>
        </is>
      </c>
      <c r="C54" s="14" t="inlineStr">
        <is>
          <t>Console Lid Assy</t>
        </is>
      </c>
      <c r="D54" s="15">
        <f>IFERROR(VLOOKUP(C54,'Reference Data 기준데이터'!$E$8:$F$30,2,FALSE),"")</f>
        <v/>
      </c>
      <c r="E54" s="14" t="inlineStr">
        <is>
          <t>힌지 내구 시험</t>
        </is>
      </c>
      <c r="F54" s="15">
        <f>IFERROR(VLOOKUP(E54,'Reference Data 기준데이터'!$A$8:$F$30,2,FALSE),"")</f>
        <v/>
      </c>
      <c r="G54" s="15">
        <f>IFERROR(VLOOKUP(B54&amp;"_"&amp;C54,'Reference Data 기준데이터'!$A$33:$B$51,2,FALSE),"")</f>
        <v/>
      </c>
      <c r="H54" s="16">
        <f>IFERROR(VLOOKUP(B54,'Reference Data 기준데이터'!$A$2:$J$5,3,FALSE),"")</f>
        <v/>
      </c>
      <c r="I54" s="16">
        <f>IFERROR(H54+VLOOKUP(B54,'Reference Data 기준데이터'!$A$2:$J$5,7,FALSE),"")</f>
        <v/>
      </c>
      <c r="J54" s="20" t="n">
        <v>46064</v>
      </c>
      <c r="K54" s="13" t="inlineStr">
        <is>
          <t>Approved</t>
        </is>
      </c>
      <c r="L54" s="16">
        <f>IFERROR(H54+VLOOKUP(B54,'Reference Data 기준데이터'!$A$2:$J$5,8,FALSE),"")</f>
        <v/>
      </c>
      <c r="M54" s="20" t="n">
        <v>46101</v>
      </c>
      <c r="N54" s="16">
        <f>IFERROR(IF(ISNUMBER(SEARCH("Vehicle",F54)),MAX(H54+VLOOKUP(B54,'Reference Data 기준데이터'!$A$2:$J$5,9,FALSE),VLOOKUP(B54,'Reference Data 기준데이터'!$A$2:$J$5,4,FALSE)),H54+VLOOKUP(B54,'Reference Data 기준데이터'!$A$2:$J$5,9,FALSE)),"")</f>
        <v/>
      </c>
      <c r="O54" s="13" t="n"/>
      <c r="P54" s="16">
        <f>IFERROR(N54+VLOOKUP(E54,'Reference Data 기준데이터'!$A$8:$F$30,4,FALSE),"")</f>
        <v/>
      </c>
      <c r="Q54" s="13" t="n"/>
      <c r="R54" s="16">
        <f>IFERROR(MIN(H54+VLOOKUP(B54,'Reference Data 기준데이터'!$A$2:$J$5,10,FALSE),VLOOKUP(B54,'Reference Data 기준데이터'!$A$2:$J$5,6,FALSE)),"")</f>
        <v/>
      </c>
      <c r="S54" s="13" t="n"/>
      <c r="T54" s="13" t="n"/>
      <c r="U54" s="17">
        <f>IF(T54&lt;&gt;"",T54,IF(AND(S54&lt;&gt;"",Q54&lt;&gt;""),"11-결과등록완료",IF(AND(Q54&lt;&gt;"",S54=""),"10-시험완료",IF(AND(O54&lt;&gt;"",Q54=""),"09-시험준비중",IF(AND(M54&lt;&gt;"",O54=""),"08-단품준비완료",IF(K54="Approved","05-계획서승인",IF(K54="Revision Needed","04-검토중_조건불만족",IF(K54="Under Review","03-검토중_조건충족",IF(AND(J54&lt;&gt;"",K54=""),"02-계획서제출_미검토","01-계획서미제출")))))))))</f>
        <v/>
      </c>
      <c r="V54" s="18">
        <f>IFS(U54="01-계획서미제출",0,U54="02-계획서제출_미검토",0.05,U54="03-검토중_조건충족",0.1,U54="04-검토중_조건불만족",0.05,U54="05-계획서승인",0.2,U54="06-BIW생산중단",0.15,U54="07-생산완료_미인수",0.3,U54="08-단품준비완료",0.4,U54="09-시험준비중",0.55,U54="10-시험완료",0.85,U54="11-결과등록완료",1,U54="12-조건부승인검토",0.9,TRUE,0)</f>
        <v/>
      </c>
      <c r="W54" s="5">
        <f>IF(S54&lt;&gt;"","-",IF(R54="","N/A",R54-TODAY()))</f>
        <v/>
      </c>
      <c r="X54" s="17">
        <f>IF(U54="11-결과등록완료","DONE",IF(OR(U54="06-BIW생산중단",AND(U54="01-계획서미제출",I54&lt;TODAY())),"CRITICAL",IF(OR(U54="04-검토중_조건불만족",U54="07-생산완료_미인수",U54="12-조건부승인검토"),"ACTION",IF(AND(ISNUMBER(W54),W54&lt;=0),"OVERDUE",IF(AND(ISNUMBER(W54),W54&lt;=14),"WARNING","ON TRACK")))))</f>
        <v/>
      </c>
      <c r="Y54" s="19">
        <f>IF(U54="11-결과등록완료","— 완료",IF(U54="01-계획서미제출",IF(I54&lt;TODAY(),"계획서 제출 독촉 (OVERDUE)","계획서 제출 대기"),IF(U54="02-계획서제출_미검토","설계자: 계획서 검토 착수",IF(U54="03-검토중_조건충족","설계자: 승인 처리",IF(U54="04-검토중_조건불만족","보완 요청 → 협력사 재제출 독촉",IF(U54="05-계획서승인","시험편 준비 현황 확인",IF(U54="06-BIW생산중단","BIW 생산팀 확인 → 일정 재수립",IF(U54="07-생산완료_미인수","협력사 인수 독촉",IF(U54="08-단품준비완료","시험 일정 확인",IF(U54="09-시험준비중","시험 진행 모니터링",IF(U54="10-시험완료","결과 보고서 전산 등록 독촉",IF(U54="12-조건부승인검토","조건부 승인 여부 판단 → 관련부서 협의","—"))))))))))))</f>
        <v/>
      </c>
    </row>
    <row r="55">
      <c r="A55" s="5" t="n">
        <v>51</v>
      </c>
      <c r="B55" s="13" t="inlineStr">
        <is>
          <t>EN_SUV</t>
        </is>
      </c>
      <c r="C55" s="14" t="inlineStr">
        <is>
          <t>Console Lid Assy</t>
        </is>
      </c>
      <c r="D55" s="15">
        <f>IFERROR(VLOOKUP(C55,'Reference Data 기준데이터'!$E$8:$F$30,2,FALSE),"")</f>
        <v/>
      </c>
      <c r="E55" s="14" t="inlineStr">
        <is>
          <t>외관 검사</t>
        </is>
      </c>
      <c r="F55" s="15">
        <f>IFERROR(VLOOKUP(E55,'Reference Data 기준데이터'!$A$8:$F$30,2,FALSE),"")</f>
        <v/>
      </c>
      <c r="G55" s="15">
        <f>IFERROR(VLOOKUP(B55&amp;"_"&amp;C55,'Reference Data 기준데이터'!$A$33:$B$51,2,FALSE),"")</f>
        <v/>
      </c>
      <c r="H55" s="16">
        <f>IFERROR(VLOOKUP(B55,'Reference Data 기준데이터'!$A$2:$J$5,3,FALSE),"")</f>
        <v/>
      </c>
      <c r="I55" s="16">
        <f>IFERROR(H55+VLOOKUP(B55,'Reference Data 기준데이터'!$A$2:$J$5,7,FALSE),"")</f>
        <v/>
      </c>
      <c r="J55" s="20" t="n">
        <v>46065</v>
      </c>
      <c r="K55" s="13" t="inlineStr">
        <is>
          <t>Approved</t>
        </is>
      </c>
      <c r="L55" s="16">
        <f>IFERROR(H55+VLOOKUP(B55,'Reference Data 기준데이터'!$A$2:$J$5,8,FALSE),"")</f>
        <v/>
      </c>
      <c r="M55" s="20" t="n">
        <v>46102</v>
      </c>
      <c r="N55" s="16">
        <f>IFERROR(IF(ISNUMBER(SEARCH("Vehicle",F55)),MAX(H55+VLOOKUP(B55,'Reference Data 기준데이터'!$A$2:$J$5,9,FALSE),VLOOKUP(B55,'Reference Data 기준데이터'!$A$2:$J$5,4,FALSE)),H55+VLOOKUP(B55,'Reference Data 기준데이터'!$A$2:$J$5,9,FALSE)),"")</f>
        <v/>
      </c>
      <c r="O55" s="20" t="n">
        <v>46119</v>
      </c>
      <c r="P55" s="16">
        <f>IFERROR(N55+VLOOKUP(E55,'Reference Data 기준데이터'!$A$8:$F$30,4,FALSE),"")</f>
        <v/>
      </c>
      <c r="Q55" s="20" t="n">
        <v>46141</v>
      </c>
      <c r="R55" s="16">
        <f>IFERROR(MIN(H55+VLOOKUP(B55,'Reference Data 기준데이터'!$A$2:$J$5,10,FALSE),VLOOKUP(B55,'Reference Data 기준데이터'!$A$2:$J$5,6,FALSE)),"")</f>
        <v/>
      </c>
      <c r="S55" s="20" t="n">
        <v>46150</v>
      </c>
      <c r="T55" s="13" t="n"/>
      <c r="U55" s="17">
        <f>IF(T55&lt;&gt;"",T55,IF(AND(S55&lt;&gt;"",Q55&lt;&gt;""),"11-결과등록완료",IF(AND(Q55&lt;&gt;"",S55=""),"10-시험완료",IF(AND(O55&lt;&gt;"",Q55=""),"09-시험준비중",IF(AND(M55&lt;&gt;"",O55=""),"08-단품준비완료",IF(K55="Approved","05-계획서승인",IF(K55="Revision Needed","04-검토중_조건불만족",IF(K55="Under Review","03-검토중_조건충족",IF(AND(J55&lt;&gt;"",K55=""),"02-계획서제출_미검토","01-계획서미제출")))))))))</f>
        <v/>
      </c>
      <c r="V55" s="18">
        <f>IFS(U55="01-계획서미제출",0,U55="02-계획서제출_미검토",0.05,U55="03-검토중_조건충족",0.1,U55="04-검토중_조건불만족",0.05,U55="05-계획서승인",0.2,U55="06-BIW생산중단",0.15,U55="07-생산완료_미인수",0.3,U55="08-단품준비완료",0.4,U55="09-시험준비중",0.55,U55="10-시험완료",0.85,U55="11-결과등록완료",1,U55="12-조건부승인검토",0.9,TRUE,0)</f>
        <v/>
      </c>
      <c r="W55" s="5">
        <f>IF(S55&lt;&gt;"","-",IF(R55="","N/A",R55-TODAY()))</f>
        <v/>
      </c>
      <c r="X55" s="17">
        <f>IF(U55="11-결과등록완료","DONE",IF(OR(U55="06-BIW생산중단",AND(U55="01-계획서미제출",I55&lt;TODAY())),"CRITICAL",IF(OR(U55="04-검토중_조건불만족",U55="07-생산완료_미인수",U55="12-조건부승인검토"),"ACTION",IF(AND(ISNUMBER(W55),W55&lt;=0),"OVERDUE",IF(AND(ISNUMBER(W55),W55&lt;=14),"WARNING","ON TRACK")))))</f>
        <v/>
      </c>
      <c r="Y55" s="19">
        <f>IF(U55="11-결과등록완료","— 완료",IF(U55="01-계획서미제출",IF(I55&lt;TODAY(),"계획서 제출 독촉 (OVERDUE)","계획서 제출 대기"),IF(U55="02-계획서제출_미검토","설계자: 계획서 검토 착수",IF(U55="03-검토중_조건충족","설계자: 승인 처리",IF(U55="04-검토중_조건불만족","보완 요청 → 협력사 재제출 독촉",IF(U55="05-계획서승인","시험편 준비 현황 확인",IF(U55="06-BIW생산중단","BIW 생산팀 확인 → 일정 재수립",IF(U55="07-생산완료_미인수","협력사 인수 독촉",IF(U55="08-단품준비완료","시험 일정 확인",IF(U55="09-시험준비중","시험 진행 모니터링",IF(U55="10-시험완료","결과 보고서 전산 등록 독촉",IF(U55="12-조건부승인검토","조건부 승인 여부 판단 → 관련부서 협의","—"))))))))))))</f>
        <v/>
      </c>
    </row>
    <row r="56">
      <c r="A56" s="5" t="n">
        <v>52</v>
      </c>
      <c r="B56" s="13" t="inlineStr">
        <is>
          <t>EN_SUV</t>
        </is>
      </c>
      <c r="C56" s="14" t="inlineStr">
        <is>
          <t>Door Trim LH</t>
        </is>
      </c>
      <c r="D56" s="15">
        <f>IFERROR(VLOOKUP(C56,'Reference Data 기준데이터'!$E$8:$F$30,2,FALSE),"")</f>
        <v/>
      </c>
      <c r="E56" s="14" t="inlineStr">
        <is>
          <t>VOC 방출 시험</t>
        </is>
      </c>
      <c r="F56" s="15">
        <f>IFERROR(VLOOKUP(E56,'Reference Data 기준데이터'!$A$8:$F$30,2,FALSE),"")</f>
        <v/>
      </c>
      <c r="G56" s="15">
        <f>IFERROR(VLOOKUP(B56&amp;"_"&amp;C56,'Reference Data 기준데이터'!$A$33:$B$51,2,FALSE),"")</f>
        <v/>
      </c>
      <c r="H56" s="16">
        <f>IFERROR(VLOOKUP(B56,'Reference Data 기준데이터'!$A$2:$J$5,3,FALSE),"")</f>
        <v/>
      </c>
      <c r="I56" s="16">
        <f>IFERROR(H56+VLOOKUP(B56,'Reference Data 기준데이터'!$A$2:$J$5,7,FALSE),"")</f>
        <v/>
      </c>
      <c r="J56" s="20" t="n">
        <v>46066</v>
      </c>
      <c r="K56" s="13" t="inlineStr">
        <is>
          <t>Under Review</t>
        </is>
      </c>
      <c r="L56" s="16">
        <f>IFERROR(H56+VLOOKUP(B56,'Reference Data 기준데이터'!$A$2:$J$5,8,FALSE),"")</f>
        <v/>
      </c>
      <c r="M56" s="13" t="n"/>
      <c r="N56" s="16">
        <f>IFERROR(IF(ISNUMBER(SEARCH("Vehicle",F56)),MAX(H56+VLOOKUP(B56,'Reference Data 기준데이터'!$A$2:$J$5,9,FALSE),VLOOKUP(B56,'Reference Data 기준데이터'!$A$2:$J$5,4,FALSE)),H56+VLOOKUP(B56,'Reference Data 기준데이터'!$A$2:$J$5,9,FALSE)),"")</f>
        <v/>
      </c>
      <c r="O56" s="13" t="n"/>
      <c r="P56" s="16">
        <f>IFERROR(N56+VLOOKUP(E56,'Reference Data 기준데이터'!$A$8:$F$30,4,FALSE),"")</f>
        <v/>
      </c>
      <c r="Q56" s="13" t="n"/>
      <c r="R56" s="16">
        <f>IFERROR(MIN(H56+VLOOKUP(B56,'Reference Data 기준데이터'!$A$2:$J$5,10,FALSE),VLOOKUP(B56,'Reference Data 기준데이터'!$A$2:$J$5,6,FALSE)),"")</f>
        <v/>
      </c>
      <c r="S56" s="13" t="n"/>
      <c r="T56" s="13" t="n"/>
      <c r="U56" s="17">
        <f>IF(T56&lt;&gt;"",T56,IF(AND(S56&lt;&gt;"",Q56&lt;&gt;""),"11-결과등록완료",IF(AND(Q56&lt;&gt;"",S56=""),"10-시험완료",IF(AND(O56&lt;&gt;"",Q56=""),"09-시험준비중",IF(AND(M56&lt;&gt;"",O56=""),"08-단품준비완료",IF(K56="Approved","05-계획서승인",IF(K56="Revision Needed","04-검토중_조건불만족",IF(K56="Under Review","03-검토중_조건충족",IF(AND(J56&lt;&gt;"",K56=""),"02-계획서제출_미검토","01-계획서미제출")))))))))</f>
        <v/>
      </c>
      <c r="V56" s="18">
        <f>IFS(U56="01-계획서미제출",0,U56="02-계획서제출_미검토",0.05,U56="03-검토중_조건충족",0.1,U56="04-검토중_조건불만족",0.05,U56="05-계획서승인",0.2,U56="06-BIW생산중단",0.15,U56="07-생산완료_미인수",0.3,U56="08-단품준비완료",0.4,U56="09-시험준비중",0.55,U56="10-시험완료",0.85,U56="11-결과등록완료",1,U56="12-조건부승인검토",0.9,TRUE,0)</f>
        <v/>
      </c>
      <c r="W56" s="5">
        <f>IF(S56&lt;&gt;"","-",IF(R56="","N/A",R56-TODAY()))</f>
        <v/>
      </c>
      <c r="X56" s="17">
        <f>IF(U56="11-결과등록완료","DONE",IF(OR(U56="06-BIW생산중단",AND(U56="01-계획서미제출",I56&lt;TODAY())),"CRITICAL",IF(OR(U56="04-검토중_조건불만족",U56="07-생산완료_미인수",U56="12-조건부승인검토"),"ACTION",IF(AND(ISNUMBER(W56),W56&lt;=0),"OVERDUE",IF(AND(ISNUMBER(W56),W56&lt;=14),"WARNING","ON TRACK")))))</f>
        <v/>
      </c>
      <c r="Y56" s="19">
        <f>IF(U56="11-결과등록완료","— 완료",IF(U56="01-계획서미제출",IF(I56&lt;TODAY(),"계획서 제출 독촉 (OVERDUE)","계획서 제출 대기"),IF(U56="02-계획서제출_미검토","설계자: 계획서 검토 착수",IF(U56="03-검토중_조건충족","설계자: 승인 처리",IF(U56="04-검토중_조건불만족","보완 요청 → 협력사 재제출 독촉",IF(U56="05-계획서승인","시험편 준비 현황 확인",IF(U56="06-BIW생산중단","BIW 생산팀 확인 → 일정 재수립",IF(U56="07-생산완료_미인수","협력사 인수 독촉",IF(U56="08-단품준비완료","시험 일정 확인",IF(U56="09-시험준비중","시험 진행 모니터링",IF(U56="10-시험완료","결과 보고서 전산 등록 독촉",IF(U56="12-조건부승인검토","조건부 승인 여부 판단 → 관련부서 협의","—"))))))))))))</f>
        <v/>
      </c>
    </row>
    <row r="57">
      <c r="A57" s="5" t="n">
        <v>53</v>
      </c>
      <c r="B57" s="13" t="inlineStr">
        <is>
          <t>EN_SUV</t>
        </is>
      </c>
      <c r="C57" s="14" t="inlineStr">
        <is>
          <t>Door Trim LH</t>
        </is>
      </c>
      <c r="D57" s="15">
        <f>IFERROR(VLOOKUP(C57,'Reference Data 기준데이터'!$E$8:$F$30,2,FALSE),"")</f>
        <v/>
      </c>
      <c r="E57" s="14" t="inlineStr">
        <is>
          <t>내후성 시험</t>
        </is>
      </c>
      <c r="F57" s="15">
        <f>IFERROR(VLOOKUP(E57,'Reference Data 기준데이터'!$A$8:$F$30,2,FALSE),"")</f>
        <v/>
      </c>
      <c r="G57" s="15">
        <f>IFERROR(VLOOKUP(B57&amp;"_"&amp;C57,'Reference Data 기준데이터'!$A$33:$B$51,2,FALSE),"")</f>
        <v/>
      </c>
      <c r="H57" s="16">
        <f>IFERROR(VLOOKUP(B57,'Reference Data 기준데이터'!$A$2:$J$5,3,FALSE),"")</f>
        <v/>
      </c>
      <c r="I57" s="16">
        <f>IFERROR(H57+VLOOKUP(B57,'Reference Data 기준데이터'!$A$2:$J$5,7,FALSE),"")</f>
        <v/>
      </c>
      <c r="J57" s="20" t="n">
        <v>46067</v>
      </c>
      <c r="K57" s="13" t="inlineStr">
        <is>
          <t>Approved</t>
        </is>
      </c>
      <c r="L57" s="16">
        <f>IFERROR(H57+VLOOKUP(B57,'Reference Data 기준데이터'!$A$2:$J$5,8,FALSE),"")</f>
        <v/>
      </c>
      <c r="M57" s="20" t="n">
        <v>46104</v>
      </c>
      <c r="N57" s="16">
        <f>IFERROR(IF(ISNUMBER(SEARCH("Vehicle",F57)),MAX(H57+VLOOKUP(B57,'Reference Data 기준데이터'!$A$2:$J$5,9,FALSE),VLOOKUP(B57,'Reference Data 기준데이터'!$A$2:$J$5,4,FALSE)),H57+VLOOKUP(B57,'Reference Data 기준데이터'!$A$2:$J$5,9,FALSE)),"")</f>
        <v/>
      </c>
      <c r="O57" s="20" t="n">
        <v>46121</v>
      </c>
      <c r="P57" s="16">
        <f>IFERROR(N57+VLOOKUP(E57,'Reference Data 기준데이터'!$A$8:$F$30,4,FALSE),"")</f>
        <v/>
      </c>
      <c r="Q57" s="20" t="n">
        <v>46143</v>
      </c>
      <c r="R57" s="16">
        <f>IFERROR(MIN(H57+VLOOKUP(B57,'Reference Data 기준데이터'!$A$2:$J$5,10,FALSE),VLOOKUP(B57,'Reference Data 기준데이터'!$A$2:$J$5,6,FALSE)),"")</f>
        <v/>
      </c>
      <c r="S57" s="13" t="n"/>
      <c r="T57" s="13" t="n"/>
      <c r="U57" s="17">
        <f>IF(T57&lt;&gt;"",T57,IF(AND(S57&lt;&gt;"",Q57&lt;&gt;""),"11-결과등록완료",IF(AND(Q57&lt;&gt;"",S57=""),"10-시험완료",IF(AND(O57&lt;&gt;"",Q57=""),"09-시험준비중",IF(AND(M57&lt;&gt;"",O57=""),"08-단품준비완료",IF(K57="Approved","05-계획서승인",IF(K57="Revision Needed","04-검토중_조건불만족",IF(K57="Under Review","03-검토중_조건충족",IF(AND(J57&lt;&gt;"",K57=""),"02-계획서제출_미검토","01-계획서미제출")))))))))</f>
        <v/>
      </c>
      <c r="V57" s="18">
        <f>IFS(U57="01-계획서미제출",0,U57="02-계획서제출_미검토",0.05,U57="03-검토중_조건충족",0.1,U57="04-검토중_조건불만족",0.05,U57="05-계획서승인",0.2,U57="06-BIW생산중단",0.15,U57="07-생산완료_미인수",0.3,U57="08-단품준비완료",0.4,U57="09-시험준비중",0.55,U57="10-시험완료",0.85,U57="11-결과등록완료",1,U57="12-조건부승인검토",0.9,TRUE,0)</f>
        <v/>
      </c>
      <c r="W57" s="5">
        <f>IF(S57&lt;&gt;"","-",IF(R57="","N/A",R57-TODAY()))</f>
        <v/>
      </c>
      <c r="X57" s="17">
        <f>IF(U57="11-결과등록완료","DONE",IF(OR(U57="06-BIW생산중단",AND(U57="01-계획서미제출",I57&lt;TODAY())),"CRITICAL",IF(OR(U57="04-검토중_조건불만족",U57="07-생산완료_미인수",U57="12-조건부승인검토"),"ACTION",IF(AND(ISNUMBER(W57),W57&lt;=0),"OVERDUE",IF(AND(ISNUMBER(W57),W57&lt;=14),"WARNING","ON TRACK")))))</f>
        <v/>
      </c>
      <c r="Y57" s="19">
        <f>IF(U57="11-결과등록완료","— 완료",IF(U57="01-계획서미제출",IF(I57&lt;TODAY(),"계획서 제출 독촉 (OVERDUE)","계획서 제출 대기"),IF(U57="02-계획서제출_미검토","설계자: 계획서 검토 착수",IF(U57="03-검토중_조건충족","설계자: 승인 처리",IF(U57="04-검토중_조건불만족","보완 요청 → 협력사 재제출 독촉",IF(U57="05-계획서승인","시험편 준비 현황 확인",IF(U57="06-BIW생산중단","BIW 생산팀 확인 → 일정 재수립",IF(U57="07-생산완료_미인수","협력사 인수 독촉",IF(U57="08-단품준비완료","시험 일정 확인",IF(U57="09-시험준비중","시험 진행 모니터링",IF(U57="10-시험완료","결과 보고서 전산 등록 독촉",IF(U57="12-조건부승인검토","조건부 승인 여부 판단 → 관련부서 협의","—"))))))))))))</f>
        <v/>
      </c>
    </row>
    <row r="58">
      <c r="A58" s="5" t="n">
        <v>54</v>
      </c>
      <c r="B58" s="13" t="inlineStr">
        <is>
          <t>EN_SUV</t>
        </is>
      </c>
      <c r="C58" s="14" t="inlineStr">
        <is>
          <t>Door Trim LH</t>
        </is>
      </c>
      <c r="D58" s="15">
        <f>IFERROR(VLOOKUP(C58,'Reference Data 기준데이터'!$E$8:$F$30,2,FALSE),"")</f>
        <v/>
      </c>
      <c r="E58" s="14" t="inlineStr">
        <is>
          <t>연소성 시험</t>
        </is>
      </c>
      <c r="F58" s="15">
        <f>IFERROR(VLOOKUP(E58,'Reference Data 기준데이터'!$A$8:$F$30,2,FALSE),"")</f>
        <v/>
      </c>
      <c r="G58" s="15">
        <f>IFERROR(VLOOKUP(B58&amp;"_"&amp;C58,'Reference Data 기준데이터'!$A$33:$B$51,2,FALSE),"")</f>
        <v/>
      </c>
      <c r="H58" s="16">
        <f>IFERROR(VLOOKUP(B58,'Reference Data 기준데이터'!$A$2:$J$5,3,FALSE),"")</f>
        <v/>
      </c>
      <c r="I58" s="16">
        <f>IFERROR(H58+VLOOKUP(B58,'Reference Data 기준데이터'!$A$2:$J$5,7,FALSE),"")</f>
        <v/>
      </c>
      <c r="J58" s="20" t="n">
        <v>46068</v>
      </c>
      <c r="K58" s="13" t="inlineStr">
        <is>
          <t>Approved</t>
        </is>
      </c>
      <c r="L58" s="16">
        <f>IFERROR(H58+VLOOKUP(B58,'Reference Data 기준데이터'!$A$2:$J$5,8,FALSE),"")</f>
        <v/>
      </c>
      <c r="M58" s="13" t="n"/>
      <c r="N58" s="16">
        <f>IFERROR(IF(ISNUMBER(SEARCH("Vehicle",F58)),MAX(H58+VLOOKUP(B58,'Reference Data 기준데이터'!$A$2:$J$5,9,FALSE),VLOOKUP(B58,'Reference Data 기준데이터'!$A$2:$J$5,4,FALSE)),H58+VLOOKUP(B58,'Reference Data 기준데이터'!$A$2:$J$5,9,FALSE)),"")</f>
        <v/>
      </c>
      <c r="O58" s="13" t="n"/>
      <c r="P58" s="16">
        <f>IFERROR(N58+VLOOKUP(E58,'Reference Data 기준데이터'!$A$8:$F$30,4,FALSE),"")</f>
        <v/>
      </c>
      <c r="Q58" s="13" t="n"/>
      <c r="R58" s="16">
        <f>IFERROR(MIN(H58+VLOOKUP(B58,'Reference Data 기준데이터'!$A$2:$J$5,10,FALSE),VLOOKUP(B58,'Reference Data 기준데이터'!$A$2:$J$5,6,FALSE)),"")</f>
        <v/>
      </c>
      <c r="S58" s="13" t="n"/>
      <c r="T58" s="13" t="inlineStr">
        <is>
          <t>06-BIW생산중단</t>
        </is>
      </c>
      <c r="U58" s="17">
        <f>IF(T58&lt;&gt;"",T58,IF(AND(S58&lt;&gt;"",Q58&lt;&gt;""),"11-결과등록완료",IF(AND(Q58&lt;&gt;"",S58=""),"10-시험완료",IF(AND(O58&lt;&gt;"",Q58=""),"09-시험준비중",IF(AND(M58&lt;&gt;"",O58=""),"08-단품준비완료",IF(K58="Approved","05-계획서승인",IF(K58="Revision Needed","04-검토중_조건불만족",IF(K58="Under Review","03-검토중_조건충족",IF(AND(J58&lt;&gt;"",K58=""),"02-계획서제출_미검토","01-계획서미제출")))))))))</f>
        <v/>
      </c>
      <c r="V58" s="18">
        <f>IFS(U58="01-계획서미제출",0,U58="02-계획서제출_미검토",0.05,U58="03-검토중_조건충족",0.1,U58="04-검토중_조건불만족",0.05,U58="05-계획서승인",0.2,U58="06-BIW생산중단",0.15,U58="07-생산완료_미인수",0.3,U58="08-단품준비완료",0.4,U58="09-시험준비중",0.55,U58="10-시험완료",0.85,U58="11-결과등록완료",1,U58="12-조건부승인검토",0.9,TRUE,0)</f>
        <v/>
      </c>
      <c r="W58" s="5">
        <f>IF(S58&lt;&gt;"","-",IF(R58="","N/A",R58-TODAY()))</f>
        <v/>
      </c>
      <c r="X58" s="17">
        <f>IF(U58="11-결과등록완료","DONE",IF(OR(U58="06-BIW생산중단",AND(U58="01-계획서미제출",I58&lt;TODAY())),"CRITICAL",IF(OR(U58="04-검토중_조건불만족",U58="07-생산완료_미인수",U58="12-조건부승인검토"),"ACTION",IF(AND(ISNUMBER(W58),W58&lt;=0),"OVERDUE",IF(AND(ISNUMBER(W58),W58&lt;=14),"WARNING","ON TRACK")))))</f>
        <v/>
      </c>
      <c r="Y58" s="19">
        <f>IF(U58="11-결과등록완료","— 완료",IF(U58="01-계획서미제출",IF(I58&lt;TODAY(),"계획서 제출 독촉 (OVERDUE)","계획서 제출 대기"),IF(U58="02-계획서제출_미검토","설계자: 계획서 검토 착수",IF(U58="03-검토중_조건충족","설계자: 승인 처리",IF(U58="04-검토중_조건불만족","보완 요청 → 협력사 재제출 독촉",IF(U58="05-계획서승인","시험편 준비 현황 확인",IF(U58="06-BIW생산중단","BIW 생산팀 확인 → 일정 재수립",IF(U58="07-생산완료_미인수","협력사 인수 독촉",IF(U58="08-단품준비완료","시험 일정 확인",IF(U58="09-시험준비중","시험 진행 모니터링",IF(U58="10-시험완료","결과 보고서 전산 등록 독촉",IF(U58="12-조건부승인검토","조건부 승인 여부 판단 → 관련부서 협의","—"))))))))))))</f>
        <v/>
      </c>
    </row>
    <row r="59">
      <c r="A59" s="5" t="n">
        <v>55</v>
      </c>
      <c r="B59" s="13" t="inlineStr">
        <is>
          <t>EN_SUV</t>
        </is>
      </c>
      <c r="C59" s="14" t="inlineStr">
        <is>
          <t>Door Trim LH</t>
        </is>
      </c>
      <c r="D59" s="15">
        <f>IFERROR(VLOOKUP(C59,'Reference Data 기준데이터'!$E$8:$F$30,2,FALSE),"")</f>
        <v/>
      </c>
      <c r="E59" s="14" t="inlineStr">
        <is>
          <t>외관 검사</t>
        </is>
      </c>
      <c r="F59" s="15">
        <f>IFERROR(VLOOKUP(E59,'Reference Data 기준데이터'!$A$8:$F$30,2,FALSE),"")</f>
        <v/>
      </c>
      <c r="G59" s="15">
        <f>IFERROR(VLOOKUP(B59&amp;"_"&amp;C59,'Reference Data 기준데이터'!$A$33:$B$51,2,FALSE),"")</f>
        <v/>
      </c>
      <c r="H59" s="16">
        <f>IFERROR(VLOOKUP(B59,'Reference Data 기준데이터'!$A$2:$J$5,3,FALSE),"")</f>
        <v/>
      </c>
      <c r="I59" s="16">
        <f>IFERROR(H59+VLOOKUP(B59,'Reference Data 기준데이터'!$A$2:$J$5,7,FALSE),"")</f>
        <v/>
      </c>
      <c r="J59" s="20" t="n">
        <v>46064</v>
      </c>
      <c r="K59" s="13" t="inlineStr">
        <is>
          <t>Approved</t>
        </is>
      </c>
      <c r="L59" s="16">
        <f>IFERROR(H59+VLOOKUP(B59,'Reference Data 기준데이터'!$A$2:$J$5,8,FALSE),"")</f>
        <v/>
      </c>
      <c r="M59" s="20" t="n">
        <v>46106</v>
      </c>
      <c r="N59" s="16">
        <f>IFERROR(IF(ISNUMBER(SEARCH("Vehicle",F59)),MAX(H59+VLOOKUP(B59,'Reference Data 기준데이터'!$A$2:$J$5,9,FALSE),VLOOKUP(B59,'Reference Data 기준데이터'!$A$2:$J$5,4,FALSE)),H59+VLOOKUP(B59,'Reference Data 기준데이터'!$A$2:$J$5,9,FALSE)),"")</f>
        <v/>
      </c>
      <c r="O59" s="20" t="n">
        <v>46117</v>
      </c>
      <c r="P59" s="16">
        <f>IFERROR(N59+VLOOKUP(E59,'Reference Data 기준데이터'!$A$8:$F$30,4,FALSE),"")</f>
        <v/>
      </c>
      <c r="Q59" s="20" t="n">
        <v>46145</v>
      </c>
      <c r="R59" s="16">
        <f>IFERROR(MIN(H59+VLOOKUP(B59,'Reference Data 기준데이터'!$A$2:$J$5,10,FALSE),VLOOKUP(B59,'Reference Data 기준데이터'!$A$2:$J$5,6,FALSE)),"")</f>
        <v/>
      </c>
      <c r="S59" s="20" t="n">
        <v>46150</v>
      </c>
      <c r="T59" s="13" t="n"/>
      <c r="U59" s="17">
        <f>IF(T59&lt;&gt;"",T59,IF(AND(S59&lt;&gt;"",Q59&lt;&gt;""),"11-결과등록완료",IF(AND(Q59&lt;&gt;"",S59=""),"10-시험완료",IF(AND(O59&lt;&gt;"",Q59=""),"09-시험준비중",IF(AND(M59&lt;&gt;"",O59=""),"08-단품준비완료",IF(K59="Approved","05-계획서승인",IF(K59="Revision Needed","04-검토중_조건불만족",IF(K59="Under Review","03-검토중_조건충족",IF(AND(J59&lt;&gt;"",K59=""),"02-계획서제출_미검토","01-계획서미제출")))))))))</f>
        <v/>
      </c>
      <c r="V59" s="18">
        <f>IFS(U59="01-계획서미제출",0,U59="02-계획서제출_미검토",0.05,U59="03-검토중_조건충족",0.1,U59="04-검토중_조건불만족",0.05,U59="05-계획서승인",0.2,U59="06-BIW생산중단",0.15,U59="07-생산완료_미인수",0.3,U59="08-단품준비완료",0.4,U59="09-시험준비중",0.55,U59="10-시험완료",0.85,U59="11-결과등록완료",1,U59="12-조건부승인검토",0.9,TRUE,0)</f>
        <v/>
      </c>
      <c r="W59" s="5">
        <f>IF(S59&lt;&gt;"","-",IF(R59="","N/A",R59-TODAY()))</f>
        <v/>
      </c>
      <c r="X59" s="17">
        <f>IF(U59="11-결과등록완료","DONE",IF(OR(U59="06-BIW생산중단",AND(U59="01-계획서미제출",I59&lt;TODAY())),"CRITICAL",IF(OR(U59="04-검토중_조건불만족",U59="07-생산완료_미인수",U59="12-조건부승인검토"),"ACTION",IF(AND(ISNUMBER(W59),W59&lt;=0),"OVERDUE",IF(AND(ISNUMBER(W59),W59&lt;=14),"WARNING","ON TRACK")))))</f>
        <v/>
      </c>
      <c r="Y59" s="19">
        <f>IF(U59="11-결과등록완료","— 완료",IF(U59="01-계획서미제출",IF(I59&lt;TODAY(),"계획서 제출 독촉 (OVERDUE)","계획서 제출 대기"),IF(U59="02-계획서제출_미검토","설계자: 계획서 검토 착수",IF(U59="03-검토중_조건충족","설계자: 승인 처리",IF(U59="04-검토중_조건불만족","보완 요청 → 협력사 재제출 독촉",IF(U59="05-계획서승인","시험편 준비 현황 확인",IF(U59="06-BIW생산중단","BIW 생산팀 확인 → 일정 재수립",IF(U59="07-생산완료_미인수","협력사 인수 독촉",IF(U59="08-단품준비완료","시험 일정 확인",IF(U59="09-시험준비중","시험 진행 모니터링",IF(U59="10-시험완료","결과 보고서 전산 등록 독촉",IF(U59="12-조건부승인검토","조건부 승인 여부 판단 → 관련부서 협의","—"))))))))))))</f>
        <v/>
      </c>
    </row>
    <row r="60">
      <c r="A60" s="5" t="n">
        <v>56</v>
      </c>
      <c r="B60" s="13" t="inlineStr">
        <is>
          <t>EN_SUV</t>
        </is>
      </c>
      <c r="C60" s="14" t="inlineStr">
        <is>
          <t>Pillar Trim C</t>
        </is>
      </c>
      <c r="D60" s="15">
        <f>IFERROR(VLOOKUP(C60,'Reference Data 기준데이터'!$E$8:$F$30,2,FALSE),"")</f>
        <v/>
      </c>
      <c r="E60" s="14" t="inlineStr">
        <is>
          <t>내후성 시험</t>
        </is>
      </c>
      <c r="F60" s="15">
        <f>IFERROR(VLOOKUP(E60,'Reference Data 기준데이터'!$A$8:$F$30,2,FALSE),"")</f>
        <v/>
      </c>
      <c r="G60" s="15">
        <f>IFERROR(VLOOKUP(B60&amp;"_"&amp;C60,'Reference Data 기준데이터'!$A$33:$B$51,2,FALSE),"")</f>
        <v/>
      </c>
      <c r="H60" s="16">
        <f>IFERROR(VLOOKUP(B60,'Reference Data 기준데이터'!$A$2:$J$5,3,FALSE),"")</f>
        <v/>
      </c>
      <c r="I60" s="16">
        <f>IFERROR(H60+VLOOKUP(B60,'Reference Data 기준데이터'!$A$2:$J$5,7,FALSE),"")</f>
        <v/>
      </c>
      <c r="J60" s="20" t="n">
        <v>46065</v>
      </c>
      <c r="K60" s="13" t="inlineStr">
        <is>
          <t>Revision Needed</t>
        </is>
      </c>
      <c r="L60" s="16">
        <f>IFERROR(H60+VLOOKUP(B60,'Reference Data 기준데이터'!$A$2:$J$5,8,FALSE),"")</f>
        <v/>
      </c>
      <c r="M60" s="13" t="n"/>
      <c r="N60" s="16">
        <f>IFERROR(IF(ISNUMBER(SEARCH("Vehicle",F60)),MAX(H60+VLOOKUP(B60,'Reference Data 기준데이터'!$A$2:$J$5,9,FALSE),VLOOKUP(B60,'Reference Data 기준데이터'!$A$2:$J$5,4,FALSE)),H60+VLOOKUP(B60,'Reference Data 기준데이터'!$A$2:$J$5,9,FALSE)),"")</f>
        <v/>
      </c>
      <c r="O60" s="13" t="n"/>
      <c r="P60" s="16">
        <f>IFERROR(N60+VLOOKUP(E60,'Reference Data 기준데이터'!$A$8:$F$30,4,FALSE),"")</f>
        <v/>
      </c>
      <c r="Q60" s="13" t="n"/>
      <c r="R60" s="16">
        <f>IFERROR(MIN(H60+VLOOKUP(B60,'Reference Data 기준데이터'!$A$2:$J$5,10,FALSE),VLOOKUP(B60,'Reference Data 기준데이터'!$A$2:$J$5,6,FALSE)),"")</f>
        <v/>
      </c>
      <c r="S60" s="13" t="n"/>
      <c r="T60" s="13" t="n"/>
      <c r="U60" s="17">
        <f>IF(T60&lt;&gt;"",T60,IF(AND(S60&lt;&gt;"",Q60&lt;&gt;""),"11-결과등록완료",IF(AND(Q60&lt;&gt;"",S60=""),"10-시험완료",IF(AND(O60&lt;&gt;"",Q60=""),"09-시험준비중",IF(AND(M60&lt;&gt;"",O60=""),"08-단품준비완료",IF(K60="Approved","05-계획서승인",IF(K60="Revision Needed","04-검토중_조건불만족",IF(K60="Under Review","03-검토중_조건충족",IF(AND(J60&lt;&gt;"",K60=""),"02-계획서제출_미검토","01-계획서미제출")))))))))</f>
        <v/>
      </c>
      <c r="V60" s="18">
        <f>IFS(U60="01-계획서미제출",0,U60="02-계획서제출_미검토",0.05,U60="03-검토중_조건충족",0.1,U60="04-검토중_조건불만족",0.05,U60="05-계획서승인",0.2,U60="06-BIW생산중단",0.15,U60="07-생산완료_미인수",0.3,U60="08-단품준비완료",0.4,U60="09-시험준비중",0.55,U60="10-시험완료",0.85,U60="11-결과등록완료",1,U60="12-조건부승인검토",0.9,TRUE,0)</f>
        <v/>
      </c>
      <c r="W60" s="5">
        <f>IF(S60&lt;&gt;"","-",IF(R60="","N/A",R60-TODAY()))</f>
        <v/>
      </c>
      <c r="X60" s="17">
        <f>IF(U60="11-결과등록완료","DONE",IF(OR(U60="06-BIW생산중단",AND(U60="01-계획서미제출",I60&lt;TODAY())),"CRITICAL",IF(OR(U60="04-검토중_조건불만족",U60="07-생산완료_미인수",U60="12-조건부승인검토"),"ACTION",IF(AND(ISNUMBER(W60),W60&lt;=0),"OVERDUE",IF(AND(ISNUMBER(W60),W60&lt;=14),"WARNING","ON TRACK")))))</f>
        <v/>
      </c>
      <c r="Y60" s="19">
        <f>IF(U60="11-결과등록완료","— 완료",IF(U60="01-계획서미제출",IF(I60&lt;TODAY(),"계획서 제출 독촉 (OVERDUE)","계획서 제출 대기"),IF(U60="02-계획서제출_미검토","설계자: 계획서 검토 착수",IF(U60="03-검토중_조건충족","설계자: 승인 처리",IF(U60="04-검토중_조건불만족","보완 요청 → 협력사 재제출 독촉",IF(U60="05-계획서승인","시험편 준비 현황 확인",IF(U60="06-BIW생산중단","BIW 생산팀 확인 → 일정 재수립",IF(U60="07-생산완료_미인수","협력사 인수 독촉",IF(U60="08-단품준비완료","시험 일정 확인",IF(U60="09-시험준비중","시험 진행 모니터링",IF(U60="10-시험완료","결과 보고서 전산 등록 독촉",IF(U60="12-조건부승인검토","조건부 승인 여부 판단 → 관련부서 협의","—"))))))))))))</f>
        <v/>
      </c>
    </row>
    <row r="61">
      <c r="A61" s="5" t="n">
        <v>57</v>
      </c>
      <c r="B61" s="13" t="inlineStr">
        <is>
          <t>EN_SUV</t>
        </is>
      </c>
      <c r="C61" s="14" t="inlineStr">
        <is>
          <t>Pillar Trim C</t>
        </is>
      </c>
      <c r="D61" s="15">
        <f>IFERROR(VLOOKUP(C61,'Reference Data 기준데이터'!$E$8:$F$30,2,FALSE),"")</f>
        <v/>
      </c>
      <c r="E61" s="14" t="inlineStr">
        <is>
          <t>연소성 시험</t>
        </is>
      </c>
      <c r="F61" s="15">
        <f>IFERROR(VLOOKUP(E61,'Reference Data 기준데이터'!$A$8:$F$30,2,FALSE),"")</f>
        <v/>
      </c>
      <c r="G61" s="15">
        <f>IFERROR(VLOOKUP(B61&amp;"_"&amp;C61,'Reference Data 기준데이터'!$A$33:$B$51,2,FALSE),"")</f>
        <v/>
      </c>
      <c r="H61" s="16">
        <f>IFERROR(VLOOKUP(B61,'Reference Data 기준데이터'!$A$2:$J$5,3,FALSE),"")</f>
        <v/>
      </c>
      <c r="I61" s="16">
        <f>IFERROR(H61+VLOOKUP(B61,'Reference Data 기준데이터'!$A$2:$J$5,7,FALSE),"")</f>
        <v/>
      </c>
      <c r="J61" s="20" t="n">
        <v>46066</v>
      </c>
      <c r="K61" s="13" t="inlineStr">
        <is>
          <t>Approved</t>
        </is>
      </c>
      <c r="L61" s="16">
        <f>IFERROR(H61+VLOOKUP(B61,'Reference Data 기준데이터'!$A$2:$J$5,8,FALSE),"")</f>
        <v/>
      </c>
      <c r="M61" s="20" t="n">
        <v>46100</v>
      </c>
      <c r="N61" s="16">
        <f>IFERROR(IF(ISNUMBER(SEARCH("Vehicle",F61)),MAX(H61+VLOOKUP(B61,'Reference Data 기준데이터'!$A$2:$J$5,9,FALSE),VLOOKUP(B61,'Reference Data 기준데이터'!$A$2:$J$5,4,FALSE)),H61+VLOOKUP(B61,'Reference Data 기준데이터'!$A$2:$J$5,9,FALSE)),"")</f>
        <v/>
      </c>
      <c r="O61" s="20" t="n">
        <v>46119</v>
      </c>
      <c r="P61" s="16">
        <f>IFERROR(N61+VLOOKUP(E61,'Reference Data 기준데이터'!$A$8:$F$30,4,FALSE),"")</f>
        <v/>
      </c>
      <c r="Q61" s="13" t="n"/>
      <c r="R61" s="16">
        <f>IFERROR(MIN(H61+VLOOKUP(B61,'Reference Data 기준데이터'!$A$2:$J$5,10,FALSE),VLOOKUP(B61,'Reference Data 기준데이터'!$A$2:$J$5,6,FALSE)),"")</f>
        <v/>
      </c>
      <c r="S61" s="13" t="n"/>
      <c r="T61" s="13" t="n"/>
      <c r="U61" s="17">
        <f>IF(T61&lt;&gt;"",T61,IF(AND(S61&lt;&gt;"",Q61&lt;&gt;""),"11-결과등록완료",IF(AND(Q61&lt;&gt;"",S61=""),"10-시험완료",IF(AND(O61&lt;&gt;"",Q61=""),"09-시험준비중",IF(AND(M61&lt;&gt;"",O61=""),"08-단품준비완료",IF(K61="Approved","05-계획서승인",IF(K61="Revision Needed","04-검토중_조건불만족",IF(K61="Under Review","03-검토중_조건충족",IF(AND(J61&lt;&gt;"",K61=""),"02-계획서제출_미검토","01-계획서미제출")))))))))</f>
        <v/>
      </c>
      <c r="V61" s="18">
        <f>IFS(U61="01-계획서미제출",0,U61="02-계획서제출_미검토",0.05,U61="03-검토중_조건충족",0.1,U61="04-검토중_조건불만족",0.05,U61="05-계획서승인",0.2,U61="06-BIW생산중단",0.15,U61="07-생산완료_미인수",0.3,U61="08-단품준비완료",0.4,U61="09-시험준비중",0.55,U61="10-시험완료",0.85,U61="11-결과등록완료",1,U61="12-조건부승인검토",0.9,TRUE,0)</f>
        <v/>
      </c>
      <c r="W61" s="5">
        <f>IF(S61&lt;&gt;"","-",IF(R61="","N/A",R61-TODAY()))</f>
        <v/>
      </c>
      <c r="X61" s="17">
        <f>IF(U61="11-결과등록완료","DONE",IF(OR(U61="06-BIW생산중단",AND(U61="01-계획서미제출",I61&lt;TODAY())),"CRITICAL",IF(OR(U61="04-검토중_조건불만족",U61="07-생산완료_미인수",U61="12-조건부승인검토"),"ACTION",IF(AND(ISNUMBER(W61),W61&lt;=0),"OVERDUE",IF(AND(ISNUMBER(W61),W61&lt;=14),"WARNING","ON TRACK")))))</f>
        <v/>
      </c>
      <c r="Y61" s="19">
        <f>IF(U61="11-결과등록완료","— 완료",IF(U61="01-계획서미제출",IF(I61&lt;TODAY(),"계획서 제출 독촉 (OVERDUE)","계획서 제출 대기"),IF(U61="02-계획서제출_미검토","설계자: 계획서 검토 착수",IF(U61="03-검토중_조건충족","설계자: 승인 처리",IF(U61="04-검토중_조건불만족","보완 요청 → 협력사 재제출 독촉",IF(U61="05-계획서승인","시험편 준비 현황 확인",IF(U61="06-BIW생산중단","BIW 생산팀 확인 → 일정 재수립",IF(U61="07-생산완료_미인수","협력사 인수 독촉",IF(U61="08-단품준비완료","시험 일정 확인",IF(U61="09-시험준비중","시험 진행 모니터링",IF(U61="10-시험완료","결과 보고서 전산 등록 독촉",IF(U61="12-조건부승인검토","조건부 승인 여부 판단 → 관련부서 협의","—"))))))))))))</f>
        <v/>
      </c>
    </row>
    <row r="62">
      <c r="A62" s="5" t="n">
        <v>58</v>
      </c>
      <c r="B62" s="13" t="inlineStr">
        <is>
          <t>EN_SUV</t>
        </is>
      </c>
      <c r="C62" s="14" t="inlineStr">
        <is>
          <t>Pillar Trim C</t>
        </is>
      </c>
      <c r="D62" s="15">
        <f>IFERROR(VLOOKUP(C62,'Reference Data 기준데이터'!$E$8:$F$30,2,FALSE),"")</f>
        <v/>
      </c>
      <c r="E62" s="14" t="inlineStr">
        <is>
          <t>치수 검사</t>
        </is>
      </c>
      <c r="F62" s="15">
        <f>IFERROR(VLOOKUP(E62,'Reference Data 기준데이터'!$A$8:$F$30,2,FALSE),"")</f>
        <v/>
      </c>
      <c r="G62" s="15">
        <f>IFERROR(VLOOKUP(B62&amp;"_"&amp;C62,'Reference Data 기준데이터'!$A$33:$B$51,2,FALSE),"")</f>
        <v/>
      </c>
      <c r="H62" s="16">
        <f>IFERROR(VLOOKUP(B62,'Reference Data 기준데이터'!$A$2:$J$5,3,FALSE),"")</f>
        <v/>
      </c>
      <c r="I62" s="16">
        <f>IFERROR(H62+VLOOKUP(B62,'Reference Data 기준데이터'!$A$2:$J$5,7,FALSE),"")</f>
        <v/>
      </c>
      <c r="J62" s="20" t="n">
        <v>46067</v>
      </c>
      <c r="K62" s="13" t="inlineStr">
        <is>
          <t>Approved</t>
        </is>
      </c>
      <c r="L62" s="16">
        <f>IFERROR(H62+VLOOKUP(B62,'Reference Data 기준데이터'!$A$2:$J$5,8,FALSE),"")</f>
        <v/>
      </c>
      <c r="M62" s="20" t="n">
        <v>46101</v>
      </c>
      <c r="N62" s="16">
        <f>IFERROR(IF(ISNUMBER(SEARCH("Vehicle",F62)),MAX(H62+VLOOKUP(B62,'Reference Data 기준데이터'!$A$2:$J$5,9,FALSE),VLOOKUP(B62,'Reference Data 기준데이터'!$A$2:$J$5,4,FALSE)),H62+VLOOKUP(B62,'Reference Data 기준데이터'!$A$2:$J$5,9,FALSE)),"")</f>
        <v/>
      </c>
      <c r="O62" s="20" t="n">
        <v>46120</v>
      </c>
      <c r="P62" s="16">
        <f>IFERROR(N62+VLOOKUP(E62,'Reference Data 기준데이터'!$A$8:$F$30,4,FALSE),"")</f>
        <v/>
      </c>
      <c r="Q62" s="20" t="n">
        <v>46141</v>
      </c>
      <c r="R62" s="16">
        <f>IFERROR(MIN(H62+VLOOKUP(B62,'Reference Data 기준데이터'!$A$2:$J$5,10,FALSE),VLOOKUP(B62,'Reference Data 기준데이터'!$A$2:$J$5,6,FALSE)),"")</f>
        <v/>
      </c>
      <c r="S62" s="20" t="n">
        <v>46149</v>
      </c>
      <c r="T62" s="13" t="n"/>
      <c r="U62" s="17">
        <f>IF(T62&lt;&gt;"",T62,IF(AND(S62&lt;&gt;"",Q62&lt;&gt;""),"11-결과등록완료",IF(AND(Q62&lt;&gt;"",S62=""),"10-시험완료",IF(AND(O62&lt;&gt;"",Q62=""),"09-시험준비중",IF(AND(M62&lt;&gt;"",O62=""),"08-단품준비완료",IF(K62="Approved","05-계획서승인",IF(K62="Revision Needed","04-검토중_조건불만족",IF(K62="Under Review","03-검토중_조건충족",IF(AND(J62&lt;&gt;"",K62=""),"02-계획서제출_미검토","01-계획서미제출")))))))))</f>
        <v/>
      </c>
      <c r="V62" s="18">
        <f>IFS(U62="01-계획서미제출",0,U62="02-계획서제출_미검토",0.05,U62="03-검토중_조건충족",0.1,U62="04-검토중_조건불만족",0.05,U62="05-계획서승인",0.2,U62="06-BIW생산중단",0.15,U62="07-생산완료_미인수",0.3,U62="08-단품준비완료",0.4,U62="09-시험준비중",0.55,U62="10-시험완료",0.85,U62="11-결과등록완료",1,U62="12-조건부승인검토",0.9,TRUE,0)</f>
        <v/>
      </c>
      <c r="W62" s="5">
        <f>IF(S62&lt;&gt;"","-",IF(R62="","N/A",R62-TODAY()))</f>
        <v/>
      </c>
      <c r="X62" s="17">
        <f>IF(U62="11-결과등록완료","DONE",IF(OR(U62="06-BIW생산중단",AND(U62="01-계획서미제출",I62&lt;TODAY())),"CRITICAL",IF(OR(U62="04-검토중_조건불만족",U62="07-생산완료_미인수",U62="12-조건부승인검토"),"ACTION",IF(AND(ISNUMBER(W62),W62&lt;=0),"OVERDUE",IF(AND(ISNUMBER(W62),W62&lt;=14),"WARNING","ON TRACK")))))</f>
        <v/>
      </c>
      <c r="Y62" s="19">
        <f>IF(U62="11-결과등록완료","— 완료",IF(U62="01-계획서미제출",IF(I62&lt;TODAY(),"계획서 제출 독촉 (OVERDUE)","계획서 제출 대기"),IF(U62="02-계획서제출_미검토","설계자: 계획서 검토 착수",IF(U62="03-검토중_조건충족","설계자: 승인 처리",IF(U62="04-검토중_조건불만족","보완 요청 → 협력사 재제출 독촉",IF(U62="05-계획서승인","시험편 준비 현황 확인",IF(U62="06-BIW생산중단","BIW 생산팀 확인 → 일정 재수립",IF(U62="07-생산완료_미인수","협력사 인수 독촉",IF(U62="08-단품준비완료","시험 일정 확인",IF(U62="09-시험준비중","시험 진행 모니터링",IF(U62="10-시험완료","결과 보고서 전산 등록 독촉",IF(U62="12-조건부승인검토","조건부 승인 여부 판단 → 관련부서 협의","—"))))))))))))</f>
        <v/>
      </c>
    </row>
    <row r="63">
      <c r="A63" s="5" t="n">
        <v>59</v>
      </c>
      <c r="B63" s="13" t="inlineStr">
        <is>
          <t>EN_SUV</t>
        </is>
      </c>
      <c r="C63" s="14" t="inlineStr">
        <is>
          <t>Front Seat Assy LH</t>
        </is>
      </c>
      <c r="D63" s="15">
        <f>IFERROR(VLOOKUP(C63,'Reference Data 기준데이터'!$E$8:$F$30,2,FALSE),"")</f>
        <v/>
      </c>
      <c r="E63" s="14" t="inlineStr">
        <is>
          <t>시트 내구 시험</t>
        </is>
      </c>
      <c r="F63" s="15">
        <f>IFERROR(VLOOKUP(E63,'Reference Data 기준데이터'!$A$8:$F$30,2,FALSE),"")</f>
        <v/>
      </c>
      <c r="G63" s="15">
        <f>IFERROR(VLOOKUP(B63&amp;"_"&amp;C63,'Reference Data 기준데이터'!$A$33:$B$51,2,FALSE),"")</f>
        <v/>
      </c>
      <c r="H63" s="16">
        <f>IFERROR(VLOOKUP(B63,'Reference Data 기준데이터'!$A$2:$J$5,3,FALSE),"")</f>
        <v/>
      </c>
      <c r="I63" s="16">
        <f>IFERROR(H63+VLOOKUP(B63,'Reference Data 기준데이터'!$A$2:$J$5,7,FALSE),"")</f>
        <v/>
      </c>
      <c r="J63" s="20" t="n">
        <v>46068</v>
      </c>
      <c r="K63" s="13" t="inlineStr">
        <is>
          <t>Approved</t>
        </is>
      </c>
      <c r="L63" s="16">
        <f>IFERROR(H63+VLOOKUP(B63,'Reference Data 기준데이터'!$A$2:$J$5,8,FALSE),"")</f>
        <v/>
      </c>
      <c r="M63" s="20" t="n">
        <v>46102</v>
      </c>
      <c r="N63" s="16">
        <f>IFERROR(IF(ISNUMBER(SEARCH("Vehicle",F63)),MAX(H63+VLOOKUP(B63,'Reference Data 기준데이터'!$A$2:$J$5,9,FALSE),VLOOKUP(B63,'Reference Data 기준데이터'!$A$2:$J$5,4,FALSE)),H63+VLOOKUP(B63,'Reference Data 기준데이터'!$A$2:$J$5,9,FALSE)),"")</f>
        <v/>
      </c>
      <c r="O63" s="13" t="n"/>
      <c r="P63" s="16">
        <f>IFERROR(N63+VLOOKUP(E63,'Reference Data 기준데이터'!$A$8:$F$30,4,FALSE),"")</f>
        <v/>
      </c>
      <c r="Q63" s="13" t="n"/>
      <c r="R63" s="16">
        <f>IFERROR(MIN(H63+VLOOKUP(B63,'Reference Data 기준데이터'!$A$2:$J$5,10,FALSE),VLOOKUP(B63,'Reference Data 기준데이터'!$A$2:$J$5,6,FALSE)),"")</f>
        <v/>
      </c>
      <c r="S63" s="13" t="n"/>
      <c r="T63" s="13" t="inlineStr">
        <is>
          <t>07-생산완료_미인수</t>
        </is>
      </c>
      <c r="U63" s="17">
        <f>IF(T63&lt;&gt;"",T63,IF(AND(S63&lt;&gt;"",Q63&lt;&gt;""),"11-결과등록완료",IF(AND(Q63&lt;&gt;"",S63=""),"10-시험완료",IF(AND(O63&lt;&gt;"",Q63=""),"09-시험준비중",IF(AND(M63&lt;&gt;"",O63=""),"08-단품준비완료",IF(K63="Approved","05-계획서승인",IF(K63="Revision Needed","04-검토중_조건불만족",IF(K63="Under Review","03-검토중_조건충족",IF(AND(J63&lt;&gt;"",K63=""),"02-계획서제출_미검토","01-계획서미제출")))))))))</f>
        <v/>
      </c>
      <c r="V63" s="18">
        <f>IFS(U63="01-계획서미제출",0,U63="02-계획서제출_미검토",0.05,U63="03-검토중_조건충족",0.1,U63="04-검토중_조건불만족",0.05,U63="05-계획서승인",0.2,U63="06-BIW생산중단",0.15,U63="07-생산완료_미인수",0.3,U63="08-단품준비완료",0.4,U63="09-시험준비중",0.55,U63="10-시험완료",0.85,U63="11-결과등록완료",1,U63="12-조건부승인검토",0.9,TRUE,0)</f>
        <v/>
      </c>
      <c r="W63" s="5">
        <f>IF(S63&lt;&gt;"","-",IF(R63="","N/A",R63-TODAY()))</f>
        <v/>
      </c>
      <c r="X63" s="17">
        <f>IF(U63="11-결과등록완료","DONE",IF(OR(U63="06-BIW생산중단",AND(U63="01-계획서미제출",I63&lt;TODAY())),"CRITICAL",IF(OR(U63="04-검토중_조건불만족",U63="07-생산완료_미인수",U63="12-조건부승인검토"),"ACTION",IF(AND(ISNUMBER(W63),W63&lt;=0),"OVERDUE",IF(AND(ISNUMBER(W63),W63&lt;=14),"WARNING","ON TRACK")))))</f>
        <v/>
      </c>
      <c r="Y63" s="19">
        <f>IF(U63="11-결과등록완료","— 완료",IF(U63="01-계획서미제출",IF(I63&lt;TODAY(),"계획서 제출 독촉 (OVERDUE)","계획서 제출 대기"),IF(U63="02-계획서제출_미검토","설계자: 계획서 검토 착수",IF(U63="03-검토중_조건충족","설계자: 승인 처리",IF(U63="04-검토중_조건불만족","보완 요청 → 협력사 재제출 독촉",IF(U63="05-계획서승인","시험편 준비 현황 확인",IF(U63="06-BIW생산중단","BIW 생산팀 확인 → 일정 재수립",IF(U63="07-생산완료_미인수","협력사 인수 독촉",IF(U63="08-단품준비완료","시험 일정 확인",IF(U63="09-시험준비중","시험 진행 모니터링",IF(U63="10-시험완료","결과 보고서 전산 등록 독촉",IF(U63="12-조건부승인검토","조건부 승인 여부 판단 → 관련부서 협의","—"))))))))))))</f>
        <v/>
      </c>
    </row>
    <row r="64">
      <c r="A64" s="5" t="n">
        <v>60</v>
      </c>
      <c r="B64" s="13" t="inlineStr">
        <is>
          <t>EN_SUV</t>
        </is>
      </c>
      <c r="C64" s="14" t="inlineStr">
        <is>
          <t>Front Seat Assy LH</t>
        </is>
      </c>
      <c r="D64" s="15">
        <f>IFERROR(VLOOKUP(C64,'Reference Data 기준데이터'!$E$8:$F$30,2,FALSE),"")</f>
        <v/>
      </c>
      <c r="E64" s="14" t="inlineStr">
        <is>
          <t>안전벨트 앵커리지</t>
        </is>
      </c>
      <c r="F64" s="15">
        <f>IFERROR(VLOOKUP(E64,'Reference Data 기준데이터'!$A$8:$F$30,2,FALSE),"")</f>
        <v/>
      </c>
      <c r="G64" s="15">
        <f>IFERROR(VLOOKUP(B64&amp;"_"&amp;C64,'Reference Data 기준데이터'!$A$33:$B$51,2,FALSE),"")</f>
        <v/>
      </c>
      <c r="H64" s="16">
        <f>IFERROR(VLOOKUP(B64,'Reference Data 기준데이터'!$A$2:$J$5,3,FALSE),"")</f>
        <v/>
      </c>
      <c r="I64" s="16">
        <f>IFERROR(H64+VLOOKUP(B64,'Reference Data 기준데이터'!$A$2:$J$5,7,FALSE),"")</f>
        <v/>
      </c>
      <c r="J64" s="20" t="n">
        <v>46064</v>
      </c>
      <c r="K64" s="13" t="inlineStr">
        <is>
          <t>Approved</t>
        </is>
      </c>
      <c r="L64" s="16">
        <f>IFERROR(H64+VLOOKUP(B64,'Reference Data 기준데이터'!$A$2:$J$5,8,FALSE),"")</f>
        <v/>
      </c>
      <c r="M64" s="13" t="n"/>
      <c r="N64" s="16">
        <f>IFERROR(IF(ISNUMBER(SEARCH("Vehicle",F64)),MAX(H64+VLOOKUP(B64,'Reference Data 기준데이터'!$A$2:$J$5,9,FALSE),VLOOKUP(B64,'Reference Data 기준데이터'!$A$2:$J$5,4,FALSE)),H64+VLOOKUP(B64,'Reference Data 기준데이터'!$A$2:$J$5,9,FALSE)),"")</f>
        <v/>
      </c>
      <c r="O64" s="13" t="n"/>
      <c r="P64" s="16">
        <f>IFERROR(N64+VLOOKUP(E64,'Reference Data 기준데이터'!$A$8:$F$30,4,FALSE),"")</f>
        <v/>
      </c>
      <c r="Q64" s="13" t="n"/>
      <c r="R64" s="16">
        <f>IFERROR(MIN(H64+VLOOKUP(B64,'Reference Data 기준데이터'!$A$2:$J$5,10,FALSE),VLOOKUP(B64,'Reference Data 기준데이터'!$A$2:$J$5,6,FALSE)),"")</f>
        <v/>
      </c>
      <c r="S64" s="13" t="n"/>
      <c r="T64" s="13" t="n"/>
      <c r="U64" s="17">
        <f>IF(T64&lt;&gt;"",T64,IF(AND(S64&lt;&gt;"",Q64&lt;&gt;""),"11-결과등록완료",IF(AND(Q64&lt;&gt;"",S64=""),"10-시험완료",IF(AND(O64&lt;&gt;"",Q64=""),"09-시험준비중",IF(AND(M64&lt;&gt;"",O64=""),"08-단품준비완료",IF(K64="Approved","05-계획서승인",IF(K64="Revision Needed","04-검토중_조건불만족",IF(K64="Under Review","03-검토중_조건충족",IF(AND(J64&lt;&gt;"",K64=""),"02-계획서제출_미검토","01-계획서미제출")))))))))</f>
        <v/>
      </c>
      <c r="V64" s="18">
        <f>IFS(U64="01-계획서미제출",0,U64="02-계획서제출_미검토",0.05,U64="03-검토중_조건충족",0.1,U64="04-검토중_조건불만족",0.05,U64="05-계획서승인",0.2,U64="06-BIW생산중단",0.15,U64="07-생산완료_미인수",0.3,U64="08-단품준비완료",0.4,U64="09-시험준비중",0.55,U64="10-시험완료",0.85,U64="11-결과등록완료",1,U64="12-조건부승인검토",0.9,TRUE,0)</f>
        <v/>
      </c>
      <c r="W64" s="5">
        <f>IF(S64&lt;&gt;"","-",IF(R64="","N/A",R64-TODAY()))</f>
        <v/>
      </c>
      <c r="X64" s="17">
        <f>IF(U64="11-결과등록완료","DONE",IF(OR(U64="06-BIW생산중단",AND(U64="01-계획서미제출",I64&lt;TODAY())),"CRITICAL",IF(OR(U64="04-검토중_조건불만족",U64="07-생산완료_미인수",U64="12-조건부승인검토"),"ACTION",IF(AND(ISNUMBER(W64),W64&lt;=0),"OVERDUE",IF(AND(ISNUMBER(W64),W64&lt;=14),"WARNING","ON TRACK")))))</f>
        <v/>
      </c>
      <c r="Y64" s="19">
        <f>IF(U64="11-결과등록완료","— 완료",IF(U64="01-계획서미제출",IF(I64&lt;TODAY(),"계획서 제출 독촉 (OVERDUE)","계획서 제출 대기"),IF(U64="02-계획서제출_미검토","설계자: 계획서 검토 착수",IF(U64="03-검토중_조건충족","설계자: 승인 처리",IF(U64="04-검토중_조건불만족","보완 요청 → 협력사 재제출 독촉",IF(U64="05-계획서승인","시험편 준비 현황 확인",IF(U64="06-BIW생산중단","BIW 생산팀 확인 → 일정 재수립",IF(U64="07-생산완료_미인수","협력사 인수 독촉",IF(U64="08-단품준비완료","시험 일정 확인",IF(U64="09-시험준비중","시험 진행 모니터링",IF(U64="10-시험완료","결과 보고서 전산 등록 독촉",IF(U64="12-조건부승인검토","조건부 승인 여부 판단 → 관련부서 협의","—"))))))))))))</f>
        <v/>
      </c>
    </row>
    <row r="65">
      <c r="A65" s="5" t="n">
        <v>61</v>
      </c>
      <c r="B65" s="13" t="inlineStr">
        <is>
          <t>EN_SUV</t>
        </is>
      </c>
      <c r="C65" s="14" t="inlineStr">
        <is>
          <t>Front Seat Assy LH</t>
        </is>
      </c>
      <c r="D65" s="15">
        <f>IFERROR(VLOOKUP(C65,'Reference Data 기준데이터'!$E$8:$F$30,2,FALSE),"")</f>
        <v/>
      </c>
      <c r="E65" s="14" t="inlineStr">
        <is>
          <t>H-Point 검증</t>
        </is>
      </c>
      <c r="F65" s="15">
        <f>IFERROR(VLOOKUP(E65,'Reference Data 기준데이터'!$A$8:$F$30,2,FALSE),"")</f>
        <v/>
      </c>
      <c r="G65" s="15">
        <f>IFERROR(VLOOKUP(B65&amp;"_"&amp;C65,'Reference Data 기준데이터'!$A$33:$B$51,2,FALSE),"")</f>
        <v/>
      </c>
      <c r="H65" s="16">
        <f>IFERROR(VLOOKUP(B65,'Reference Data 기준데이터'!$A$2:$J$5,3,FALSE),"")</f>
        <v/>
      </c>
      <c r="I65" s="16">
        <f>IFERROR(H65+VLOOKUP(B65,'Reference Data 기준데이터'!$A$2:$J$5,7,FALSE),"")</f>
        <v/>
      </c>
      <c r="J65" s="20" t="n">
        <v>46065</v>
      </c>
      <c r="K65" s="13" t="inlineStr">
        <is>
          <t>Approved</t>
        </is>
      </c>
      <c r="L65" s="16">
        <f>IFERROR(H65+VLOOKUP(B65,'Reference Data 기준데이터'!$A$2:$J$5,8,FALSE),"")</f>
        <v/>
      </c>
      <c r="M65" s="20" t="n">
        <v>46104</v>
      </c>
      <c r="N65" s="16">
        <f>IFERROR(IF(ISNUMBER(SEARCH("Vehicle",F65)),MAX(H65+VLOOKUP(B65,'Reference Data 기준데이터'!$A$2:$J$5,9,FALSE),VLOOKUP(B65,'Reference Data 기준데이터'!$A$2:$J$5,4,FALSE)),H65+VLOOKUP(B65,'Reference Data 기준데이터'!$A$2:$J$5,9,FALSE)),"")</f>
        <v/>
      </c>
      <c r="O65" s="20" t="n">
        <v>46117</v>
      </c>
      <c r="P65" s="16">
        <f>IFERROR(N65+VLOOKUP(E65,'Reference Data 기준데이터'!$A$8:$F$30,4,FALSE),"")</f>
        <v/>
      </c>
      <c r="Q65" s="13" t="n"/>
      <c r="R65" s="16">
        <f>IFERROR(MIN(H65+VLOOKUP(B65,'Reference Data 기준데이터'!$A$2:$J$5,10,FALSE),VLOOKUP(B65,'Reference Data 기준데이터'!$A$2:$J$5,6,FALSE)),"")</f>
        <v/>
      </c>
      <c r="S65" s="13" t="n"/>
      <c r="T65" s="13" t="n"/>
      <c r="U65" s="17">
        <f>IF(T65&lt;&gt;"",T65,IF(AND(S65&lt;&gt;"",Q65&lt;&gt;""),"11-결과등록완료",IF(AND(Q65&lt;&gt;"",S65=""),"10-시험완료",IF(AND(O65&lt;&gt;"",Q65=""),"09-시험준비중",IF(AND(M65&lt;&gt;"",O65=""),"08-단품준비완료",IF(K65="Approved","05-계획서승인",IF(K65="Revision Needed","04-검토중_조건불만족",IF(K65="Under Review","03-검토중_조건충족",IF(AND(J65&lt;&gt;"",K65=""),"02-계획서제출_미검토","01-계획서미제출")))))))))</f>
        <v/>
      </c>
      <c r="V65" s="18">
        <f>IFS(U65="01-계획서미제출",0,U65="02-계획서제출_미검토",0.05,U65="03-검토중_조건충족",0.1,U65="04-검토중_조건불만족",0.05,U65="05-계획서승인",0.2,U65="06-BIW생산중단",0.15,U65="07-생산완료_미인수",0.3,U65="08-단품준비완료",0.4,U65="09-시험준비중",0.55,U65="10-시험완료",0.85,U65="11-결과등록완료",1,U65="12-조건부승인검토",0.9,TRUE,0)</f>
        <v/>
      </c>
      <c r="W65" s="5">
        <f>IF(S65&lt;&gt;"","-",IF(R65="","N/A",R65-TODAY()))</f>
        <v/>
      </c>
      <c r="X65" s="17">
        <f>IF(U65="11-결과등록완료","DONE",IF(OR(U65="06-BIW생산중단",AND(U65="01-계획서미제출",I65&lt;TODAY())),"CRITICAL",IF(OR(U65="04-검토중_조건불만족",U65="07-생산완료_미인수",U65="12-조건부승인검토"),"ACTION",IF(AND(ISNUMBER(W65),W65&lt;=0),"OVERDUE",IF(AND(ISNUMBER(W65),W65&lt;=14),"WARNING","ON TRACK")))))</f>
        <v/>
      </c>
      <c r="Y65" s="19">
        <f>IF(U65="11-결과등록완료","— 완료",IF(U65="01-계획서미제출",IF(I65&lt;TODAY(),"계획서 제출 독촉 (OVERDUE)","계획서 제출 대기"),IF(U65="02-계획서제출_미검토","설계자: 계획서 검토 착수",IF(U65="03-검토중_조건충족","설계자: 승인 처리",IF(U65="04-검토중_조건불만족","보완 요청 → 협력사 재제출 독촉",IF(U65="05-계획서승인","시험편 준비 현황 확인",IF(U65="06-BIW생산중단","BIW 생산팀 확인 → 일정 재수립",IF(U65="07-생산완료_미인수","협력사 인수 독촉",IF(U65="08-단품준비완료","시험 일정 확인",IF(U65="09-시험준비중","시험 진행 모니터링",IF(U65="10-시험완료","결과 보고서 전산 등록 독촉",IF(U65="12-조건부승인검토","조건부 승인 여부 판단 → 관련부서 협의","—"))))))))))))</f>
        <v/>
      </c>
    </row>
    <row r="66">
      <c r="A66" s="5" t="n">
        <v>62</v>
      </c>
      <c r="B66" s="13" t="inlineStr">
        <is>
          <t>EN_SUV</t>
        </is>
      </c>
      <c r="C66" s="14" t="inlineStr">
        <is>
          <t>Front Seat Assy LH</t>
        </is>
      </c>
      <c r="D66" s="15">
        <f>IFERROR(VLOOKUP(C66,'Reference Data 기준데이터'!$E$8:$F$30,2,FALSE),"")</f>
        <v/>
      </c>
      <c r="E66" s="14" t="inlineStr">
        <is>
          <t>BSR 시험</t>
        </is>
      </c>
      <c r="F66" s="15">
        <f>IFERROR(VLOOKUP(E66,'Reference Data 기준데이터'!$A$8:$F$30,2,FALSE),"")</f>
        <v/>
      </c>
      <c r="G66" s="15">
        <f>IFERROR(VLOOKUP(B66&amp;"_"&amp;C66,'Reference Data 기준데이터'!$A$33:$B$51,2,FALSE),"")</f>
        <v/>
      </c>
      <c r="H66" s="16">
        <f>IFERROR(VLOOKUP(B66,'Reference Data 기준데이터'!$A$2:$J$5,3,FALSE),"")</f>
        <v/>
      </c>
      <c r="I66" s="16">
        <f>IFERROR(H66+VLOOKUP(B66,'Reference Data 기준데이터'!$A$2:$J$5,7,FALSE),"")</f>
        <v/>
      </c>
      <c r="J66" s="20" t="n">
        <v>46066</v>
      </c>
      <c r="K66" s="13" t="inlineStr">
        <is>
          <t>Approved</t>
        </is>
      </c>
      <c r="L66" s="16">
        <f>IFERROR(H66+VLOOKUP(B66,'Reference Data 기준데이터'!$A$2:$J$5,8,FALSE),"")</f>
        <v/>
      </c>
      <c r="M66" s="20" t="n">
        <v>46105</v>
      </c>
      <c r="N66" s="16">
        <f>IFERROR(IF(ISNUMBER(SEARCH("Vehicle",F66)),MAX(H66+VLOOKUP(B66,'Reference Data 기준데이터'!$A$2:$J$5,9,FALSE),VLOOKUP(B66,'Reference Data 기준데이터'!$A$2:$J$5,4,FALSE)),H66+VLOOKUP(B66,'Reference Data 기준데이터'!$A$2:$J$5,9,FALSE)),"")</f>
        <v/>
      </c>
      <c r="O66" s="20" t="n">
        <v>46118</v>
      </c>
      <c r="P66" s="16">
        <f>IFERROR(N66+VLOOKUP(E66,'Reference Data 기준데이터'!$A$8:$F$30,4,FALSE),"")</f>
        <v/>
      </c>
      <c r="Q66" s="20" t="n">
        <v>46145</v>
      </c>
      <c r="R66" s="16">
        <f>IFERROR(MIN(H66+VLOOKUP(B66,'Reference Data 기준데이터'!$A$2:$J$5,10,FALSE),VLOOKUP(B66,'Reference Data 기준데이터'!$A$2:$J$5,6,FALSE)),"")</f>
        <v/>
      </c>
      <c r="S66" s="13" t="n"/>
      <c r="T66" s="13" t="n"/>
      <c r="U66" s="17">
        <f>IF(T66&lt;&gt;"",T66,IF(AND(S66&lt;&gt;"",Q66&lt;&gt;""),"11-결과등록완료",IF(AND(Q66&lt;&gt;"",S66=""),"10-시험완료",IF(AND(O66&lt;&gt;"",Q66=""),"09-시험준비중",IF(AND(M66&lt;&gt;"",O66=""),"08-단품준비완료",IF(K66="Approved","05-계획서승인",IF(K66="Revision Needed","04-검토중_조건불만족",IF(K66="Under Review","03-검토중_조건충족",IF(AND(J66&lt;&gt;"",K66=""),"02-계획서제출_미검토","01-계획서미제출")))))))))</f>
        <v/>
      </c>
      <c r="V66" s="18">
        <f>IFS(U66="01-계획서미제출",0,U66="02-계획서제출_미검토",0.05,U66="03-검토중_조건충족",0.1,U66="04-검토중_조건불만족",0.05,U66="05-계획서승인",0.2,U66="06-BIW생산중단",0.15,U66="07-생산완료_미인수",0.3,U66="08-단품준비완료",0.4,U66="09-시험준비중",0.55,U66="10-시험완료",0.85,U66="11-결과등록완료",1,U66="12-조건부승인검토",0.9,TRUE,0)</f>
        <v/>
      </c>
      <c r="W66" s="5">
        <f>IF(S66&lt;&gt;"","-",IF(R66="","N/A",R66-TODAY()))</f>
        <v/>
      </c>
      <c r="X66" s="17">
        <f>IF(U66="11-결과등록완료","DONE",IF(OR(U66="06-BIW생산중단",AND(U66="01-계획서미제출",I66&lt;TODAY())),"CRITICAL",IF(OR(U66="04-검토중_조건불만족",U66="07-생산완료_미인수",U66="12-조건부승인검토"),"ACTION",IF(AND(ISNUMBER(W66),W66&lt;=0),"OVERDUE",IF(AND(ISNUMBER(W66),W66&lt;=14),"WARNING","ON TRACK")))))</f>
        <v/>
      </c>
      <c r="Y66" s="19">
        <f>IF(U66="11-결과등록완료","— 완료",IF(U66="01-계획서미제출",IF(I66&lt;TODAY(),"계획서 제출 독촉 (OVERDUE)","계획서 제출 대기"),IF(U66="02-계획서제출_미검토","설계자: 계획서 검토 착수",IF(U66="03-검토중_조건충족","설계자: 승인 처리",IF(U66="04-검토중_조건불만족","보완 요청 → 협력사 재제출 독촉",IF(U66="05-계획서승인","시험편 준비 현황 확인",IF(U66="06-BIW생산중단","BIW 생산팀 확인 → 일정 재수립",IF(U66="07-생산완료_미인수","협력사 인수 독촉",IF(U66="08-단품준비완료","시험 일정 확인",IF(U66="09-시험준비중","시험 진행 모니터링",IF(U66="10-시험완료","결과 보고서 전산 등록 독촉",IF(U66="12-조건부승인검토","조건부 승인 여부 판단 → 관련부서 협의","—"))))))))))))</f>
        <v/>
      </c>
    </row>
    <row r="67">
      <c r="A67" s="5" t="n">
        <v>63</v>
      </c>
      <c r="B67" s="13" t="inlineStr">
        <is>
          <t>EN_SUV</t>
        </is>
      </c>
      <c r="C67" s="14" t="inlineStr">
        <is>
          <t>Rear Seat Assy</t>
        </is>
      </c>
      <c r="D67" s="15">
        <f>IFERROR(VLOOKUP(C67,'Reference Data 기준데이터'!$E$8:$F$30,2,FALSE),"")</f>
        <v/>
      </c>
      <c r="E67" s="14" t="inlineStr">
        <is>
          <t>시트 내구 시험</t>
        </is>
      </c>
      <c r="F67" s="15">
        <f>IFERROR(VLOOKUP(E67,'Reference Data 기준데이터'!$A$8:$F$30,2,FALSE),"")</f>
        <v/>
      </c>
      <c r="G67" s="15">
        <f>IFERROR(VLOOKUP(B67&amp;"_"&amp;C67,'Reference Data 기준데이터'!$A$33:$B$51,2,FALSE),"")</f>
        <v/>
      </c>
      <c r="H67" s="16">
        <f>IFERROR(VLOOKUP(B67,'Reference Data 기준데이터'!$A$2:$J$5,3,FALSE),"")</f>
        <v/>
      </c>
      <c r="I67" s="16">
        <f>IFERROR(H67+VLOOKUP(B67,'Reference Data 기준데이터'!$A$2:$J$5,7,FALSE),"")</f>
        <v/>
      </c>
      <c r="J67" s="20" t="n">
        <v>46067</v>
      </c>
      <c r="K67" s="13" t="inlineStr">
        <is>
          <t>Approved</t>
        </is>
      </c>
      <c r="L67" s="16">
        <f>IFERROR(H67+VLOOKUP(B67,'Reference Data 기준데이터'!$A$2:$J$5,8,FALSE),"")</f>
        <v/>
      </c>
      <c r="M67" s="20" t="n">
        <v>46106</v>
      </c>
      <c r="N67" s="16">
        <f>IFERROR(IF(ISNUMBER(SEARCH("Vehicle",F67)),MAX(H67+VLOOKUP(B67,'Reference Data 기준데이터'!$A$2:$J$5,9,FALSE),VLOOKUP(B67,'Reference Data 기준데이터'!$A$2:$J$5,4,FALSE)),H67+VLOOKUP(B67,'Reference Data 기준데이터'!$A$2:$J$5,9,FALSE)),"")</f>
        <v/>
      </c>
      <c r="O67" s="13" t="n"/>
      <c r="P67" s="16">
        <f>IFERROR(N67+VLOOKUP(E67,'Reference Data 기준데이터'!$A$8:$F$30,4,FALSE),"")</f>
        <v/>
      </c>
      <c r="Q67" s="13" t="n"/>
      <c r="R67" s="16">
        <f>IFERROR(MIN(H67+VLOOKUP(B67,'Reference Data 기준데이터'!$A$2:$J$5,10,FALSE),VLOOKUP(B67,'Reference Data 기준데이터'!$A$2:$J$5,6,FALSE)),"")</f>
        <v/>
      </c>
      <c r="S67" s="13" t="n"/>
      <c r="T67" s="13" t="n"/>
      <c r="U67" s="17">
        <f>IF(T67&lt;&gt;"",T67,IF(AND(S67&lt;&gt;"",Q67&lt;&gt;""),"11-결과등록완료",IF(AND(Q67&lt;&gt;"",S67=""),"10-시험완료",IF(AND(O67&lt;&gt;"",Q67=""),"09-시험준비중",IF(AND(M67&lt;&gt;"",O67=""),"08-단품준비완료",IF(K67="Approved","05-계획서승인",IF(K67="Revision Needed","04-검토중_조건불만족",IF(K67="Under Review","03-검토중_조건충족",IF(AND(J67&lt;&gt;"",K67=""),"02-계획서제출_미검토","01-계획서미제출")))))))))</f>
        <v/>
      </c>
      <c r="V67" s="18">
        <f>IFS(U67="01-계획서미제출",0,U67="02-계획서제출_미검토",0.05,U67="03-검토중_조건충족",0.1,U67="04-검토중_조건불만족",0.05,U67="05-계획서승인",0.2,U67="06-BIW생산중단",0.15,U67="07-생산완료_미인수",0.3,U67="08-단품준비완료",0.4,U67="09-시험준비중",0.55,U67="10-시험완료",0.85,U67="11-결과등록완료",1,U67="12-조건부승인검토",0.9,TRUE,0)</f>
        <v/>
      </c>
      <c r="W67" s="5">
        <f>IF(S67&lt;&gt;"","-",IF(R67="","N/A",R67-TODAY()))</f>
        <v/>
      </c>
      <c r="X67" s="17">
        <f>IF(U67="11-결과등록완료","DONE",IF(OR(U67="06-BIW생산중단",AND(U67="01-계획서미제출",I67&lt;TODAY())),"CRITICAL",IF(OR(U67="04-검토중_조건불만족",U67="07-생산완료_미인수",U67="12-조건부승인검토"),"ACTION",IF(AND(ISNUMBER(W67),W67&lt;=0),"OVERDUE",IF(AND(ISNUMBER(W67),W67&lt;=14),"WARNING","ON TRACK")))))</f>
        <v/>
      </c>
      <c r="Y67" s="19">
        <f>IF(U67="11-결과등록완료","— 완료",IF(U67="01-계획서미제출",IF(I67&lt;TODAY(),"계획서 제출 독촉 (OVERDUE)","계획서 제출 대기"),IF(U67="02-계획서제출_미검토","설계자: 계획서 검토 착수",IF(U67="03-검토중_조건충족","설계자: 승인 처리",IF(U67="04-검토중_조건불만족","보완 요청 → 협력사 재제출 독촉",IF(U67="05-계획서승인","시험편 준비 현황 확인",IF(U67="06-BIW생산중단","BIW 생산팀 확인 → 일정 재수립",IF(U67="07-생산완료_미인수","협력사 인수 독촉",IF(U67="08-단품준비완료","시험 일정 확인",IF(U67="09-시험준비중","시험 진행 모니터링",IF(U67="10-시험완료","결과 보고서 전산 등록 독촉",IF(U67="12-조건부승인검토","조건부 승인 여부 판단 → 관련부서 협의","—"))))))))))))</f>
        <v/>
      </c>
    </row>
    <row r="68">
      <c r="A68" s="5" t="n">
        <v>64</v>
      </c>
      <c r="B68" s="13" t="inlineStr">
        <is>
          <t>EN_SUV</t>
        </is>
      </c>
      <c r="C68" s="14" t="inlineStr">
        <is>
          <t>Rear Seat Assy</t>
        </is>
      </c>
      <c r="D68" s="15">
        <f>IFERROR(VLOOKUP(C68,'Reference Data 기준데이터'!$E$8:$F$30,2,FALSE),"")</f>
        <v/>
      </c>
      <c r="E68" s="14" t="inlineStr">
        <is>
          <t>ISOFIX 강도 시험</t>
        </is>
      </c>
      <c r="F68" s="15">
        <f>IFERROR(VLOOKUP(E68,'Reference Data 기준데이터'!$A$8:$F$30,2,FALSE),"")</f>
        <v/>
      </c>
      <c r="G68" s="15">
        <f>IFERROR(VLOOKUP(B68&amp;"_"&amp;C68,'Reference Data 기준데이터'!$A$33:$B$51,2,FALSE),"")</f>
        <v/>
      </c>
      <c r="H68" s="16">
        <f>IFERROR(VLOOKUP(B68,'Reference Data 기준데이터'!$A$2:$J$5,3,FALSE),"")</f>
        <v/>
      </c>
      <c r="I68" s="16">
        <f>IFERROR(H68+VLOOKUP(B68,'Reference Data 기준데이터'!$A$2:$J$5,7,FALSE),"")</f>
        <v/>
      </c>
      <c r="J68" s="20" t="n">
        <v>46068</v>
      </c>
      <c r="K68" s="13" t="inlineStr">
        <is>
          <t>Approved</t>
        </is>
      </c>
      <c r="L68" s="16">
        <f>IFERROR(H68+VLOOKUP(B68,'Reference Data 기준데이터'!$A$2:$J$5,8,FALSE),"")</f>
        <v/>
      </c>
      <c r="M68" s="20" t="n">
        <v>46099</v>
      </c>
      <c r="N68" s="16">
        <f>IFERROR(IF(ISNUMBER(SEARCH("Vehicle",F68)),MAX(H68+VLOOKUP(B68,'Reference Data 기준데이터'!$A$2:$J$5,9,FALSE),VLOOKUP(B68,'Reference Data 기준데이터'!$A$2:$J$5,4,FALSE)),H68+VLOOKUP(B68,'Reference Data 기준데이터'!$A$2:$J$5,9,FALSE)),"")</f>
        <v/>
      </c>
      <c r="O68" s="20" t="n">
        <v>46120</v>
      </c>
      <c r="P68" s="16">
        <f>IFERROR(N68+VLOOKUP(E68,'Reference Data 기준데이터'!$A$8:$F$30,4,FALSE),"")</f>
        <v/>
      </c>
      <c r="Q68" s="20" t="n">
        <v>46140</v>
      </c>
      <c r="R68" s="16">
        <f>IFERROR(MIN(H68+VLOOKUP(B68,'Reference Data 기준데이터'!$A$2:$J$5,10,FALSE),VLOOKUP(B68,'Reference Data 기준데이터'!$A$2:$J$5,6,FALSE)),"")</f>
        <v/>
      </c>
      <c r="S68" s="20" t="n">
        <v>46147</v>
      </c>
      <c r="T68" s="13" t="inlineStr">
        <is>
          <t>12-조건부승인검토</t>
        </is>
      </c>
      <c r="U68" s="17">
        <f>IF(T68&lt;&gt;"",T68,IF(AND(S68&lt;&gt;"",Q68&lt;&gt;""),"11-결과등록완료",IF(AND(Q68&lt;&gt;"",S68=""),"10-시험완료",IF(AND(O68&lt;&gt;"",Q68=""),"09-시험준비중",IF(AND(M68&lt;&gt;"",O68=""),"08-단품준비완료",IF(K68="Approved","05-계획서승인",IF(K68="Revision Needed","04-검토중_조건불만족",IF(K68="Under Review","03-검토중_조건충족",IF(AND(J68&lt;&gt;"",K68=""),"02-계획서제출_미검토","01-계획서미제출")))))))))</f>
        <v/>
      </c>
      <c r="V68" s="18">
        <f>IFS(U68="01-계획서미제출",0,U68="02-계획서제출_미검토",0.05,U68="03-검토중_조건충족",0.1,U68="04-검토중_조건불만족",0.05,U68="05-계획서승인",0.2,U68="06-BIW생산중단",0.15,U68="07-생산완료_미인수",0.3,U68="08-단품준비완료",0.4,U68="09-시험준비중",0.55,U68="10-시험완료",0.85,U68="11-결과등록완료",1,U68="12-조건부승인검토",0.9,TRUE,0)</f>
        <v/>
      </c>
      <c r="W68" s="5">
        <f>IF(S68&lt;&gt;"","-",IF(R68="","N/A",R68-TODAY()))</f>
        <v/>
      </c>
      <c r="X68" s="17">
        <f>IF(U68="11-결과등록완료","DONE",IF(OR(U68="06-BIW생산중단",AND(U68="01-계획서미제출",I68&lt;TODAY())),"CRITICAL",IF(OR(U68="04-검토중_조건불만족",U68="07-생산완료_미인수",U68="12-조건부승인검토"),"ACTION",IF(AND(ISNUMBER(W68),W68&lt;=0),"OVERDUE",IF(AND(ISNUMBER(W68),W68&lt;=14),"WARNING","ON TRACK")))))</f>
        <v/>
      </c>
      <c r="Y68" s="19">
        <f>IF(U68="11-결과등록완료","— 완료",IF(U68="01-계획서미제출",IF(I68&lt;TODAY(),"계획서 제출 독촉 (OVERDUE)","계획서 제출 대기"),IF(U68="02-계획서제출_미검토","설계자: 계획서 검토 착수",IF(U68="03-검토중_조건충족","설계자: 승인 처리",IF(U68="04-검토중_조건불만족","보완 요청 → 협력사 재제출 독촉",IF(U68="05-계획서승인","시험편 준비 현황 확인",IF(U68="06-BIW생산중단","BIW 생산팀 확인 → 일정 재수립",IF(U68="07-생산완료_미인수","협력사 인수 독촉",IF(U68="08-단품준비완료","시험 일정 확인",IF(U68="09-시험준비중","시험 진행 모니터링",IF(U68="10-시험완료","결과 보고서 전산 등록 독촉",IF(U68="12-조건부승인검토","조건부 승인 여부 판단 → 관련부서 협의","—"))))))))))))</f>
        <v/>
      </c>
    </row>
    <row r="69">
      <c r="A69" s="5" t="n">
        <v>65</v>
      </c>
      <c r="B69" s="13" t="inlineStr">
        <is>
          <t>EN_SUV</t>
        </is>
      </c>
      <c r="C69" s="14" t="inlineStr">
        <is>
          <t>Rear Seat Assy</t>
        </is>
      </c>
      <c r="D69" s="15">
        <f>IFERROR(VLOOKUP(C69,'Reference Data 기준데이터'!$E$8:$F$30,2,FALSE),"")</f>
        <v/>
      </c>
      <c r="E69" s="14" t="inlineStr">
        <is>
          <t>수하물 충격 시험</t>
        </is>
      </c>
      <c r="F69" s="15">
        <f>IFERROR(VLOOKUP(E69,'Reference Data 기준데이터'!$A$8:$F$30,2,FALSE),"")</f>
        <v/>
      </c>
      <c r="G69" s="15">
        <f>IFERROR(VLOOKUP(B69&amp;"_"&amp;C69,'Reference Data 기준데이터'!$A$33:$B$51,2,FALSE),"")</f>
        <v/>
      </c>
      <c r="H69" s="16">
        <f>IFERROR(VLOOKUP(B69,'Reference Data 기준데이터'!$A$2:$J$5,3,FALSE),"")</f>
        <v/>
      </c>
      <c r="I69" s="16">
        <f>IFERROR(H69+VLOOKUP(B69,'Reference Data 기준데이터'!$A$2:$J$5,7,FALSE),"")</f>
        <v/>
      </c>
      <c r="J69" s="20" t="n">
        <v>46064</v>
      </c>
      <c r="K69" s="13" t="inlineStr">
        <is>
          <t>Approved</t>
        </is>
      </c>
      <c r="L69" s="16">
        <f>IFERROR(H69+VLOOKUP(B69,'Reference Data 기준데이터'!$A$2:$J$5,8,FALSE),"")</f>
        <v/>
      </c>
      <c r="M69" s="20" t="n">
        <v>46100</v>
      </c>
      <c r="N69" s="16">
        <f>IFERROR(IF(ISNUMBER(SEARCH("Vehicle",F69)),MAX(H69+VLOOKUP(B69,'Reference Data 기준데이터'!$A$2:$J$5,9,FALSE),VLOOKUP(B69,'Reference Data 기준데이터'!$A$2:$J$5,4,FALSE)),H69+VLOOKUP(B69,'Reference Data 기준데이터'!$A$2:$J$5,9,FALSE)),"")</f>
        <v/>
      </c>
      <c r="O69" s="20" t="n">
        <v>46121</v>
      </c>
      <c r="P69" s="16">
        <f>IFERROR(N69+VLOOKUP(E69,'Reference Data 기준데이터'!$A$8:$F$30,4,FALSE),"")</f>
        <v/>
      </c>
      <c r="Q69" s="20" t="n">
        <v>46141</v>
      </c>
      <c r="R69" s="16">
        <f>IFERROR(MIN(H69+VLOOKUP(B69,'Reference Data 기준데이터'!$A$2:$J$5,10,FALSE),VLOOKUP(B69,'Reference Data 기준데이터'!$A$2:$J$5,6,FALSE)),"")</f>
        <v/>
      </c>
      <c r="S69" s="20" t="n">
        <v>46148</v>
      </c>
      <c r="T69" s="13" t="n"/>
      <c r="U69" s="17">
        <f>IF(T69&lt;&gt;"",T69,IF(AND(S69&lt;&gt;"",Q69&lt;&gt;""),"11-결과등록완료",IF(AND(Q69&lt;&gt;"",S69=""),"10-시험완료",IF(AND(O69&lt;&gt;"",Q69=""),"09-시험준비중",IF(AND(M69&lt;&gt;"",O69=""),"08-단품준비완료",IF(K69="Approved","05-계획서승인",IF(K69="Revision Needed","04-검토중_조건불만족",IF(K69="Under Review","03-검토중_조건충족",IF(AND(J69&lt;&gt;"",K69=""),"02-계획서제출_미검토","01-계획서미제출")))))))))</f>
        <v/>
      </c>
      <c r="V69" s="18">
        <f>IFS(U69="01-계획서미제출",0,U69="02-계획서제출_미검토",0.05,U69="03-검토중_조건충족",0.1,U69="04-검토중_조건불만족",0.05,U69="05-계획서승인",0.2,U69="06-BIW생산중단",0.15,U69="07-생산완료_미인수",0.3,U69="08-단품준비완료",0.4,U69="09-시험준비중",0.55,U69="10-시험완료",0.85,U69="11-결과등록완료",1,U69="12-조건부승인검토",0.9,TRUE,0)</f>
        <v/>
      </c>
      <c r="W69" s="5">
        <f>IF(S69&lt;&gt;"","-",IF(R69="","N/A",R69-TODAY()))</f>
        <v/>
      </c>
      <c r="X69" s="17">
        <f>IF(U69="11-결과등록완료","DONE",IF(OR(U69="06-BIW생산중단",AND(U69="01-계획서미제출",I69&lt;TODAY())),"CRITICAL",IF(OR(U69="04-검토중_조건불만족",U69="07-생산완료_미인수",U69="12-조건부승인검토"),"ACTION",IF(AND(ISNUMBER(W69),W69&lt;=0),"OVERDUE",IF(AND(ISNUMBER(W69),W69&lt;=14),"WARNING","ON TRACK")))))</f>
        <v/>
      </c>
      <c r="Y69" s="19">
        <f>IF(U69="11-결과등록완료","— 완료",IF(U69="01-계획서미제출",IF(I69&lt;TODAY(),"계획서 제출 독촉 (OVERDUE)","계획서 제출 대기"),IF(U69="02-계획서제출_미검토","설계자: 계획서 검토 착수",IF(U69="03-검토중_조건충족","설계자: 승인 처리",IF(U69="04-검토중_조건불만족","보완 요청 → 협력사 재제출 독촉",IF(U69="05-계획서승인","시험편 준비 현황 확인",IF(U69="06-BIW생산중단","BIW 생산팀 확인 → 일정 재수립",IF(U69="07-생산완료_미인수","협력사 인수 독촉",IF(U69="08-단품준비완료","시험 일정 확인",IF(U69="09-시험준비중","시험 진행 모니터링",IF(U69="10-시험완료","결과 보고서 전산 등록 독촉",IF(U69="12-조건부승인검토","조건부 승인 여부 판단 → 관련부서 협의","—"))))))))))))</f>
        <v/>
      </c>
    </row>
    <row r="70">
      <c r="A70" s="5" t="n">
        <v>66</v>
      </c>
      <c r="B70" s="13" t="inlineStr">
        <is>
          <t>EN_SUV</t>
        </is>
      </c>
      <c r="C70" s="14" t="inlineStr">
        <is>
          <t>Rear Seat Assy</t>
        </is>
      </c>
      <c r="D70" s="15">
        <f>IFERROR(VLOOKUP(C70,'Reference Data 기준데이터'!$E$8:$F$30,2,FALSE),"")</f>
        <v/>
      </c>
      <c r="E70" s="14" t="inlineStr">
        <is>
          <t>외관 검사</t>
        </is>
      </c>
      <c r="F70" s="15">
        <f>IFERROR(VLOOKUP(E70,'Reference Data 기준데이터'!$A$8:$F$30,2,FALSE),"")</f>
        <v/>
      </c>
      <c r="G70" s="15">
        <f>IFERROR(VLOOKUP(B70&amp;"_"&amp;C70,'Reference Data 기준데이터'!$A$33:$B$51,2,FALSE),"")</f>
        <v/>
      </c>
      <c r="H70" s="16">
        <f>IFERROR(VLOOKUP(B70,'Reference Data 기준데이터'!$A$2:$J$5,3,FALSE),"")</f>
        <v/>
      </c>
      <c r="I70" s="16">
        <f>IFERROR(H70+VLOOKUP(B70,'Reference Data 기준데이터'!$A$2:$J$5,7,FALSE),"")</f>
        <v/>
      </c>
      <c r="J70" s="20" t="n">
        <v>46065</v>
      </c>
      <c r="K70" s="13" t="inlineStr">
        <is>
          <t>Approved</t>
        </is>
      </c>
      <c r="L70" s="16">
        <f>IFERROR(H70+VLOOKUP(B70,'Reference Data 기준데이터'!$A$2:$J$5,8,FALSE),"")</f>
        <v/>
      </c>
      <c r="M70" s="20" t="n">
        <v>46101</v>
      </c>
      <c r="N70" s="16">
        <f>IFERROR(IF(ISNUMBER(SEARCH("Vehicle",F70)),MAX(H70+VLOOKUP(B70,'Reference Data 기준데이터'!$A$2:$J$5,9,FALSE),VLOOKUP(B70,'Reference Data 기준데이터'!$A$2:$J$5,4,FALSE)),H70+VLOOKUP(B70,'Reference Data 기준데이터'!$A$2:$J$5,9,FALSE)),"")</f>
        <v/>
      </c>
      <c r="O70" s="20" t="n">
        <v>46116</v>
      </c>
      <c r="P70" s="16">
        <f>IFERROR(N70+VLOOKUP(E70,'Reference Data 기준데이터'!$A$8:$F$30,4,FALSE),"")</f>
        <v/>
      </c>
      <c r="Q70" s="20" t="n">
        <v>46142</v>
      </c>
      <c r="R70" s="16">
        <f>IFERROR(MIN(H70+VLOOKUP(B70,'Reference Data 기준데이터'!$A$2:$J$5,10,FALSE),VLOOKUP(B70,'Reference Data 기준데이터'!$A$2:$J$5,6,FALSE)),"")</f>
        <v/>
      </c>
      <c r="S70" s="20" t="n">
        <v>46149</v>
      </c>
      <c r="T70" s="13" t="n"/>
      <c r="U70" s="17">
        <f>IF(T70&lt;&gt;"",T70,IF(AND(S70&lt;&gt;"",Q70&lt;&gt;""),"11-결과등록완료",IF(AND(Q70&lt;&gt;"",S70=""),"10-시험완료",IF(AND(O70&lt;&gt;"",Q70=""),"09-시험준비중",IF(AND(M70&lt;&gt;"",O70=""),"08-단품준비완료",IF(K70="Approved","05-계획서승인",IF(K70="Revision Needed","04-검토중_조건불만족",IF(K70="Under Review","03-검토중_조건충족",IF(AND(J70&lt;&gt;"",K70=""),"02-계획서제출_미검토","01-계획서미제출")))))))))</f>
        <v/>
      </c>
      <c r="V70" s="18">
        <f>IFS(U70="01-계획서미제출",0,U70="02-계획서제출_미검토",0.05,U70="03-검토중_조건충족",0.1,U70="04-검토중_조건불만족",0.05,U70="05-계획서승인",0.2,U70="06-BIW생산중단",0.15,U70="07-생산완료_미인수",0.3,U70="08-단품준비완료",0.4,U70="09-시험준비중",0.55,U70="10-시험완료",0.85,U70="11-결과등록완료",1,U70="12-조건부승인검토",0.9,TRUE,0)</f>
        <v/>
      </c>
      <c r="W70" s="5">
        <f>IF(S70&lt;&gt;"","-",IF(R70="","N/A",R70-TODAY()))</f>
        <v/>
      </c>
      <c r="X70" s="17">
        <f>IF(U70="11-결과등록완료","DONE",IF(OR(U70="06-BIW생산중단",AND(U70="01-계획서미제출",I70&lt;TODAY())),"CRITICAL",IF(OR(U70="04-검토중_조건불만족",U70="07-생산완료_미인수",U70="12-조건부승인검토"),"ACTION",IF(AND(ISNUMBER(W70),W70&lt;=0),"OVERDUE",IF(AND(ISNUMBER(W70),W70&lt;=14),"WARNING","ON TRACK")))))</f>
        <v/>
      </c>
      <c r="Y70" s="19">
        <f>IF(U70="11-결과등록완료","— 완료",IF(U70="01-계획서미제출",IF(I70&lt;TODAY(),"계획서 제출 독촉 (OVERDUE)","계획서 제출 대기"),IF(U70="02-계획서제출_미검토","설계자: 계획서 검토 착수",IF(U70="03-검토중_조건충족","설계자: 승인 처리",IF(U70="04-검토중_조건불만족","보완 요청 → 협력사 재제출 독촉",IF(U70="05-계획서승인","시험편 준비 현황 확인",IF(U70="06-BIW생산중단","BIW 생산팀 확인 → 일정 재수립",IF(U70="07-생산완료_미인수","협력사 인수 독촉",IF(U70="08-단품준비완료","시험 일정 확인",IF(U70="09-시험준비중","시험 진행 모니터링",IF(U70="10-시험완료","결과 보고서 전산 등록 독촉",IF(U70="12-조건부승인검토","조건부 승인 여부 판단 → 관련부서 협의","—"))))))))))))</f>
        <v/>
      </c>
    </row>
    <row r="71">
      <c r="A71" s="5">
        <f>IF(B71="","",ROW()-4)</f>
        <v/>
      </c>
      <c r="B71" s="13" t="n"/>
      <c r="C71" s="14" t="n"/>
      <c r="D71" s="15">
        <f>IF(B71="","",IFERROR(VLOOKUP(C71,'Reference Data 기준데이터'!$E$8:$F$30,2,FALSE),""))</f>
        <v/>
      </c>
      <c r="E71" s="14" t="n"/>
      <c r="F71" s="15">
        <f>IF(B71="","",IFERROR(VLOOKUP(E71,'Reference Data 기준데이터'!$A$8:$F$30,2,FALSE),""))</f>
        <v/>
      </c>
      <c r="G71" s="15">
        <f>IF(B71="","",IFERROR(VLOOKUP(B71&amp;"_"&amp;C71,'Reference Data 기준데이터'!$A$33:$B$51,2,FALSE),""))</f>
        <v/>
      </c>
      <c r="H71" s="16">
        <f>IF(B71="","",IFERROR(VLOOKUP(B71,'Reference Data 기준데이터'!$A$2:$J$5,3,FALSE),""))</f>
        <v/>
      </c>
      <c r="I71" s="16">
        <f>IF(B71="","",IFERROR(H71+VLOOKUP(B71,'Reference Data 기준데이터'!$A$2:$J$5,7,FALSE),""))</f>
        <v/>
      </c>
      <c r="J71" s="20" t="n"/>
      <c r="K71" s="13" t="n"/>
      <c r="L71" s="16">
        <f>IF(B71="","",IFERROR(H71+VLOOKUP(B71,'Reference Data 기준데이터'!$A$2:$J$5,8,FALSE),""))</f>
        <v/>
      </c>
      <c r="M71" s="20" t="n"/>
      <c r="N71" s="16">
        <f>IF(B71="","",IFERROR(IF(ISNUMBER(SEARCH("Vehicle",F71)),MAX(H71+VLOOKUP(B71,'Reference Data 기준데이터'!$A$2:$J$5,9,FALSE),VLOOKUP(B71,'Reference Data 기준데이터'!$A$2:$J$5,4,FALSE)),H71+VLOOKUP(B71,'Reference Data 기준데이터'!$A$2:$J$5,9,FALSE)),""))</f>
        <v/>
      </c>
      <c r="O71" s="20" t="n"/>
      <c r="P71" s="16">
        <f>IF(B71="","",IFERROR(N71+VLOOKUP(E71,'Reference Data 기준데이터'!$A$8:$F$30,4,FALSE),""))</f>
        <v/>
      </c>
      <c r="Q71" s="20" t="n"/>
      <c r="R71" s="16">
        <f>IF(B71="","",IFERROR(MIN(H71+VLOOKUP(B71,'Reference Data 기준데이터'!$A$2:$J$5,10,FALSE),VLOOKUP(B71,'Reference Data 기준데이터'!$A$2:$J$5,6,FALSE)),""))</f>
        <v/>
      </c>
      <c r="S71" s="20" t="n"/>
      <c r="T71" s="13" t="n"/>
      <c r="U71" s="17">
        <f>IF(B71="","",IF(T71&lt;&gt;"",T71,IF(AND(S71&lt;&gt;"",Q71&lt;&gt;""),"11-결과등록완료",IF(AND(Q71&lt;&gt;"",S71=""),"10-시험완료",IF(AND(O71&lt;&gt;"",Q71=""),"09-시험준비중",IF(AND(M71&lt;&gt;"",O71=""),"08-단품준비완료",IF(K71="Approved","05-계획서승인",IF(K71="Revision Needed","04-검토중_조건불만족",IF(K71="Under Review","03-검토중_조건충족",IF(AND(J71&lt;&gt;"",K71=""),"02-계획서제출_미검토","01-계획서미제출"))))))))))</f>
        <v/>
      </c>
      <c r="V71" s="18">
        <f>IF(B71="","",IFS(U71="01-계획서미제출",0,U71="02-계획서제출_미검토",0.05,U71="03-검토중_조건충족",0.1,U71="04-검토중_조건불만족",0.05,U71="05-계획서승인",0.2,U71="06-BIW생산중단",0.15,U71="07-생산완료_미인수",0.3,U71="08-단품준비완료",0.4,U71="09-시험준비중",0.55,U71="10-시험완료",0.85,U71="11-결과등록완료",1,U71="12-조건부승인검토",0.9,TRUE,0))</f>
        <v/>
      </c>
      <c r="W71" s="5">
        <f>IF(B71="","",IF(S71&lt;&gt;"","-",IF(R71="","N/A",R71-TODAY())))</f>
        <v/>
      </c>
      <c r="X71" s="17">
        <f>IF(B71="","",IF(U71="11-결과등록완료","DONE",IF(OR(U71="06-BIW생산중단",AND(U71="01-계획서미제출",I71&lt;TODAY())),"CRITICAL",IF(OR(U71="04-검토중_조건불만족",U71="07-생산완료_미인수",U71="12-조건부승인검토"),"ACTION",IF(AND(ISNUMBER(W71),W71&lt;=0),"OVERDUE",IF(AND(ISNUMBER(W71),W71&lt;=14),"WARNING","ON TRACK"))))))</f>
        <v/>
      </c>
      <c r="Y71" s="19">
        <f>IF(B71="","",IF(U71="11-결과등록완료","— 완료",IF(U71="01-계획서미제출",IF(I71&lt;TODAY(),"계획서 제출 독촉 (OVERDUE)","계획서 제출 대기"),IF(U71="02-계획서제출_미검토","설계자: 계획서 검토 착수",IF(U71="03-검토중_조건충족","설계자: 승인 처리",IF(U71="04-검토중_조건불만족","보완 요청 → 협력사 재제출 독촉",IF(U71="05-계획서승인","시험편 준비 현황 확인",IF(U71="06-BIW생산중단","BIW 생산팀 확인 → 일정 재수립",IF(U71="07-생산완료_미인수","협력사 인수 독촉",IF(U71="08-단품준비완료","시험 일정 확인",IF(U71="09-시험준비중","시험 진행 모니터링",IF(U71="10-시험완료","결과 보고서 전산 등록 독촉",IF(U71="12-조건부승인검토","조건부 승인 여부 판단 → 관련부서 협의","—")))))))))))))</f>
        <v/>
      </c>
    </row>
    <row r="72">
      <c r="A72" s="5">
        <f>IF(B72="","",ROW()-4)</f>
        <v/>
      </c>
      <c r="B72" s="13" t="n"/>
      <c r="C72" s="14" t="n"/>
      <c r="D72" s="15">
        <f>IF(B72="","",IFERROR(VLOOKUP(C72,'Reference Data 기준데이터'!$E$8:$F$30,2,FALSE),""))</f>
        <v/>
      </c>
      <c r="E72" s="14" t="n"/>
      <c r="F72" s="15">
        <f>IF(B72="","",IFERROR(VLOOKUP(E72,'Reference Data 기준데이터'!$A$8:$F$30,2,FALSE),""))</f>
        <v/>
      </c>
      <c r="G72" s="15">
        <f>IF(B72="","",IFERROR(VLOOKUP(B72&amp;"_"&amp;C72,'Reference Data 기준데이터'!$A$33:$B$51,2,FALSE),""))</f>
        <v/>
      </c>
      <c r="H72" s="16">
        <f>IF(B72="","",IFERROR(VLOOKUP(B72,'Reference Data 기준데이터'!$A$2:$J$5,3,FALSE),""))</f>
        <v/>
      </c>
      <c r="I72" s="16">
        <f>IF(B72="","",IFERROR(H72+VLOOKUP(B72,'Reference Data 기준데이터'!$A$2:$J$5,7,FALSE),""))</f>
        <v/>
      </c>
      <c r="J72" s="20" t="n"/>
      <c r="K72" s="13" t="n"/>
      <c r="L72" s="16">
        <f>IF(B72="","",IFERROR(H72+VLOOKUP(B72,'Reference Data 기준데이터'!$A$2:$J$5,8,FALSE),""))</f>
        <v/>
      </c>
      <c r="M72" s="20" t="n"/>
      <c r="N72" s="16">
        <f>IF(B72="","",IFERROR(IF(ISNUMBER(SEARCH("Vehicle",F72)),MAX(H72+VLOOKUP(B72,'Reference Data 기준데이터'!$A$2:$J$5,9,FALSE),VLOOKUP(B72,'Reference Data 기준데이터'!$A$2:$J$5,4,FALSE)),H72+VLOOKUP(B72,'Reference Data 기준데이터'!$A$2:$J$5,9,FALSE)),""))</f>
        <v/>
      </c>
      <c r="O72" s="20" t="n"/>
      <c r="P72" s="16">
        <f>IF(B72="","",IFERROR(N72+VLOOKUP(E72,'Reference Data 기준데이터'!$A$8:$F$30,4,FALSE),""))</f>
        <v/>
      </c>
      <c r="Q72" s="20" t="n"/>
      <c r="R72" s="16">
        <f>IF(B72="","",IFERROR(MIN(H72+VLOOKUP(B72,'Reference Data 기준데이터'!$A$2:$J$5,10,FALSE),VLOOKUP(B72,'Reference Data 기준데이터'!$A$2:$J$5,6,FALSE)),""))</f>
        <v/>
      </c>
      <c r="S72" s="20" t="n"/>
      <c r="T72" s="13" t="n"/>
      <c r="U72" s="17">
        <f>IF(B72="","",IF(T72&lt;&gt;"",T72,IF(AND(S72&lt;&gt;"",Q72&lt;&gt;""),"11-결과등록완료",IF(AND(Q72&lt;&gt;"",S72=""),"10-시험완료",IF(AND(O72&lt;&gt;"",Q72=""),"09-시험준비중",IF(AND(M72&lt;&gt;"",O72=""),"08-단품준비완료",IF(K72="Approved","05-계획서승인",IF(K72="Revision Needed","04-검토중_조건불만족",IF(K72="Under Review","03-검토중_조건충족",IF(AND(J72&lt;&gt;"",K72=""),"02-계획서제출_미검토","01-계획서미제출"))))))))))</f>
        <v/>
      </c>
      <c r="V72" s="18">
        <f>IF(B72="","",IFS(U72="01-계획서미제출",0,U72="02-계획서제출_미검토",0.05,U72="03-검토중_조건충족",0.1,U72="04-검토중_조건불만족",0.05,U72="05-계획서승인",0.2,U72="06-BIW생산중단",0.15,U72="07-생산완료_미인수",0.3,U72="08-단품준비완료",0.4,U72="09-시험준비중",0.55,U72="10-시험완료",0.85,U72="11-결과등록완료",1,U72="12-조건부승인검토",0.9,TRUE,0))</f>
        <v/>
      </c>
      <c r="W72" s="5">
        <f>IF(B72="","",IF(S72&lt;&gt;"","-",IF(R72="","N/A",R72-TODAY())))</f>
        <v/>
      </c>
      <c r="X72" s="17">
        <f>IF(B72="","",IF(U72="11-결과등록완료","DONE",IF(OR(U72="06-BIW생산중단",AND(U72="01-계획서미제출",I72&lt;TODAY())),"CRITICAL",IF(OR(U72="04-검토중_조건불만족",U72="07-생산완료_미인수",U72="12-조건부승인검토"),"ACTION",IF(AND(ISNUMBER(W72),W72&lt;=0),"OVERDUE",IF(AND(ISNUMBER(W72),W72&lt;=14),"WARNING","ON TRACK"))))))</f>
        <v/>
      </c>
      <c r="Y72" s="19">
        <f>IF(B72="","",IF(U72="11-결과등록완료","— 완료",IF(U72="01-계획서미제출",IF(I72&lt;TODAY(),"계획서 제출 독촉 (OVERDUE)","계획서 제출 대기"),IF(U72="02-계획서제출_미검토","설계자: 계획서 검토 착수",IF(U72="03-검토중_조건충족","설계자: 승인 처리",IF(U72="04-검토중_조건불만족","보완 요청 → 협력사 재제출 독촉",IF(U72="05-계획서승인","시험편 준비 현황 확인",IF(U72="06-BIW생산중단","BIW 생산팀 확인 → 일정 재수립",IF(U72="07-생산완료_미인수","협력사 인수 독촉",IF(U72="08-단품준비완료","시험 일정 확인",IF(U72="09-시험준비중","시험 진행 모니터링",IF(U72="10-시험완료","결과 보고서 전산 등록 독촉",IF(U72="12-조건부승인검토","조건부 승인 여부 판단 → 관련부서 협의","—")))))))))))))</f>
        <v/>
      </c>
    </row>
    <row r="73">
      <c r="A73" s="5">
        <f>IF(B73="","",ROW()-4)</f>
        <v/>
      </c>
      <c r="B73" s="13" t="n"/>
      <c r="C73" s="14" t="n"/>
      <c r="D73" s="15">
        <f>IF(B73="","",IFERROR(VLOOKUP(C73,'Reference Data 기준데이터'!$E$8:$F$30,2,FALSE),""))</f>
        <v/>
      </c>
      <c r="E73" s="14" t="n"/>
      <c r="F73" s="15">
        <f>IF(B73="","",IFERROR(VLOOKUP(E73,'Reference Data 기준데이터'!$A$8:$F$30,2,FALSE),""))</f>
        <v/>
      </c>
      <c r="G73" s="15">
        <f>IF(B73="","",IFERROR(VLOOKUP(B73&amp;"_"&amp;C73,'Reference Data 기준데이터'!$A$33:$B$51,2,FALSE),""))</f>
        <v/>
      </c>
      <c r="H73" s="16">
        <f>IF(B73="","",IFERROR(VLOOKUP(B73,'Reference Data 기준데이터'!$A$2:$J$5,3,FALSE),""))</f>
        <v/>
      </c>
      <c r="I73" s="16">
        <f>IF(B73="","",IFERROR(H73+VLOOKUP(B73,'Reference Data 기준데이터'!$A$2:$J$5,7,FALSE),""))</f>
        <v/>
      </c>
      <c r="J73" s="20" t="n"/>
      <c r="K73" s="13" t="n"/>
      <c r="L73" s="16">
        <f>IF(B73="","",IFERROR(H73+VLOOKUP(B73,'Reference Data 기준데이터'!$A$2:$J$5,8,FALSE),""))</f>
        <v/>
      </c>
      <c r="M73" s="20" t="n"/>
      <c r="N73" s="16">
        <f>IF(B73="","",IFERROR(IF(ISNUMBER(SEARCH("Vehicle",F73)),MAX(H73+VLOOKUP(B73,'Reference Data 기준데이터'!$A$2:$J$5,9,FALSE),VLOOKUP(B73,'Reference Data 기준데이터'!$A$2:$J$5,4,FALSE)),H73+VLOOKUP(B73,'Reference Data 기준데이터'!$A$2:$J$5,9,FALSE)),""))</f>
        <v/>
      </c>
      <c r="O73" s="20" t="n"/>
      <c r="P73" s="16">
        <f>IF(B73="","",IFERROR(N73+VLOOKUP(E73,'Reference Data 기준데이터'!$A$8:$F$30,4,FALSE),""))</f>
        <v/>
      </c>
      <c r="Q73" s="20" t="n"/>
      <c r="R73" s="16">
        <f>IF(B73="","",IFERROR(MIN(H73+VLOOKUP(B73,'Reference Data 기준데이터'!$A$2:$J$5,10,FALSE),VLOOKUP(B73,'Reference Data 기준데이터'!$A$2:$J$5,6,FALSE)),""))</f>
        <v/>
      </c>
      <c r="S73" s="20" t="n"/>
      <c r="T73" s="13" t="n"/>
      <c r="U73" s="17">
        <f>IF(B73="","",IF(T73&lt;&gt;"",T73,IF(AND(S73&lt;&gt;"",Q73&lt;&gt;""),"11-결과등록완료",IF(AND(Q73&lt;&gt;"",S73=""),"10-시험완료",IF(AND(O73&lt;&gt;"",Q73=""),"09-시험준비중",IF(AND(M73&lt;&gt;"",O73=""),"08-단품준비완료",IF(K73="Approved","05-계획서승인",IF(K73="Revision Needed","04-검토중_조건불만족",IF(K73="Under Review","03-검토중_조건충족",IF(AND(J73&lt;&gt;"",K73=""),"02-계획서제출_미검토","01-계획서미제출"))))))))))</f>
        <v/>
      </c>
      <c r="V73" s="18">
        <f>IF(B73="","",IFS(U73="01-계획서미제출",0,U73="02-계획서제출_미검토",0.05,U73="03-검토중_조건충족",0.1,U73="04-검토중_조건불만족",0.05,U73="05-계획서승인",0.2,U73="06-BIW생산중단",0.15,U73="07-생산완료_미인수",0.3,U73="08-단품준비완료",0.4,U73="09-시험준비중",0.55,U73="10-시험완료",0.85,U73="11-결과등록완료",1,U73="12-조건부승인검토",0.9,TRUE,0))</f>
        <v/>
      </c>
      <c r="W73" s="5">
        <f>IF(B73="","",IF(S73&lt;&gt;"","-",IF(R73="","N/A",R73-TODAY())))</f>
        <v/>
      </c>
      <c r="X73" s="17">
        <f>IF(B73="","",IF(U73="11-결과등록완료","DONE",IF(OR(U73="06-BIW생산중단",AND(U73="01-계획서미제출",I73&lt;TODAY())),"CRITICAL",IF(OR(U73="04-검토중_조건불만족",U73="07-생산완료_미인수",U73="12-조건부승인검토"),"ACTION",IF(AND(ISNUMBER(W73),W73&lt;=0),"OVERDUE",IF(AND(ISNUMBER(W73),W73&lt;=14),"WARNING","ON TRACK"))))))</f>
        <v/>
      </c>
      <c r="Y73" s="19">
        <f>IF(B73="","",IF(U73="11-결과등록완료","— 완료",IF(U73="01-계획서미제출",IF(I73&lt;TODAY(),"계획서 제출 독촉 (OVERDUE)","계획서 제출 대기"),IF(U73="02-계획서제출_미검토","설계자: 계획서 검토 착수",IF(U73="03-검토중_조건충족","설계자: 승인 처리",IF(U73="04-검토중_조건불만족","보완 요청 → 협력사 재제출 독촉",IF(U73="05-계획서승인","시험편 준비 현황 확인",IF(U73="06-BIW생산중단","BIW 생산팀 확인 → 일정 재수립",IF(U73="07-생산완료_미인수","협력사 인수 독촉",IF(U73="08-단품준비완료","시험 일정 확인",IF(U73="09-시험준비중","시험 진행 모니터링",IF(U73="10-시험완료","결과 보고서 전산 등록 독촉",IF(U73="12-조건부승인검토","조건부 승인 여부 판단 → 관련부서 협의","—")))))))))))))</f>
        <v/>
      </c>
    </row>
    <row r="74">
      <c r="A74" s="5">
        <f>IF(B74="","",ROW()-4)</f>
        <v/>
      </c>
      <c r="B74" s="13" t="n"/>
      <c r="C74" s="14" t="n"/>
      <c r="D74" s="15">
        <f>IF(B74="","",IFERROR(VLOOKUP(C74,'Reference Data 기준데이터'!$E$8:$F$30,2,FALSE),""))</f>
        <v/>
      </c>
      <c r="E74" s="14" t="n"/>
      <c r="F74" s="15">
        <f>IF(B74="","",IFERROR(VLOOKUP(E74,'Reference Data 기준데이터'!$A$8:$F$30,2,FALSE),""))</f>
        <v/>
      </c>
      <c r="G74" s="15">
        <f>IF(B74="","",IFERROR(VLOOKUP(B74&amp;"_"&amp;C74,'Reference Data 기준데이터'!$A$33:$B$51,2,FALSE),""))</f>
        <v/>
      </c>
      <c r="H74" s="16">
        <f>IF(B74="","",IFERROR(VLOOKUP(B74,'Reference Data 기준데이터'!$A$2:$J$5,3,FALSE),""))</f>
        <v/>
      </c>
      <c r="I74" s="16">
        <f>IF(B74="","",IFERROR(H74+VLOOKUP(B74,'Reference Data 기준데이터'!$A$2:$J$5,7,FALSE),""))</f>
        <v/>
      </c>
      <c r="J74" s="20" t="n"/>
      <c r="K74" s="13" t="n"/>
      <c r="L74" s="16">
        <f>IF(B74="","",IFERROR(H74+VLOOKUP(B74,'Reference Data 기준데이터'!$A$2:$J$5,8,FALSE),""))</f>
        <v/>
      </c>
      <c r="M74" s="20" t="n"/>
      <c r="N74" s="16">
        <f>IF(B74="","",IFERROR(IF(ISNUMBER(SEARCH("Vehicle",F74)),MAX(H74+VLOOKUP(B74,'Reference Data 기준데이터'!$A$2:$J$5,9,FALSE),VLOOKUP(B74,'Reference Data 기준데이터'!$A$2:$J$5,4,FALSE)),H74+VLOOKUP(B74,'Reference Data 기준데이터'!$A$2:$J$5,9,FALSE)),""))</f>
        <v/>
      </c>
      <c r="O74" s="20" t="n"/>
      <c r="P74" s="16">
        <f>IF(B74="","",IFERROR(N74+VLOOKUP(E74,'Reference Data 기준데이터'!$A$8:$F$30,4,FALSE),""))</f>
        <v/>
      </c>
      <c r="Q74" s="20" t="n"/>
      <c r="R74" s="16">
        <f>IF(B74="","",IFERROR(MIN(H74+VLOOKUP(B74,'Reference Data 기준데이터'!$A$2:$J$5,10,FALSE),VLOOKUP(B74,'Reference Data 기준데이터'!$A$2:$J$5,6,FALSE)),""))</f>
        <v/>
      </c>
      <c r="S74" s="20" t="n"/>
      <c r="T74" s="13" t="n"/>
      <c r="U74" s="17">
        <f>IF(B74="","",IF(T74&lt;&gt;"",T74,IF(AND(S74&lt;&gt;"",Q74&lt;&gt;""),"11-결과등록완료",IF(AND(Q74&lt;&gt;"",S74=""),"10-시험완료",IF(AND(O74&lt;&gt;"",Q74=""),"09-시험준비중",IF(AND(M74&lt;&gt;"",O74=""),"08-단품준비완료",IF(K74="Approved","05-계획서승인",IF(K74="Revision Needed","04-검토중_조건불만족",IF(K74="Under Review","03-검토중_조건충족",IF(AND(J74&lt;&gt;"",K74=""),"02-계획서제출_미검토","01-계획서미제출"))))))))))</f>
        <v/>
      </c>
      <c r="V74" s="18">
        <f>IF(B74="","",IFS(U74="01-계획서미제출",0,U74="02-계획서제출_미검토",0.05,U74="03-검토중_조건충족",0.1,U74="04-검토중_조건불만족",0.05,U74="05-계획서승인",0.2,U74="06-BIW생산중단",0.15,U74="07-생산완료_미인수",0.3,U74="08-단품준비완료",0.4,U74="09-시험준비중",0.55,U74="10-시험완료",0.85,U74="11-결과등록완료",1,U74="12-조건부승인검토",0.9,TRUE,0))</f>
        <v/>
      </c>
      <c r="W74" s="5">
        <f>IF(B74="","",IF(S74&lt;&gt;"","-",IF(R74="","N/A",R74-TODAY())))</f>
        <v/>
      </c>
      <c r="X74" s="17">
        <f>IF(B74="","",IF(U74="11-결과등록완료","DONE",IF(OR(U74="06-BIW생산중단",AND(U74="01-계획서미제출",I74&lt;TODAY())),"CRITICAL",IF(OR(U74="04-검토중_조건불만족",U74="07-생산완료_미인수",U74="12-조건부승인검토"),"ACTION",IF(AND(ISNUMBER(W74),W74&lt;=0),"OVERDUE",IF(AND(ISNUMBER(W74),W74&lt;=14),"WARNING","ON TRACK"))))))</f>
        <v/>
      </c>
      <c r="Y74" s="19">
        <f>IF(B74="","",IF(U74="11-결과등록완료","— 완료",IF(U74="01-계획서미제출",IF(I74&lt;TODAY(),"계획서 제출 독촉 (OVERDUE)","계획서 제출 대기"),IF(U74="02-계획서제출_미검토","설계자: 계획서 검토 착수",IF(U74="03-검토중_조건충족","설계자: 승인 처리",IF(U74="04-검토중_조건불만족","보완 요청 → 협력사 재제출 독촉",IF(U74="05-계획서승인","시험편 준비 현황 확인",IF(U74="06-BIW생산중단","BIW 생산팀 확인 → 일정 재수립",IF(U74="07-생산완료_미인수","협력사 인수 독촉",IF(U74="08-단품준비완료","시험 일정 확인",IF(U74="09-시험준비중","시험 진행 모니터링",IF(U74="10-시험완료","결과 보고서 전산 등록 독촉",IF(U74="12-조건부승인검토","조건부 승인 여부 판단 → 관련부서 협의","—")))))))))))))</f>
        <v/>
      </c>
    </row>
    <row r="75">
      <c r="A75" s="5">
        <f>IF(B75="","",ROW()-4)</f>
        <v/>
      </c>
      <c r="B75" s="13" t="n"/>
      <c r="C75" s="14" t="n"/>
      <c r="D75" s="15">
        <f>IF(B75="","",IFERROR(VLOOKUP(C75,'Reference Data 기준데이터'!$E$8:$F$30,2,FALSE),""))</f>
        <v/>
      </c>
      <c r="E75" s="14" t="n"/>
      <c r="F75" s="15">
        <f>IF(B75="","",IFERROR(VLOOKUP(E75,'Reference Data 기준데이터'!$A$8:$F$30,2,FALSE),""))</f>
        <v/>
      </c>
      <c r="G75" s="15">
        <f>IF(B75="","",IFERROR(VLOOKUP(B75&amp;"_"&amp;C75,'Reference Data 기준데이터'!$A$33:$B$51,2,FALSE),""))</f>
        <v/>
      </c>
      <c r="H75" s="16">
        <f>IF(B75="","",IFERROR(VLOOKUP(B75,'Reference Data 기준데이터'!$A$2:$J$5,3,FALSE),""))</f>
        <v/>
      </c>
      <c r="I75" s="16">
        <f>IF(B75="","",IFERROR(H75+VLOOKUP(B75,'Reference Data 기준데이터'!$A$2:$J$5,7,FALSE),""))</f>
        <v/>
      </c>
      <c r="J75" s="20" t="n"/>
      <c r="K75" s="13" t="n"/>
      <c r="L75" s="16">
        <f>IF(B75="","",IFERROR(H75+VLOOKUP(B75,'Reference Data 기준데이터'!$A$2:$J$5,8,FALSE),""))</f>
        <v/>
      </c>
      <c r="M75" s="20" t="n"/>
      <c r="N75" s="16">
        <f>IF(B75="","",IFERROR(IF(ISNUMBER(SEARCH("Vehicle",F75)),MAX(H75+VLOOKUP(B75,'Reference Data 기준데이터'!$A$2:$J$5,9,FALSE),VLOOKUP(B75,'Reference Data 기준데이터'!$A$2:$J$5,4,FALSE)),H75+VLOOKUP(B75,'Reference Data 기준데이터'!$A$2:$J$5,9,FALSE)),""))</f>
        <v/>
      </c>
      <c r="O75" s="20" t="n"/>
      <c r="P75" s="16">
        <f>IF(B75="","",IFERROR(N75+VLOOKUP(E75,'Reference Data 기준데이터'!$A$8:$F$30,4,FALSE),""))</f>
        <v/>
      </c>
      <c r="Q75" s="20" t="n"/>
      <c r="R75" s="16">
        <f>IF(B75="","",IFERROR(MIN(H75+VLOOKUP(B75,'Reference Data 기준데이터'!$A$2:$J$5,10,FALSE),VLOOKUP(B75,'Reference Data 기준데이터'!$A$2:$J$5,6,FALSE)),""))</f>
        <v/>
      </c>
      <c r="S75" s="20" t="n"/>
      <c r="T75" s="13" t="n"/>
      <c r="U75" s="17">
        <f>IF(B75="","",IF(T75&lt;&gt;"",T75,IF(AND(S75&lt;&gt;"",Q75&lt;&gt;""),"11-결과등록완료",IF(AND(Q75&lt;&gt;"",S75=""),"10-시험완료",IF(AND(O75&lt;&gt;"",Q75=""),"09-시험준비중",IF(AND(M75&lt;&gt;"",O75=""),"08-단품준비완료",IF(K75="Approved","05-계획서승인",IF(K75="Revision Needed","04-검토중_조건불만족",IF(K75="Under Review","03-검토중_조건충족",IF(AND(J75&lt;&gt;"",K75=""),"02-계획서제출_미검토","01-계획서미제출"))))))))))</f>
        <v/>
      </c>
      <c r="V75" s="18">
        <f>IF(B75="","",IFS(U75="01-계획서미제출",0,U75="02-계획서제출_미검토",0.05,U75="03-검토중_조건충족",0.1,U75="04-검토중_조건불만족",0.05,U75="05-계획서승인",0.2,U75="06-BIW생산중단",0.15,U75="07-생산완료_미인수",0.3,U75="08-단품준비완료",0.4,U75="09-시험준비중",0.55,U75="10-시험완료",0.85,U75="11-결과등록완료",1,U75="12-조건부승인검토",0.9,TRUE,0))</f>
        <v/>
      </c>
      <c r="W75" s="5">
        <f>IF(B75="","",IF(S75&lt;&gt;"","-",IF(R75="","N/A",R75-TODAY())))</f>
        <v/>
      </c>
      <c r="X75" s="17">
        <f>IF(B75="","",IF(U75="11-결과등록완료","DONE",IF(OR(U75="06-BIW생산중단",AND(U75="01-계획서미제출",I75&lt;TODAY())),"CRITICAL",IF(OR(U75="04-검토중_조건불만족",U75="07-생산완료_미인수",U75="12-조건부승인검토"),"ACTION",IF(AND(ISNUMBER(W75),W75&lt;=0),"OVERDUE",IF(AND(ISNUMBER(W75),W75&lt;=14),"WARNING","ON TRACK"))))))</f>
        <v/>
      </c>
      <c r="Y75" s="19">
        <f>IF(B75="","",IF(U75="11-결과등록완료","— 완료",IF(U75="01-계획서미제출",IF(I75&lt;TODAY(),"계획서 제출 독촉 (OVERDUE)","계획서 제출 대기"),IF(U75="02-계획서제출_미검토","설계자: 계획서 검토 착수",IF(U75="03-검토중_조건충족","설계자: 승인 처리",IF(U75="04-검토중_조건불만족","보완 요청 → 협력사 재제출 독촉",IF(U75="05-계획서승인","시험편 준비 현황 확인",IF(U75="06-BIW생산중단","BIW 생산팀 확인 → 일정 재수립",IF(U75="07-생산완료_미인수","협력사 인수 독촉",IF(U75="08-단품준비완료","시험 일정 확인",IF(U75="09-시험준비중","시험 진행 모니터링",IF(U75="10-시험완료","결과 보고서 전산 등록 독촉",IF(U75="12-조건부승인검토","조건부 승인 여부 판단 → 관련부서 협의","—")))))))))))))</f>
        <v/>
      </c>
    </row>
    <row r="76">
      <c r="A76" s="5">
        <f>IF(B76="","",ROW()-4)</f>
        <v/>
      </c>
      <c r="B76" s="13" t="n"/>
      <c r="C76" s="14" t="n"/>
      <c r="D76" s="15">
        <f>IF(B76="","",IFERROR(VLOOKUP(C76,'Reference Data 기준데이터'!$E$8:$F$30,2,FALSE),""))</f>
        <v/>
      </c>
      <c r="E76" s="14" t="n"/>
      <c r="F76" s="15">
        <f>IF(B76="","",IFERROR(VLOOKUP(E76,'Reference Data 기준데이터'!$A$8:$F$30,2,FALSE),""))</f>
        <v/>
      </c>
      <c r="G76" s="15">
        <f>IF(B76="","",IFERROR(VLOOKUP(B76&amp;"_"&amp;C76,'Reference Data 기준데이터'!$A$33:$B$51,2,FALSE),""))</f>
        <v/>
      </c>
      <c r="H76" s="16">
        <f>IF(B76="","",IFERROR(VLOOKUP(B76,'Reference Data 기준데이터'!$A$2:$J$5,3,FALSE),""))</f>
        <v/>
      </c>
      <c r="I76" s="16">
        <f>IF(B76="","",IFERROR(H76+VLOOKUP(B76,'Reference Data 기준데이터'!$A$2:$J$5,7,FALSE),""))</f>
        <v/>
      </c>
      <c r="J76" s="20" t="n"/>
      <c r="K76" s="13" t="n"/>
      <c r="L76" s="16">
        <f>IF(B76="","",IFERROR(H76+VLOOKUP(B76,'Reference Data 기준데이터'!$A$2:$J$5,8,FALSE),""))</f>
        <v/>
      </c>
      <c r="M76" s="20" t="n"/>
      <c r="N76" s="16">
        <f>IF(B76="","",IFERROR(IF(ISNUMBER(SEARCH("Vehicle",F76)),MAX(H76+VLOOKUP(B76,'Reference Data 기준데이터'!$A$2:$J$5,9,FALSE),VLOOKUP(B76,'Reference Data 기준데이터'!$A$2:$J$5,4,FALSE)),H76+VLOOKUP(B76,'Reference Data 기준데이터'!$A$2:$J$5,9,FALSE)),""))</f>
        <v/>
      </c>
      <c r="O76" s="20" t="n"/>
      <c r="P76" s="16">
        <f>IF(B76="","",IFERROR(N76+VLOOKUP(E76,'Reference Data 기준데이터'!$A$8:$F$30,4,FALSE),""))</f>
        <v/>
      </c>
      <c r="Q76" s="20" t="n"/>
      <c r="R76" s="16">
        <f>IF(B76="","",IFERROR(MIN(H76+VLOOKUP(B76,'Reference Data 기준데이터'!$A$2:$J$5,10,FALSE),VLOOKUP(B76,'Reference Data 기준데이터'!$A$2:$J$5,6,FALSE)),""))</f>
        <v/>
      </c>
      <c r="S76" s="20" t="n"/>
      <c r="T76" s="13" t="n"/>
      <c r="U76" s="17">
        <f>IF(B76="","",IF(T76&lt;&gt;"",T76,IF(AND(S76&lt;&gt;"",Q76&lt;&gt;""),"11-결과등록완료",IF(AND(Q76&lt;&gt;"",S76=""),"10-시험완료",IF(AND(O76&lt;&gt;"",Q76=""),"09-시험준비중",IF(AND(M76&lt;&gt;"",O76=""),"08-단품준비완료",IF(K76="Approved","05-계획서승인",IF(K76="Revision Needed","04-검토중_조건불만족",IF(K76="Under Review","03-검토중_조건충족",IF(AND(J76&lt;&gt;"",K76=""),"02-계획서제출_미검토","01-계획서미제출"))))))))))</f>
        <v/>
      </c>
      <c r="V76" s="18">
        <f>IF(B76="","",IFS(U76="01-계획서미제출",0,U76="02-계획서제출_미검토",0.05,U76="03-검토중_조건충족",0.1,U76="04-검토중_조건불만족",0.05,U76="05-계획서승인",0.2,U76="06-BIW생산중단",0.15,U76="07-생산완료_미인수",0.3,U76="08-단품준비완료",0.4,U76="09-시험준비중",0.55,U76="10-시험완료",0.85,U76="11-결과등록완료",1,U76="12-조건부승인검토",0.9,TRUE,0))</f>
        <v/>
      </c>
      <c r="W76" s="5">
        <f>IF(B76="","",IF(S76&lt;&gt;"","-",IF(R76="","N/A",R76-TODAY())))</f>
        <v/>
      </c>
      <c r="X76" s="17">
        <f>IF(B76="","",IF(U76="11-결과등록완료","DONE",IF(OR(U76="06-BIW생산중단",AND(U76="01-계획서미제출",I76&lt;TODAY())),"CRITICAL",IF(OR(U76="04-검토중_조건불만족",U76="07-생산완료_미인수",U76="12-조건부승인검토"),"ACTION",IF(AND(ISNUMBER(W76),W76&lt;=0),"OVERDUE",IF(AND(ISNUMBER(W76),W76&lt;=14),"WARNING","ON TRACK"))))))</f>
        <v/>
      </c>
      <c r="Y76" s="19">
        <f>IF(B76="","",IF(U76="11-결과등록완료","— 완료",IF(U76="01-계획서미제출",IF(I76&lt;TODAY(),"계획서 제출 독촉 (OVERDUE)","계획서 제출 대기"),IF(U76="02-계획서제출_미검토","설계자: 계획서 검토 착수",IF(U76="03-검토중_조건충족","설계자: 승인 처리",IF(U76="04-검토중_조건불만족","보완 요청 → 협력사 재제출 독촉",IF(U76="05-계획서승인","시험편 준비 현황 확인",IF(U76="06-BIW생산중단","BIW 생산팀 확인 → 일정 재수립",IF(U76="07-생산완료_미인수","협력사 인수 독촉",IF(U76="08-단품준비완료","시험 일정 확인",IF(U76="09-시험준비중","시험 진행 모니터링",IF(U76="10-시험완료","결과 보고서 전산 등록 독촉",IF(U76="12-조건부승인검토","조건부 승인 여부 판단 → 관련부서 협의","—")))))))))))))</f>
        <v/>
      </c>
    </row>
    <row r="77">
      <c r="A77" s="5">
        <f>IF(B77="","",ROW()-4)</f>
        <v/>
      </c>
      <c r="B77" s="13" t="n"/>
      <c r="C77" s="14" t="n"/>
      <c r="D77" s="15">
        <f>IF(B77="","",IFERROR(VLOOKUP(C77,'Reference Data 기준데이터'!$E$8:$F$30,2,FALSE),""))</f>
        <v/>
      </c>
      <c r="E77" s="14" t="n"/>
      <c r="F77" s="15">
        <f>IF(B77="","",IFERROR(VLOOKUP(E77,'Reference Data 기준데이터'!$A$8:$F$30,2,FALSE),""))</f>
        <v/>
      </c>
      <c r="G77" s="15">
        <f>IF(B77="","",IFERROR(VLOOKUP(B77&amp;"_"&amp;C77,'Reference Data 기준데이터'!$A$33:$B$51,2,FALSE),""))</f>
        <v/>
      </c>
      <c r="H77" s="16">
        <f>IF(B77="","",IFERROR(VLOOKUP(B77,'Reference Data 기준데이터'!$A$2:$J$5,3,FALSE),""))</f>
        <v/>
      </c>
      <c r="I77" s="16">
        <f>IF(B77="","",IFERROR(H77+VLOOKUP(B77,'Reference Data 기준데이터'!$A$2:$J$5,7,FALSE),""))</f>
        <v/>
      </c>
      <c r="J77" s="20" t="n"/>
      <c r="K77" s="13" t="n"/>
      <c r="L77" s="16">
        <f>IF(B77="","",IFERROR(H77+VLOOKUP(B77,'Reference Data 기준데이터'!$A$2:$J$5,8,FALSE),""))</f>
        <v/>
      </c>
      <c r="M77" s="20" t="n"/>
      <c r="N77" s="16">
        <f>IF(B77="","",IFERROR(IF(ISNUMBER(SEARCH("Vehicle",F77)),MAX(H77+VLOOKUP(B77,'Reference Data 기준데이터'!$A$2:$J$5,9,FALSE),VLOOKUP(B77,'Reference Data 기준데이터'!$A$2:$J$5,4,FALSE)),H77+VLOOKUP(B77,'Reference Data 기준데이터'!$A$2:$J$5,9,FALSE)),""))</f>
        <v/>
      </c>
      <c r="O77" s="20" t="n"/>
      <c r="P77" s="16">
        <f>IF(B77="","",IFERROR(N77+VLOOKUP(E77,'Reference Data 기준데이터'!$A$8:$F$30,4,FALSE),""))</f>
        <v/>
      </c>
      <c r="Q77" s="20" t="n"/>
      <c r="R77" s="16">
        <f>IF(B77="","",IFERROR(MIN(H77+VLOOKUP(B77,'Reference Data 기준데이터'!$A$2:$J$5,10,FALSE),VLOOKUP(B77,'Reference Data 기준데이터'!$A$2:$J$5,6,FALSE)),""))</f>
        <v/>
      </c>
      <c r="S77" s="20" t="n"/>
      <c r="T77" s="13" t="n"/>
      <c r="U77" s="17">
        <f>IF(B77="","",IF(T77&lt;&gt;"",T77,IF(AND(S77&lt;&gt;"",Q77&lt;&gt;""),"11-결과등록완료",IF(AND(Q77&lt;&gt;"",S77=""),"10-시험완료",IF(AND(O77&lt;&gt;"",Q77=""),"09-시험준비중",IF(AND(M77&lt;&gt;"",O77=""),"08-단품준비완료",IF(K77="Approved","05-계획서승인",IF(K77="Revision Needed","04-검토중_조건불만족",IF(K77="Under Review","03-검토중_조건충족",IF(AND(J77&lt;&gt;"",K77=""),"02-계획서제출_미검토","01-계획서미제출"))))))))))</f>
        <v/>
      </c>
      <c r="V77" s="18">
        <f>IF(B77="","",IFS(U77="01-계획서미제출",0,U77="02-계획서제출_미검토",0.05,U77="03-검토중_조건충족",0.1,U77="04-검토중_조건불만족",0.05,U77="05-계획서승인",0.2,U77="06-BIW생산중단",0.15,U77="07-생산완료_미인수",0.3,U77="08-단품준비완료",0.4,U77="09-시험준비중",0.55,U77="10-시험완료",0.85,U77="11-결과등록완료",1,U77="12-조건부승인검토",0.9,TRUE,0))</f>
        <v/>
      </c>
      <c r="W77" s="5">
        <f>IF(B77="","",IF(S77&lt;&gt;"","-",IF(R77="","N/A",R77-TODAY())))</f>
        <v/>
      </c>
      <c r="X77" s="17">
        <f>IF(B77="","",IF(U77="11-결과등록완료","DONE",IF(OR(U77="06-BIW생산중단",AND(U77="01-계획서미제출",I77&lt;TODAY())),"CRITICAL",IF(OR(U77="04-검토중_조건불만족",U77="07-생산완료_미인수",U77="12-조건부승인검토"),"ACTION",IF(AND(ISNUMBER(W77),W77&lt;=0),"OVERDUE",IF(AND(ISNUMBER(W77),W77&lt;=14),"WARNING","ON TRACK"))))))</f>
        <v/>
      </c>
      <c r="Y77" s="19">
        <f>IF(B77="","",IF(U77="11-결과등록완료","— 완료",IF(U77="01-계획서미제출",IF(I77&lt;TODAY(),"계획서 제출 독촉 (OVERDUE)","계획서 제출 대기"),IF(U77="02-계획서제출_미검토","설계자: 계획서 검토 착수",IF(U77="03-검토중_조건충족","설계자: 승인 처리",IF(U77="04-검토중_조건불만족","보완 요청 → 협력사 재제출 독촉",IF(U77="05-계획서승인","시험편 준비 현황 확인",IF(U77="06-BIW생산중단","BIW 생산팀 확인 → 일정 재수립",IF(U77="07-생산완료_미인수","협력사 인수 독촉",IF(U77="08-단품준비완료","시험 일정 확인",IF(U77="09-시험준비중","시험 진행 모니터링",IF(U77="10-시험완료","결과 보고서 전산 등록 독촉",IF(U77="12-조건부승인검토","조건부 승인 여부 판단 → 관련부서 협의","—")))))))))))))</f>
        <v/>
      </c>
    </row>
    <row r="78">
      <c r="A78" s="5">
        <f>IF(B78="","",ROW()-4)</f>
        <v/>
      </c>
      <c r="B78" s="13" t="n"/>
      <c r="C78" s="14" t="n"/>
      <c r="D78" s="15">
        <f>IF(B78="","",IFERROR(VLOOKUP(C78,'Reference Data 기준데이터'!$E$8:$F$30,2,FALSE),""))</f>
        <v/>
      </c>
      <c r="E78" s="14" t="n"/>
      <c r="F78" s="15">
        <f>IF(B78="","",IFERROR(VLOOKUP(E78,'Reference Data 기준데이터'!$A$8:$F$30,2,FALSE),""))</f>
        <v/>
      </c>
      <c r="G78" s="15">
        <f>IF(B78="","",IFERROR(VLOOKUP(B78&amp;"_"&amp;C78,'Reference Data 기준데이터'!$A$33:$B$51,2,FALSE),""))</f>
        <v/>
      </c>
      <c r="H78" s="16">
        <f>IF(B78="","",IFERROR(VLOOKUP(B78,'Reference Data 기준데이터'!$A$2:$J$5,3,FALSE),""))</f>
        <v/>
      </c>
      <c r="I78" s="16">
        <f>IF(B78="","",IFERROR(H78+VLOOKUP(B78,'Reference Data 기준데이터'!$A$2:$J$5,7,FALSE),""))</f>
        <v/>
      </c>
      <c r="J78" s="20" t="n"/>
      <c r="K78" s="13" t="n"/>
      <c r="L78" s="16">
        <f>IF(B78="","",IFERROR(H78+VLOOKUP(B78,'Reference Data 기준데이터'!$A$2:$J$5,8,FALSE),""))</f>
        <v/>
      </c>
      <c r="M78" s="20" t="n"/>
      <c r="N78" s="16">
        <f>IF(B78="","",IFERROR(IF(ISNUMBER(SEARCH("Vehicle",F78)),MAX(H78+VLOOKUP(B78,'Reference Data 기준데이터'!$A$2:$J$5,9,FALSE),VLOOKUP(B78,'Reference Data 기준데이터'!$A$2:$J$5,4,FALSE)),H78+VLOOKUP(B78,'Reference Data 기준데이터'!$A$2:$J$5,9,FALSE)),""))</f>
        <v/>
      </c>
      <c r="O78" s="20" t="n"/>
      <c r="P78" s="16">
        <f>IF(B78="","",IFERROR(N78+VLOOKUP(E78,'Reference Data 기준데이터'!$A$8:$F$30,4,FALSE),""))</f>
        <v/>
      </c>
      <c r="Q78" s="20" t="n"/>
      <c r="R78" s="16">
        <f>IF(B78="","",IFERROR(MIN(H78+VLOOKUP(B78,'Reference Data 기준데이터'!$A$2:$J$5,10,FALSE),VLOOKUP(B78,'Reference Data 기준데이터'!$A$2:$J$5,6,FALSE)),""))</f>
        <v/>
      </c>
      <c r="S78" s="20" t="n"/>
      <c r="T78" s="13" t="n"/>
      <c r="U78" s="17">
        <f>IF(B78="","",IF(T78&lt;&gt;"",T78,IF(AND(S78&lt;&gt;"",Q78&lt;&gt;""),"11-결과등록완료",IF(AND(Q78&lt;&gt;"",S78=""),"10-시험완료",IF(AND(O78&lt;&gt;"",Q78=""),"09-시험준비중",IF(AND(M78&lt;&gt;"",O78=""),"08-단품준비완료",IF(K78="Approved","05-계획서승인",IF(K78="Revision Needed","04-검토중_조건불만족",IF(K78="Under Review","03-검토중_조건충족",IF(AND(J78&lt;&gt;"",K78=""),"02-계획서제출_미검토","01-계획서미제출"))))))))))</f>
        <v/>
      </c>
      <c r="V78" s="18">
        <f>IF(B78="","",IFS(U78="01-계획서미제출",0,U78="02-계획서제출_미검토",0.05,U78="03-검토중_조건충족",0.1,U78="04-검토중_조건불만족",0.05,U78="05-계획서승인",0.2,U78="06-BIW생산중단",0.15,U78="07-생산완료_미인수",0.3,U78="08-단품준비완료",0.4,U78="09-시험준비중",0.55,U78="10-시험완료",0.85,U78="11-결과등록완료",1,U78="12-조건부승인검토",0.9,TRUE,0))</f>
        <v/>
      </c>
      <c r="W78" s="5">
        <f>IF(B78="","",IF(S78&lt;&gt;"","-",IF(R78="","N/A",R78-TODAY())))</f>
        <v/>
      </c>
      <c r="X78" s="17">
        <f>IF(B78="","",IF(U78="11-결과등록완료","DONE",IF(OR(U78="06-BIW생산중단",AND(U78="01-계획서미제출",I78&lt;TODAY())),"CRITICAL",IF(OR(U78="04-검토중_조건불만족",U78="07-생산완료_미인수",U78="12-조건부승인검토"),"ACTION",IF(AND(ISNUMBER(W78),W78&lt;=0),"OVERDUE",IF(AND(ISNUMBER(W78),W78&lt;=14),"WARNING","ON TRACK"))))))</f>
        <v/>
      </c>
      <c r="Y78" s="19">
        <f>IF(B78="","",IF(U78="11-결과등록완료","— 완료",IF(U78="01-계획서미제출",IF(I78&lt;TODAY(),"계획서 제출 독촉 (OVERDUE)","계획서 제출 대기"),IF(U78="02-계획서제출_미검토","설계자: 계획서 검토 착수",IF(U78="03-검토중_조건충족","설계자: 승인 처리",IF(U78="04-검토중_조건불만족","보완 요청 → 협력사 재제출 독촉",IF(U78="05-계획서승인","시험편 준비 현황 확인",IF(U78="06-BIW생산중단","BIW 생산팀 확인 → 일정 재수립",IF(U78="07-생산완료_미인수","협력사 인수 독촉",IF(U78="08-단품준비완료","시험 일정 확인",IF(U78="09-시험준비중","시험 진행 모니터링",IF(U78="10-시험완료","결과 보고서 전산 등록 독촉",IF(U78="12-조건부승인검토","조건부 승인 여부 판단 → 관련부서 협의","—")))))))))))))</f>
        <v/>
      </c>
    </row>
    <row r="79">
      <c r="A79" s="5">
        <f>IF(B79="","",ROW()-4)</f>
        <v/>
      </c>
      <c r="B79" s="13" t="n"/>
      <c r="C79" s="14" t="n"/>
      <c r="D79" s="15">
        <f>IF(B79="","",IFERROR(VLOOKUP(C79,'Reference Data 기준데이터'!$E$8:$F$30,2,FALSE),""))</f>
        <v/>
      </c>
      <c r="E79" s="14" t="n"/>
      <c r="F79" s="15">
        <f>IF(B79="","",IFERROR(VLOOKUP(E79,'Reference Data 기준데이터'!$A$8:$F$30,2,FALSE),""))</f>
        <v/>
      </c>
      <c r="G79" s="15">
        <f>IF(B79="","",IFERROR(VLOOKUP(B79&amp;"_"&amp;C79,'Reference Data 기준데이터'!$A$33:$B$51,2,FALSE),""))</f>
        <v/>
      </c>
      <c r="H79" s="16">
        <f>IF(B79="","",IFERROR(VLOOKUP(B79,'Reference Data 기준데이터'!$A$2:$J$5,3,FALSE),""))</f>
        <v/>
      </c>
      <c r="I79" s="16">
        <f>IF(B79="","",IFERROR(H79+VLOOKUP(B79,'Reference Data 기준데이터'!$A$2:$J$5,7,FALSE),""))</f>
        <v/>
      </c>
      <c r="J79" s="20" t="n"/>
      <c r="K79" s="13" t="n"/>
      <c r="L79" s="16">
        <f>IF(B79="","",IFERROR(H79+VLOOKUP(B79,'Reference Data 기준데이터'!$A$2:$J$5,8,FALSE),""))</f>
        <v/>
      </c>
      <c r="M79" s="20" t="n"/>
      <c r="N79" s="16">
        <f>IF(B79="","",IFERROR(IF(ISNUMBER(SEARCH("Vehicle",F79)),MAX(H79+VLOOKUP(B79,'Reference Data 기준데이터'!$A$2:$J$5,9,FALSE),VLOOKUP(B79,'Reference Data 기준데이터'!$A$2:$J$5,4,FALSE)),H79+VLOOKUP(B79,'Reference Data 기준데이터'!$A$2:$J$5,9,FALSE)),""))</f>
        <v/>
      </c>
      <c r="O79" s="20" t="n"/>
      <c r="P79" s="16">
        <f>IF(B79="","",IFERROR(N79+VLOOKUP(E79,'Reference Data 기준데이터'!$A$8:$F$30,4,FALSE),""))</f>
        <v/>
      </c>
      <c r="Q79" s="20" t="n"/>
      <c r="R79" s="16">
        <f>IF(B79="","",IFERROR(MIN(H79+VLOOKUP(B79,'Reference Data 기준데이터'!$A$2:$J$5,10,FALSE),VLOOKUP(B79,'Reference Data 기준데이터'!$A$2:$J$5,6,FALSE)),""))</f>
        <v/>
      </c>
      <c r="S79" s="20" t="n"/>
      <c r="T79" s="13" t="n"/>
      <c r="U79" s="17">
        <f>IF(B79="","",IF(T79&lt;&gt;"",T79,IF(AND(S79&lt;&gt;"",Q79&lt;&gt;""),"11-결과등록완료",IF(AND(Q79&lt;&gt;"",S79=""),"10-시험완료",IF(AND(O79&lt;&gt;"",Q79=""),"09-시험준비중",IF(AND(M79&lt;&gt;"",O79=""),"08-단품준비완료",IF(K79="Approved","05-계획서승인",IF(K79="Revision Needed","04-검토중_조건불만족",IF(K79="Under Review","03-검토중_조건충족",IF(AND(J79&lt;&gt;"",K79=""),"02-계획서제출_미검토","01-계획서미제출"))))))))))</f>
        <v/>
      </c>
      <c r="V79" s="18">
        <f>IF(B79="","",IFS(U79="01-계획서미제출",0,U79="02-계획서제출_미검토",0.05,U79="03-검토중_조건충족",0.1,U79="04-검토중_조건불만족",0.05,U79="05-계획서승인",0.2,U79="06-BIW생산중단",0.15,U79="07-생산완료_미인수",0.3,U79="08-단품준비완료",0.4,U79="09-시험준비중",0.55,U79="10-시험완료",0.85,U79="11-결과등록완료",1,U79="12-조건부승인검토",0.9,TRUE,0))</f>
        <v/>
      </c>
      <c r="W79" s="5">
        <f>IF(B79="","",IF(S79&lt;&gt;"","-",IF(R79="","N/A",R79-TODAY())))</f>
        <v/>
      </c>
      <c r="X79" s="17">
        <f>IF(B79="","",IF(U79="11-결과등록완료","DONE",IF(OR(U79="06-BIW생산중단",AND(U79="01-계획서미제출",I79&lt;TODAY())),"CRITICAL",IF(OR(U79="04-검토중_조건불만족",U79="07-생산완료_미인수",U79="12-조건부승인검토"),"ACTION",IF(AND(ISNUMBER(W79),W79&lt;=0),"OVERDUE",IF(AND(ISNUMBER(W79),W79&lt;=14),"WARNING","ON TRACK"))))))</f>
        <v/>
      </c>
      <c r="Y79" s="19">
        <f>IF(B79="","",IF(U79="11-결과등록완료","— 완료",IF(U79="01-계획서미제출",IF(I79&lt;TODAY(),"계획서 제출 독촉 (OVERDUE)","계획서 제출 대기"),IF(U79="02-계획서제출_미검토","설계자: 계획서 검토 착수",IF(U79="03-검토중_조건충족","설계자: 승인 처리",IF(U79="04-검토중_조건불만족","보완 요청 → 협력사 재제출 독촉",IF(U79="05-계획서승인","시험편 준비 현황 확인",IF(U79="06-BIW생산중단","BIW 생산팀 확인 → 일정 재수립",IF(U79="07-생산완료_미인수","협력사 인수 독촉",IF(U79="08-단품준비완료","시험 일정 확인",IF(U79="09-시험준비중","시험 진행 모니터링",IF(U79="10-시험완료","결과 보고서 전산 등록 독촉",IF(U79="12-조건부승인검토","조건부 승인 여부 판단 → 관련부서 협의","—")))))))))))))</f>
        <v/>
      </c>
    </row>
    <row r="80">
      <c r="A80" s="5">
        <f>IF(B80="","",ROW()-4)</f>
        <v/>
      </c>
      <c r="B80" s="13" t="n"/>
      <c r="C80" s="14" t="n"/>
      <c r="D80" s="15">
        <f>IF(B80="","",IFERROR(VLOOKUP(C80,'Reference Data 기준데이터'!$E$8:$F$30,2,FALSE),""))</f>
        <v/>
      </c>
      <c r="E80" s="14" t="n"/>
      <c r="F80" s="15">
        <f>IF(B80="","",IFERROR(VLOOKUP(E80,'Reference Data 기준데이터'!$A$8:$F$30,2,FALSE),""))</f>
        <v/>
      </c>
      <c r="G80" s="15">
        <f>IF(B80="","",IFERROR(VLOOKUP(B80&amp;"_"&amp;C80,'Reference Data 기준데이터'!$A$33:$B$51,2,FALSE),""))</f>
        <v/>
      </c>
      <c r="H80" s="16">
        <f>IF(B80="","",IFERROR(VLOOKUP(B80,'Reference Data 기준데이터'!$A$2:$J$5,3,FALSE),""))</f>
        <v/>
      </c>
      <c r="I80" s="16">
        <f>IF(B80="","",IFERROR(H80+VLOOKUP(B80,'Reference Data 기준데이터'!$A$2:$J$5,7,FALSE),""))</f>
        <v/>
      </c>
      <c r="J80" s="20" t="n"/>
      <c r="K80" s="13" t="n"/>
      <c r="L80" s="16">
        <f>IF(B80="","",IFERROR(H80+VLOOKUP(B80,'Reference Data 기준데이터'!$A$2:$J$5,8,FALSE),""))</f>
        <v/>
      </c>
      <c r="M80" s="20" t="n"/>
      <c r="N80" s="16">
        <f>IF(B80="","",IFERROR(IF(ISNUMBER(SEARCH("Vehicle",F80)),MAX(H80+VLOOKUP(B80,'Reference Data 기준데이터'!$A$2:$J$5,9,FALSE),VLOOKUP(B80,'Reference Data 기준데이터'!$A$2:$J$5,4,FALSE)),H80+VLOOKUP(B80,'Reference Data 기준데이터'!$A$2:$J$5,9,FALSE)),""))</f>
        <v/>
      </c>
      <c r="O80" s="20" t="n"/>
      <c r="P80" s="16">
        <f>IF(B80="","",IFERROR(N80+VLOOKUP(E80,'Reference Data 기준데이터'!$A$8:$F$30,4,FALSE),""))</f>
        <v/>
      </c>
      <c r="Q80" s="20" t="n"/>
      <c r="R80" s="16">
        <f>IF(B80="","",IFERROR(MIN(H80+VLOOKUP(B80,'Reference Data 기준데이터'!$A$2:$J$5,10,FALSE),VLOOKUP(B80,'Reference Data 기준데이터'!$A$2:$J$5,6,FALSE)),""))</f>
        <v/>
      </c>
      <c r="S80" s="20" t="n"/>
      <c r="T80" s="13" t="n"/>
      <c r="U80" s="17">
        <f>IF(B80="","",IF(T80&lt;&gt;"",T80,IF(AND(S80&lt;&gt;"",Q80&lt;&gt;""),"11-결과등록완료",IF(AND(Q80&lt;&gt;"",S80=""),"10-시험완료",IF(AND(O80&lt;&gt;"",Q80=""),"09-시험준비중",IF(AND(M80&lt;&gt;"",O80=""),"08-단품준비완료",IF(K80="Approved","05-계획서승인",IF(K80="Revision Needed","04-검토중_조건불만족",IF(K80="Under Review","03-검토중_조건충족",IF(AND(J80&lt;&gt;"",K80=""),"02-계획서제출_미검토","01-계획서미제출"))))))))))</f>
        <v/>
      </c>
      <c r="V80" s="18">
        <f>IF(B80="","",IFS(U80="01-계획서미제출",0,U80="02-계획서제출_미검토",0.05,U80="03-검토중_조건충족",0.1,U80="04-검토중_조건불만족",0.05,U80="05-계획서승인",0.2,U80="06-BIW생산중단",0.15,U80="07-생산완료_미인수",0.3,U80="08-단품준비완료",0.4,U80="09-시험준비중",0.55,U80="10-시험완료",0.85,U80="11-결과등록완료",1,U80="12-조건부승인검토",0.9,TRUE,0))</f>
        <v/>
      </c>
      <c r="W80" s="5">
        <f>IF(B80="","",IF(S80&lt;&gt;"","-",IF(R80="","N/A",R80-TODAY())))</f>
        <v/>
      </c>
      <c r="X80" s="17">
        <f>IF(B80="","",IF(U80="11-결과등록완료","DONE",IF(OR(U80="06-BIW생산중단",AND(U80="01-계획서미제출",I80&lt;TODAY())),"CRITICAL",IF(OR(U80="04-검토중_조건불만족",U80="07-생산완료_미인수",U80="12-조건부승인검토"),"ACTION",IF(AND(ISNUMBER(W80),W80&lt;=0),"OVERDUE",IF(AND(ISNUMBER(W80),W80&lt;=14),"WARNING","ON TRACK"))))))</f>
        <v/>
      </c>
      <c r="Y80" s="19">
        <f>IF(B80="","",IF(U80="11-결과등록완료","— 완료",IF(U80="01-계획서미제출",IF(I80&lt;TODAY(),"계획서 제출 독촉 (OVERDUE)","계획서 제출 대기"),IF(U80="02-계획서제출_미검토","설계자: 계획서 검토 착수",IF(U80="03-검토중_조건충족","설계자: 승인 처리",IF(U80="04-검토중_조건불만족","보완 요청 → 협력사 재제출 독촉",IF(U80="05-계획서승인","시험편 준비 현황 확인",IF(U80="06-BIW생산중단","BIW 생산팀 확인 → 일정 재수립",IF(U80="07-생산완료_미인수","협력사 인수 독촉",IF(U80="08-단품준비완료","시험 일정 확인",IF(U80="09-시험준비중","시험 진행 모니터링",IF(U80="10-시험완료","결과 보고서 전산 등록 독촉",IF(U80="12-조건부승인검토","조건부 승인 여부 판단 → 관련부서 협의","—")))))))))))))</f>
        <v/>
      </c>
    </row>
    <row r="81">
      <c r="A81" s="5">
        <f>IF(B81="","",ROW()-4)</f>
        <v/>
      </c>
      <c r="B81" s="13" t="n"/>
      <c r="C81" s="14" t="n"/>
      <c r="D81" s="15">
        <f>IF(B81="","",IFERROR(VLOOKUP(C81,'Reference Data 기준데이터'!$E$8:$F$30,2,FALSE),""))</f>
        <v/>
      </c>
      <c r="E81" s="14" t="n"/>
      <c r="F81" s="15">
        <f>IF(B81="","",IFERROR(VLOOKUP(E81,'Reference Data 기준데이터'!$A$8:$F$30,2,FALSE),""))</f>
        <v/>
      </c>
      <c r="G81" s="15">
        <f>IF(B81="","",IFERROR(VLOOKUP(B81&amp;"_"&amp;C81,'Reference Data 기준데이터'!$A$33:$B$51,2,FALSE),""))</f>
        <v/>
      </c>
      <c r="H81" s="16">
        <f>IF(B81="","",IFERROR(VLOOKUP(B81,'Reference Data 기준데이터'!$A$2:$J$5,3,FALSE),""))</f>
        <v/>
      </c>
      <c r="I81" s="16">
        <f>IF(B81="","",IFERROR(H81+VLOOKUP(B81,'Reference Data 기준데이터'!$A$2:$J$5,7,FALSE),""))</f>
        <v/>
      </c>
      <c r="J81" s="20" t="n"/>
      <c r="K81" s="13" t="n"/>
      <c r="L81" s="16">
        <f>IF(B81="","",IFERROR(H81+VLOOKUP(B81,'Reference Data 기준데이터'!$A$2:$J$5,8,FALSE),""))</f>
        <v/>
      </c>
      <c r="M81" s="20" t="n"/>
      <c r="N81" s="16">
        <f>IF(B81="","",IFERROR(IF(ISNUMBER(SEARCH("Vehicle",F81)),MAX(H81+VLOOKUP(B81,'Reference Data 기준데이터'!$A$2:$J$5,9,FALSE),VLOOKUP(B81,'Reference Data 기준데이터'!$A$2:$J$5,4,FALSE)),H81+VLOOKUP(B81,'Reference Data 기준데이터'!$A$2:$J$5,9,FALSE)),""))</f>
        <v/>
      </c>
      <c r="O81" s="20" t="n"/>
      <c r="P81" s="16">
        <f>IF(B81="","",IFERROR(N81+VLOOKUP(E81,'Reference Data 기준데이터'!$A$8:$F$30,4,FALSE),""))</f>
        <v/>
      </c>
      <c r="Q81" s="20" t="n"/>
      <c r="R81" s="16">
        <f>IF(B81="","",IFERROR(MIN(H81+VLOOKUP(B81,'Reference Data 기준데이터'!$A$2:$J$5,10,FALSE),VLOOKUP(B81,'Reference Data 기준데이터'!$A$2:$J$5,6,FALSE)),""))</f>
        <v/>
      </c>
      <c r="S81" s="20" t="n"/>
      <c r="T81" s="13" t="n"/>
      <c r="U81" s="17">
        <f>IF(B81="","",IF(T81&lt;&gt;"",T81,IF(AND(S81&lt;&gt;"",Q81&lt;&gt;""),"11-결과등록완료",IF(AND(Q81&lt;&gt;"",S81=""),"10-시험완료",IF(AND(O81&lt;&gt;"",Q81=""),"09-시험준비중",IF(AND(M81&lt;&gt;"",O81=""),"08-단품준비완료",IF(K81="Approved","05-계획서승인",IF(K81="Revision Needed","04-검토중_조건불만족",IF(K81="Under Review","03-검토중_조건충족",IF(AND(J81&lt;&gt;"",K81=""),"02-계획서제출_미검토","01-계획서미제출"))))))))))</f>
        <v/>
      </c>
      <c r="V81" s="18">
        <f>IF(B81="","",IFS(U81="01-계획서미제출",0,U81="02-계획서제출_미검토",0.05,U81="03-검토중_조건충족",0.1,U81="04-검토중_조건불만족",0.05,U81="05-계획서승인",0.2,U81="06-BIW생산중단",0.15,U81="07-생산완료_미인수",0.3,U81="08-단품준비완료",0.4,U81="09-시험준비중",0.55,U81="10-시험완료",0.85,U81="11-결과등록완료",1,U81="12-조건부승인검토",0.9,TRUE,0))</f>
        <v/>
      </c>
      <c r="W81" s="5">
        <f>IF(B81="","",IF(S81&lt;&gt;"","-",IF(R81="","N/A",R81-TODAY())))</f>
        <v/>
      </c>
      <c r="X81" s="17">
        <f>IF(B81="","",IF(U81="11-결과등록완료","DONE",IF(OR(U81="06-BIW생산중단",AND(U81="01-계획서미제출",I81&lt;TODAY())),"CRITICAL",IF(OR(U81="04-검토중_조건불만족",U81="07-생산완료_미인수",U81="12-조건부승인검토"),"ACTION",IF(AND(ISNUMBER(W81),W81&lt;=0),"OVERDUE",IF(AND(ISNUMBER(W81),W81&lt;=14),"WARNING","ON TRACK"))))))</f>
        <v/>
      </c>
      <c r="Y81" s="19">
        <f>IF(B81="","",IF(U81="11-결과등록완료","— 완료",IF(U81="01-계획서미제출",IF(I81&lt;TODAY(),"계획서 제출 독촉 (OVERDUE)","계획서 제출 대기"),IF(U81="02-계획서제출_미검토","설계자: 계획서 검토 착수",IF(U81="03-검토중_조건충족","설계자: 승인 처리",IF(U81="04-검토중_조건불만족","보완 요청 → 협력사 재제출 독촉",IF(U81="05-계획서승인","시험편 준비 현황 확인",IF(U81="06-BIW생산중단","BIW 생산팀 확인 → 일정 재수립",IF(U81="07-생산완료_미인수","협력사 인수 독촉",IF(U81="08-단품준비완료","시험 일정 확인",IF(U81="09-시험준비중","시험 진행 모니터링",IF(U81="10-시험완료","결과 보고서 전산 등록 독촉",IF(U81="12-조건부승인검토","조건부 승인 여부 판단 → 관련부서 협의","—")))))))))))))</f>
        <v/>
      </c>
    </row>
    <row r="82">
      <c r="A82" s="5">
        <f>IF(B82="","",ROW()-4)</f>
        <v/>
      </c>
      <c r="B82" s="13" t="n"/>
      <c r="C82" s="14" t="n"/>
      <c r="D82" s="15">
        <f>IF(B82="","",IFERROR(VLOOKUP(C82,'Reference Data 기준데이터'!$E$8:$F$30,2,FALSE),""))</f>
        <v/>
      </c>
      <c r="E82" s="14" t="n"/>
      <c r="F82" s="15">
        <f>IF(B82="","",IFERROR(VLOOKUP(E82,'Reference Data 기준데이터'!$A$8:$F$30,2,FALSE),""))</f>
        <v/>
      </c>
      <c r="G82" s="15">
        <f>IF(B82="","",IFERROR(VLOOKUP(B82&amp;"_"&amp;C82,'Reference Data 기준데이터'!$A$33:$B$51,2,FALSE),""))</f>
        <v/>
      </c>
      <c r="H82" s="16">
        <f>IF(B82="","",IFERROR(VLOOKUP(B82,'Reference Data 기준데이터'!$A$2:$J$5,3,FALSE),""))</f>
        <v/>
      </c>
      <c r="I82" s="16">
        <f>IF(B82="","",IFERROR(H82+VLOOKUP(B82,'Reference Data 기준데이터'!$A$2:$J$5,7,FALSE),""))</f>
        <v/>
      </c>
      <c r="J82" s="20" t="n"/>
      <c r="K82" s="13" t="n"/>
      <c r="L82" s="16">
        <f>IF(B82="","",IFERROR(H82+VLOOKUP(B82,'Reference Data 기준데이터'!$A$2:$J$5,8,FALSE),""))</f>
        <v/>
      </c>
      <c r="M82" s="20" t="n"/>
      <c r="N82" s="16">
        <f>IF(B82="","",IFERROR(IF(ISNUMBER(SEARCH("Vehicle",F82)),MAX(H82+VLOOKUP(B82,'Reference Data 기준데이터'!$A$2:$J$5,9,FALSE),VLOOKUP(B82,'Reference Data 기준데이터'!$A$2:$J$5,4,FALSE)),H82+VLOOKUP(B82,'Reference Data 기준데이터'!$A$2:$J$5,9,FALSE)),""))</f>
        <v/>
      </c>
      <c r="O82" s="20" t="n"/>
      <c r="P82" s="16">
        <f>IF(B82="","",IFERROR(N82+VLOOKUP(E82,'Reference Data 기준데이터'!$A$8:$F$30,4,FALSE),""))</f>
        <v/>
      </c>
      <c r="Q82" s="20" t="n"/>
      <c r="R82" s="16">
        <f>IF(B82="","",IFERROR(MIN(H82+VLOOKUP(B82,'Reference Data 기준데이터'!$A$2:$J$5,10,FALSE),VLOOKUP(B82,'Reference Data 기준데이터'!$A$2:$J$5,6,FALSE)),""))</f>
        <v/>
      </c>
      <c r="S82" s="20" t="n"/>
      <c r="T82" s="13" t="n"/>
      <c r="U82" s="17">
        <f>IF(B82="","",IF(T82&lt;&gt;"",T82,IF(AND(S82&lt;&gt;"",Q82&lt;&gt;""),"11-결과등록완료",IF(AND(Q82&lt;&gt;"",S82=""),"10-시험완료",IF(AND(O82&lt;&gt;"",Q82=""),"09-시험준비중",IF(AND(M82&lt;&gt;"",O82=""),"08-단품준비완료",IF(K82="Approved","05-계획서승인",IF(K82="Revision Needed","04-검토중_조건불만족",IF(K82="Under Review","03-검토중_조건충족",IF(AND(J82&lt;&gt;"",K82=""),"02-계획서제출_미검토","01-계획서미제출"))))))))))</f>
        <v/>
      </c>
      <c r="V82" s="18">
        <f>IF(B82="","",IFS(U82="01-계획서미제출",0,U82="02-계획서제출_미검토",0.05,U82="03-검토중_조건충족",0.1,U82="04-검토중_조건불만족",0.05,U82="05-계획서승인",0.2,U82="06-BIW생산중단",0.15,U82="07-생산완료_미인수",0.3,U82="08-단품준비완료",0.4,U82="09-시험준비중",0.55,U82="10-시험완료",0.85,U82="11-결과등록완료",1,U82="12-조건부승인검토",0.9,TRUE,0))</f>
        <v/>
      </c>
      <c r="W82" s="5">
        <f>IF(B82="","",IF(S82&lt;&gt;"","-",IF(R82="","N/A",R82-TODAY())))</f>
        <v/>
      </c>
      <c r="X82" s="17">
        <f>IF(B82="","",IF(U82="11-결과등록완료","DONE",IF(OR(U82="06-BIW생산중단",AND(U82="01-계획서미제출",I82&lt;TODAY())),"CRITICAL",IF(OR(U82="04-검토중_조건불만족",U82="07-생산완료_미인수",U82="12-조건부승인검토"),"ACTION",IF(AND(ISNUMBER(W82),W82&lt;=0),"OVERDUE",IF(AND(ISNUMBER(W82),W82&lt;=14),"WARNING","ON TRACK"))))))</f>
        <v/>
      </c>
      <c r="Y82" s="19">
        <f>IF(B82="","",IF(U82="11-결과등록완료","— 완료",IF(U82="01-계획서미제출",IF(I82&lt;TODAY(),"계획서 제출 독촉 (OVERDUE)","계획서 제출 대기"),IF(U82="02-계획서제출_미검토","설계자: 계획서 검토 착수",IF(U82="03-검토중_조건충족","설계자: 승인 처리",IF(U82="04-검토중_조건불만족","보완 요청 → 협력사 재제출 독촉",IF(U82="05-계획서승인","시험편 준비 현황 확인",IF(U82="06-BIW생산중단","BIW 생산팀 확인 → 일정 재수립",IF(U82="07-생산완료_미인수","협력사 인수 독촉",IF(U82="08-단품준비완료","시험 일정 확인",IF(U82="09-시험준비중","시험 진행 모니터링",IF(U82="10-시험완료","결과 보고서 전산 등록 독촉",IF(U82="12-조건부승인검토","조건부 승인 여부 판단 → 관련부서 협의","—")))))))))))))</f>
        <v/>
      </c>
    </row>
    <row r="83">
      <c r="A83" s="5">
        <f>IF(B83="","",ROW()-4)</f>
        <v/>
      </c>
      <c r="B83" s="13" t="n"/>
      <c r="C83" s="14" t="n"/>
      <c r="D83" s="15">
        <f>IF(B83="","",IFERROR(VLOOKUP(C83,'Reference Data 기준데이터'!$E$8:$F$30,2,FALSE),""))</f>
        <v/>
      </c>
      <c r="E83" s="14" t="n"/>
      <c r="F83" s="15">
        <f>IF(B83="","",IFERROR(VLOOKUP(E83,'Reference Data 기준데이터'!$A$8:$F$30,2,FALSE),""))</f>
        <v/>
      </c>
      <c r="G83" s="15">
        <f>IF(B83="","",IFERROR(VLOOKUP(B83&amp;"_"&amp;C83,'Reference Data 기준데이터'!$A$33:$B$51,2,FALSE),""))</f>
        <v/>
      </c>
      <c r="H83" s="16">
        <f>IF(B83="","",IFERROR(VLOOKUP(B83,'Reference Data 기준데이터'!$A$2:$J$5,3,FALSE),""))</f>
        <v/>
      </c>
      <c r="I83" s="16">
        <f>IF(B83="","",IFERROR(H83+VLOOKUP(B83,'Reference Data 기준데이터'!$A$2:$J$5,7,FALSE),""))</f>
        <v/>
      </c>
      <c r="J83" s="20" t="n"/>
      <c r="K83" s="13" t="n"/>
      <c r="L83" s="16">
        <f>IF(B83="","",IFERROR(H83+VLOOKUP(B83,'Reference Data 기준데이터'!$A$2:$J$5,8,FALSE),""))</f>
        <v/>
      </c>
      <c r="M83" s="20" t="n"/>
      <c r="N83" s="16">
        <f>IF(B83="","",IFERROR(IF(ISNUMBER(SEARCH("Vehicle",F83)),MAX(H83+VLOOKUP(B83,'Reference Data 기준데이터'!$A$2:$J$5,9,FALSE),VLOOKUP(B83,'Reference Data 기준데이터'!$A$2:$J$5,4,FALSE)),H83+VLOOKUP(B83,'Reference Data 기준데이터'!$A$2:$J$5,9,FALSE)),""))</f>
        <v/>
      </c>
      <c r="O83" s="20" t="n"/>
      <c r="P83" s="16">
        <f>IF(B83="","",IFERROR(N83+VLOOKUP(E83,'Reference Data 기준데이터'!$A$8:$F$30,4,FALSE),""))</f>
        <v/>
      </c>
      <c r="Q83" s="20" t="n"/>
      <c r="R83" s="16">
        <f>IF(B83="","",IFERROR(MIN(H83+VLOOKUP(B83,'Reference Data 기준데이터'!$A$2:$J$5,10,FALSE),VLOOKUP(B83,'Reference Data 기준데이터'!$A$2:$J$5,6,FALSE)),""))</f>
        <v/>
      </c>
      <c r="S83" s="20" t="n"/>
      <c r="T83" s="13" t="n"/>
      <c r="U83" s="17">
        <f>IF(B83="","",IF(T83&lt;&gt;"",T83,IF(AND(S83&lt;&gt;"",Q83&lt;&gt;""),"11-결과등록완료",IF(AND(Q83&lt;&gt;"",S83=""),"10-시험완료",IF(AND(O83&lt;&gt;"",Q83=""),"09-시험준비중",IF(AND(M83&lt;&gt;"",O83=""),"08-단품준비완료",IF(K83="Approved","05-계획서승인",IF(K83="Revision Needed","04-검토중_조건불만족",IF(K83="Under Review","03-검토중_조건충족",IF(AND(J83&lt;&gt;"",K83=""),"02-계획서제출_미검토","01-계획서미제출"))))))))))</f>
        <v/>
      </c>
      <c r="V83" s="18">
        <f>IF(B83="","",IFS(U83="01-계획서미제출",0,U83="02-계획서제출_미검토",0.05,U83="03-검토중_조건충족",0.1,U83="04-검토중_조건불만족",0.05,U83="05-계획서승인",0.2,U83="06-BIW생산중단",0.15,U83="07-생산완료_미인수",0.3,U83="08-단품준비완료",0.4,U83="09-시험준비중",0.55,U83="10-시험완료",0.85,U83="11-결과등록완료",1,U83="12-조건부승인검토",0.9,TRUE,0))</f>
        <v/>
      </c>
      <c r="W83" s="5">
        <f>IF(B83="","",IF(S83&lt;&gt;"","-",IF(R83="","N/A",R83-TODAY())))</f>
        <v/>
      </c>
      <c r="X83" s="17">
        <f>IF(B83="","",IF(U83="11-결과등록완료","DONE",IF(OR(U83="06-BIW생산중단",AND(U83="01-계획서미제출",I83&lt;TODAY())),"CRITICAL",IF(OR(U83="04-검토중_조건불만족",U83="07-생산완료_미인수",U83="12-조건부승인검토"),"ACTION",IF(AND(ISNUMBER(W83),W83&lt;=0),"OVERDUE",IF(AND(ISNUMBER(W83),W83&lt;=14),"WARNING","ON TRACK"))))))</f>
        <v/>
      </c>
      <c r="Y83" s="19">
        <f>IF(B83="","",IF(U83="11-결과등록완료","— 완료",IF(U83="01-계획서미제출",IF(I83&lt;TODAY(),"계획서 제출 독촉 (OVERDUE)","계획서 제출 대기"),IF(U83="02-계획서제출_미검토","설계자: 계획서 검토 착수",IF(U83="03-검토중_조건충족","설계자: 승인 처리",IF(U83="04-검토중_조건불만족","보완 요청 → 협력사 재제출 독촉",IF(U83="05-계획서승인","시험편 준비 현황 확인",IF(U83="06-BIW생산중단","BIW 생산팀 확인 → 일정 재수립",IF(U83="07-생산완료_미인수","협력사 인수 독촉",IF(U83="08-단품준비완료","시험 일정 확인",IF(U83="09-시험준비중","시험 진행 모니터링",IF(U83="10-시험완료","결과 보고서 전산 등록 독촉",IF(U83="12-조건부승인검토","조건부 승인 여부 판단 → 관련부서 협의","—")))))))))))))</f>
        <v/>
      </c>
    </row>
    <row r="84">
      <c r="A84" s="5">
        <f>IF(B84="","",ROW()-4)</f>
        <v/>
      </c>
      <c r="B84" s="13" t="n"/>
      <c r="C84" s="14" t="n"/>
      <c r="D84" s="15">
        <f>IF(B84="","",IFERROR(VLOOKUP(C84,'Reference Data 기준데이터'!$E$8:$F$30,2,FALSE),""))</f>
        <v/>
      </c>
      <c r="E84" s="14" t="n"/>
      <c r="F84" s="15">
        <f>IF(B84="","",IFERROR(VLOOKUP(E84,'Reference Data 기준데이터'!$A$8:$F$30,2,FALSE),""))</f>
        <v/>
      </c>
      <c r="G84" s="15">
        <f>IF(B84="","",IFERROR(VLOOKUP(B84&amp;"_"&amp;C84,'Reference Data 기준데이터'!$A$33:$B$51,2,FALSE),""))</f>
        <v/>
      </c>
      <c r="H84" s="16">
        <f>IF(B84="","",IFERROR(VLOOKUP(B84,'Reference Data 기준데이터'!$A$2:$J$5,3,FALSE),""))</f>
        <v/>
      </c>
      <c r="I84" s="16">
        <f>IF(B84="","",IFERROR(H84+VLOOKUP(B84,'Reference Data 기준데이터'!$A$2:$J$5,7,FALSE),""))</f>
        <v/>
      </c>
      <c r="J84" s="20" t="n"/>
      <c r="K84" s="13" t="n"/>
      <c r="L84" s="16">
        <f>IF(B84="","",IFERROR(H84+VLOOKUP(B84,'Reference Data 기준데이터'!$A$2:$J$5,8,FALSE),""))</f>
        <v/>
      </c>
      <c r="M84" s="20" t="n"/>
      <c r="N84" s="16">
        <f>IF(B84="","",IFERROR(IF(ISNUMBER(SEARCH("Vehicle",F84)),MAX(H84+VLOOKUP(B84,'Reference Data 기준데이터'!$A$2:$J$5,9,FALSE),VLOOKUP(B84,'Reference Data 기준데이터'!$A$2:$J$5,4,FALSE)),H84+VLOOKUP(B84,'Reference Data 기준데이터'!$A$2:$J$5,9,FALSE)),""))</f>
        <v/>
      </c>
      <c r="O84" s="20" t="n"/>
      <c r="P84" s="16">
        <f>IF(B84="","",IFERROR(N84+VLOOKUP(E84,'Reference Data 기준데이터'!$A$8:$F$30,4,FALSE),""))</f>
        <v/>
      </c>
      <c r="Q84" s="20" t="n"/>
      <c r="R84" s="16">
        <f>IF(B84="","",IFERROR(MIN(H84+VLOOKUP(B84,'Reference Data 기준데이터'!$A$2:$J$5,10,FALSE),VLOOKUP(B84,'Reference Data 기준데이터'!$A$2:$J$5,6,FALSE)),""))</f>
        <v/>
      </c>
      <c r="S84" s="20" t="n"/>
      <c r="T84" s="13" t="n"/>
      <c r="U84" s="17">
        <f>IF(B84="","",IF(T84&lt;&gt;"",T84,IF(AND(S84&lt;&gt;"",Q84&lt;&gt;""),"11-결과등록완료",IF(AND(Q84&lt;&gt;"",S84=""),"10-시험완료",IF(AND(O84&lt;&gt;"",Q84=""),"09-시험준비중",IF(AND(M84&lt;&gt;"",O84=""),"08-단품준비완료",IF(K84="Approved","05-계획서승인",IF(K84="Revision Needed","04-검토중_조건불만족",IF(K84="Under Review","03-검토중_조건충족",IF(AND(J84&lt;&gt;"",K84=""),"02-계획서제출_미검토","01-계획서미제출"))))))))))</f>
        <v/>
      </c>
      <c r="V84" s="18">
        <f>IF(B84="","",IFS(U84="01-계획서미제출",0,U84="02-계획서제출_미검토",0.05,U84="03-검토중_조건충족",0.1,U84="04-검토중_조건불만족",0.05,U84="05-계획서승인",0.2,U84="06-BIW생산중단",0.15,U84="07-생산완료_미인수",0.3,U84="08-단품준비완료",0.4,U84="09-시험준비중",0.55,U84="10-시험완료",0.85,U84="11-결과등록완료",1,U84="12-조건부승인검토",0.9,TRUE,0))</f>
        <v/>
      </c>
      <c r="W84" s="5">
        <f>IF(B84="","",IF(S84&lt;&gt;"","-",IF(R84="","N/A",R84-TODAY())))</f>
        <v/>
      </c>
      <c r="X84" s="17">
        <f>IF(B84="","",IF(U84="11-결과등록완료","DONE",IF(OR(U84="06-BIW생산중단",AND(U84="01-계획서미제출",I84&lt;TODAY())),"CRITICAL",IF(OR(U84="04-검토중_조건불만족",U84="07-생산완료_미인수",U84="12-조건부승인검토"),"ACTION",IF(AND(ISNUMBER(W84),W84&lt;=0),"OVERDUE",IF(AND(ISNUMBER(W84),W84&lt;=14),"WARNING","ON TRACK"))))))</f>
        <v/>
      </c>
      <c r="Y84" s="19">
        <f>IF(B84="","",IF(U84="11-결과등록완료","— 완료",IF(U84="01-계획서미제출",IF(I84&lt;TODAY(),"계획서 제출 독촉 (OVERDUE)","계획서 제출 대기"),IF(U84="02-계획서제출_미검토","설계자: 계획서 검토 착수",IF(U84="03-검토중_조건충족","설계자: 승인 처리",IF(U84="04-검토중_조건불만족","보완 요청 → 협력사 재제출 독촉",IF(U84="05-계획서승인","시험편 준비 현황 확인",IF(U84="06-BIW생산중단","BIW 생산팀 확인 → 일정 재수립",IF(U84="07-생산완료_미인수","협력사 인수 독촉",IF(U84="08-단품준비완료","시험 일정 확인",IF(U84="09-시험준비중","시험 진행 모니터링",IF(U84="10-시험완료","결과 보고서 전산 등록 독촉",IF(U84="12-조건부승인검토","조건부 승인 여부 판단 → 관련부서 협의","—")))))))))))))</f>
        <v/>
      </c>
    </row>
    <row r="85">
      <c r="A85" s="5">
        <f>IF(B85="","",ROW()-4)</f>
        <v/>
      </c>
      <c r="B85" s="13" t="n"/>
      <c r="C85" s="14" t="n"/>
      <c r="D85" s="15">
        <f>IF(B85="","",IFERROR(VLOOKUP(C85,'Reference Data 기준데이터'!$E$8:$F$30,2,FALSE),""))</f>
        <v/>
      </c>
      <c r="E85" s="14" t="n"/>
      <c r="F85" s="15">
        <f>IF(B85="","",IFERROR(VLOOKUP(E85,'Reference Data 기준데이터'!$A$8:$F$30,2,FALSE),""))</f>
        <v/>
      </c>
      <c r="G85" s="15">
        <f>IF(B85="","",IFERROR(VLOOKUP(B85&amp;"_"&amp;C85,'Reference Data 기준데이터'!$A$33:$B$51,2,FALSE),""))</f>
        <v/>
      </c>
      <c r="H85" s="16">
        <f>IF(B85="","",IFERROR(VLOOKUP(B85,'Reference Data 기준데이터'!$A$2:$J$5,3,FALSE),""))</f>
        <v/>
      </c>
      <c r="I85" s="16">
        <f>IF(B85="","",IFERROR(H85+VLOOKUP(B85,'Reference Data 기준데이터'!$A$2:$J$5,7,FALSE),""))</f>
        <v/>
      </c>
      <c r="J85" s="20" t="n"/>
      <c r="K85" s="13" t="n"/>
      <c r="L85" s="16">
        <f>IF(B85="","",IFERROR(H85+VLOOKUP(B85,'Reference Data 기준데이터'!$A$2:$J$5,8,FALSE),""))</f>
        <v/>
      </c>
      <c r="M85" s="20" t="n"/>
      <c r="N85" s="16">
        <f>IF(B85="","",IFERROR(IF(ISNUMBER(SEARCH("Vehicle",F85)),MAX(H85+VLOOKUP(B85,'Reference Data 기준데이터'!$A$2:$J$5,9,FALSE),VLOOKUP(B85,'Reference Data 기준데이터'!$A$2:$J$5,4,FALSE)),H85+VLOOKUP(B85,'Reference Data 기준데이터'!$A$2:$J$5,9,FALSE)),""))</f>
        <v/>
      </c>
      <c r="O85" s="20" t="n"/>
      <c r="P85" s="16">
        <f>IF(B85="","",IFERROR(N85+VLOOKUP(E85,'Reference Data 기준데이터'!$A$8:$F$30,4,FALSE),""))</f>
        <v/>
      </c>
      <c r="Q85" s="20" t="n"/>
      <c r="R85" s="16">
        <f>IF(B85="","",IFERROR(MIN(H85+VLOOKUP(B85,'Reference Data 기준데이터'!$A$2:$J$5,10,FALSE),VLOOKUP(B85,'Reference Data 기준데이터'!$A$2:$J$5,6,FALSE)),""))</f>
        <v/>
      </c>
      <c r="S85" s="20" t="n"/>
      <c r="T85" s="13" t="n"/>
      <c r="U85" s="17">
        <f>IF(B85="","",IF(T85&lt;&gt;"",T85,IF(AND(S85&lt;&gt;"",Q85&lt;&gt;""),"11-결과등록완료",IF(AND(Q85&lt;&gt;"",S85=""),"10-시험완료",IF(AND(O85&lt;&gt;"",Q85=""),"09-시험준비중",IF(AND(M85&lt;&gt;"",O85=""),"08-단품준비완료",IF(K85="Approved","05-계획서승인",IF(K85="Revision Needed","04-검토중_조건불만족",IF(K85="Under Review","03-검토중_조건충족",IF(AND(J85&lt;&gt;"",K85=""),"02-계획서제출_미검토","01-계획서미제출"))))))))))</f>
        <v/>
      </c>
      <c r="V85" s="18">
        <f>IF(B85="","",IFS(U85="01-계획서미제출",0,U85="02-계획서제출_미검토",0.05,U85="03-검토중_조건충족",0.1,U85="04-검토중_조건불만족",0.05,U85="05-계획서승인",0.2,U85="06-BIW생산중단",0.15,U85="07-생산완료_미인수",0.3,U85="08-단품준비완료",0.4,U85="09-시험준비중",0.55,U85="10-시험완료",0.85,U85="11-결과등록완료",1,U85="12-조건부승인검토",0.9,TRUE,0))</f>
        <v/>
      </c>
      <c r="W85" s="5">
        <f>IF(B85="","",IF(S85&lt;&gt;"","-",IF(R85="","N/A",R85-TODAY())))</f>
        <v/>
      </c>
      <c r="X85" s="17">
        <f>IF(B85="","",IF(U85="11-결과등록완료","DONE",IF(OR(U85="06-BIW생산중단",AND(U85="01-계획서미제출",I85&lt;TODAY())),"CRITICAL",IF(OR(U85="04-검토중_조건불만족",U85="07-생산완료_미인수",U85="12-조건부승인검토"),"ACTION",IF(AND(ISNUMBER(W85),W85&lt;=0),"OVERDUE",IF(AND(ISNUMBER(W85),W85&lt;=14),"WARNING","ON TRACK"))))))</f>
        <v/>
      </c>
      <c r="Y85" s="19">
        <f>IF(B85="","",IF(U85="11-결과등록완료","— 완료",IF(U85="01-계획서미제출",IF(I85&lt;TODAY(),"계획서 제출 독촉 (OVERDUE)","계획서 제출 대기"),IF(U85="02-계획서제출_미검토","설계자: 계획서 검토 착수",IF(U85="03-검토중_조건충족","설계자: 승인 처리",IF(U85="04-검토중_조건불만족","보완 요청 → 협력사 재제출 독촉",IF(U85="05-계획서승인","시험편 준비 현황 확인",IF(U85="06-BIW생산중단","BIW 생산팀 확인 → 일정 재수립",IF(U85="07-생산완료_미인수","협력사 인수 독촉",IF(U85="08-단품준비완료","시험 일정 확인",IF(U85="09-시험준비중","시험 진행 모니터링",IF(U85="10-시험완료","결과 보고서 전산 등록 독촉",IF(U85="12-조건부승인검토","조건부 승인 여부 판단 → 관련부서 협의","—")))))))))))))</f>
        <v/>
      </c>
    </row>
    <row r="86">
      <c r="A86" s="5">
        <f>IF(B86="","",ROW()-4)</f>
        <v/>
      </c>
      <c r="B86" s="13" t="n"/>
      <c r="C86" s="14" t="n"/>
      <c r="D86" s="15">
        <f>IF(B86="","",IFERROR(VLOOKUP(C86,'Reference Data 기준데이터'!$E$8:$F$30,2,FALSE),""))</f>
        <v/>
      </c>
      <c r="E86" s="14" t="n"/>
      <c r="F86" s="15">
        <f>IF(B86="","",IFERROR(VLOOKUP(E86,'Reference Data 기준데이터'!$A$8:$F$30,2,FALSE),""))</f>
        <v/>
      </c>
      <c r="G86" s="15">
        <f>IF(B86="","",IFERROR(VLOOKUP(B86&amp;"_"&amp;C86,'Reference Data 기준데이터'!$A$33:$B$51,2,FALSE),""))</f>
        <v/>
      </c>
      <c r="H86" s="16">
        <f>IF(B86="","",IFERROR(VLOOKUP(B86,'Reference Data 기준데이터'!$A$2:$J$5,3,FALSE),""))</f>
        <v/>
      </c>
      <c r="I86" s="16">
        <f>IF(B86="","",IFERROR(H86+VLOOKUP(B86,'Reference Data 기준데이터'!$A$2:$J$5,7,FALSE),""))</f>
        <v/>
      </c>
      <c r="J86" s="20" t="n"/>
      <c r="K86" s="13" t="n"/>
      <c r="L86" s="16">
        <f>IF(B86="","",IFERROR(H86+VLOOKUP(B86,'Reference Data 기준데이터'!$A$2:$J$5,8,FALSE),""))</f>
        <v/>
      </c>
      <c r="M86" s="20" t="n"/>
      <c r="N86" s="16">
        <f>IF(B86="","",IFERROR(IF(ISNUMBER(SEARCH("Vehicle",F86)),MAX(H86+VLOOKUP(B86,'Reference Data 기준데이터'!$A$2:$J$5,9,FALSE),VLOOKUP(B86,'Reference Data 기준데이터'!$A$2:$J$5,4,FALSE)),H86+VLOOKUP(B86,'Reference Data 기준데이터'!$A$2:$J$5,9,FALSE)),""))</f>
        <v/>
      </c>
      <c r="O86" s="20" t="n"/>
      <c r="P86" s="16">
        <f>IF(B86="","",IFERROR(N86+VLOOKUP(E86,'Reference Data 기준데이터'!$A$8:$F$30,4,FALSE),""))</f>
        <v/>
      </c>
      <c r="Q86" s="20" t="n"/>
      <c r="R86" s="16">
        <f>IF(B86="","",IFERROR(MIN(H86+VLOOKUP(B86,'Reference Data 기준데이터'!$A$2:$J$5,10,FALSE),VLOOKUP(B86,'Reference Data 기준데이터'!$A$2:$J$5,6,FALSE)),""))</f>
        <v/>
      </c>
      <c r="S86" s="20" t="n"/>
      <c r="T86" s="13" t="n"/>
      <c r="U86" s="17">
        <f>IF(B86="","",IF(T86&lt;&gt;"",T86,IF(AND(S86&lt;&gt;"",Q86&lt;&gt;""),"11-결과등록완료",IF(AND(Q86&lt;&gt;"",S86=""),"10-시험완료",IF(AND(O86&lt;&gt;"",Q86=""),"09-시험준비중",IF(AND(M86&lt;&gt;"",O86=""),"08-단품준비완료",IF(K86="Approved","05-계획서승인",IF(K86="Revision Needed","04-검토중_조건불만족",IF(K86="Under Review","03-검토중_조건충족",IF(AND(J86&lt;&gt;"",K86=""),"02-계획서제출_미검토","01-계획서미제출"))))))))))</f>
        <v/>
      </c>
      <c r="V86" s="18">
        <f>IF(B86="","",IFS(U86="01-계획서미제출",0,U86="02-계획서제출_미검토",0.05,U86="03-검토중_조건충족",0.1,U86="04-검토중_조건불만족",0.05,U86="05-계획서승인",0.2,U86="06-BIW생산중단",0.15,U86="07-생산완료_미인수",0.3,U86="08-단품준비완료",0.4,U86="09-시험준비중",0.55,U86="10-시험완료",0.85,U86="11-결과등록완료",1,U86="12-조건부승인검토",0.9,TRUE,0))</f>
        <v/>
      </c>
      <c r="W86" s="5">
        <f>IF(B86="","",IF(S86&lt;&gt;"","-",IF(R86="","N/A",R86-TODAY())))</f>
        <v/>
      </c>
      <c r="X86" s="17">
        <f>IF(B86="","",IF(U86="11-결과등록완료","DONE",IF(OR(U86="06-BIW생산중단",AND(U86="01-계획서미제출",I86&lt;TODAY())),"CRITICAL",IF(OR(U86="04-검토중_조건불만족",U86="07-생산완료_미인수",U86="12-조건부승인검토"),"ACTION",IF(AND(ISNUMBER(W86),W86&lt;=0),"OVERDUE",IF(AND(ISNUMBER(W86),W86&lt;=14),"WARNING","ON TRACK"))))))</f>
        <v/>
      </c>
      <c r="Y86" s="19">
        <f>IF(B86="","",IF(U86="11-결과등록완료","— 완료",IF(U86="01-계획서미제출",IF(I86&lt;TODAY(),"계획서 제출 독촉 (OVERDUE)","계획서 제출 대기"),IF(U86="02-계획서제출_미검토","설계자: 계획서 검토 착수",IF(U86="03-검토중_조건충족","설계자: 승인 처리",IF(U86="04-검토중_조건불만족","보완 요청 → 협력사 재제출 독촉",IF(U86="05-계획서승인","시험편 준비 현황 확인",IF(U86="06-BIW생산중단","BIW 생산팀 확인 → 일정 재수립",IF(U86="07-생산완료_미인수","협력사 인수 독촉",IF(U86="08-단품준비완료","시험 일정 확인",IF(U86="09-시험준비중","시험 진행 모니터링",IF(U86="10-시험완료","결과 보고서 전산 등록 독촉",IF(U86="12-조건부승인검토","조건부 승인 여부 판단 → 관련부서 협의","—")))))))))))))</f>
        <v/>
      </c>
    </row>
    <row r="87">
      <c r="A87" s="5">
        <f>IF(B87="","",ROW()-4)</f>
        <v/>
      </c>
      <c r="B87" s="13" t="n"/>
      <c r="C87" s="14" t="n"/>
      <c r="D87" s="15">
        <f>IF(B87="","",IFERROR(VLOOKUP(C87,'Reference Data 기준데이터'!$E$8:$F$30,2,FALSE),""))</f>
        <v/>
      </c>
      <c r="E87" s="14" t="n"/>
      <c r="F87" s="15">
        <f>IF(B87="","",IFERROR(VLOOKUP(E87,'Reference Data 기준데이터'!$A$8:$F$30,2,FALSE),""))</f>
        <v/>
      </c>
      <c r="G87" s="15">
        <f>IF(B87="","",IFERROR(VLOOKUP(B87&amp;"_"&amp;C87,'Reference Data 기준데이터'!$A$33:$B$51,2,FALSE),""))</f>
        <v/>
      </c>
      <c r="H87" s="16">
        <f>IF(B87="","",IFERROR(VLOOKUP(B87,'Reference Data 기준데이터'!$A$2:$J$5,3,FALSE),""))</f>
        <v/>
      </c>
      <c r="I87" s="16">
        <f>IF(B87="","",IFERROR(H87+VLOOKUP(B87,'Reference Data 기준데이터'!$A$2:$J$5,7,FALSE),""))</f>
        <v/>
      </c>
      <c r="J87" s="20" t="n"/>
      <c r="K87" s="13" t="n"/>
      <c r="L87" s="16">
        <f>IF(B87="","",IFERROR(H87+VLOOKUP(B87,'Reference Data 기준데이터'!$A$2:$J$5,8,FALSE),""))</f>
        <v/>
      </c>
      <c r="M87" s="20" t="n"/>
      <c r="N87" s="16">
        <f>IF(B87="","",IFERROR(IF(ISNUMBER(SEARCH("Vehicle",F87)),MAX(H87+VLOOKUP(B87,'Reference Data 기준데이터'!$A$2:$J$5,9,FALSE),VLOOKUP(B87,'Reference Data 기준데이터'!$A$2:$J$5,4,FALSE)),H87+VLOOKUP(B87,'Reference Data 기준데이터'!$A$2:$J$5,9,FALSE)),""))</f>
        <v/>
      </c>
      <c r="O87" s="20" t="n"/>
      <c r="P87" s="16">
        <f>IF(B87="","",IFERROR(N87+VLOOKUP(E87,'Reference Data 기준데이터'!$A$8:$F$30,4,FALSE),""))</f>
        <v/>
      </c>
      <c r="Q87" s="20" t="n"/>
      <c r="R87" s="16">
        <f>IF(B87="","",IFERROR(MIN(H87+VLOOKUP(B87,'Reference Data 기준데이터'!$A$2:$J$5,10,FALSE),VLOOKUP(B87,'Reference Data 기준데이터'!$A$2:$J$5,6,FALSE)),""))</f>
        <v/>
      </c>
      <c r="S87" s="20" t="n"/>
      <c r="T87" s="13" t="n"/>
      <c r="U87" s="17">
        <f>IF(B87="","",IF(T87&lt;&gt;"",T87,IF(AND(S87&lt;&gt;"",Q87&lt;&gt;""),"11-결과등록완료",IF(AND(Q87&lt;&gt;"",S87=""),"10-시험완료",IF(AND(O87&lt;&gt;"",Q87=""),"09-시험준비중",IF(AND(M87&lt;&gt;"",O87=""),"08-단품준비완료",IF(K87="Approved","05-계획서승인",IF(K87="Revision Needed","04-검토중_조건불만족",IF(K87="Under Review","03-검토중_조건충족",IF(AND(J87&lt;&gt;"",K87=""),"02-계획서제출_미검토","01-계획서미제출"))))))))))</f>
        <v/>
      </c>
      <c r="V87" s="18">
        <f>IF(B87="","",IFS(U87="01-계획서미제출",0,U87="02-계획서제출_미검토",0.05,U87="03-검토중_조건충족",0.1,U87="04-검토중_조건불만족",0.05,U87="05-계획서승인",0.2,U87="06-BIW생산중단",0.15,U87="07-생산완료_미인수",0.3,U87="08-단품준비완료",0.4,U87="09-시험준비중",0.55,U87="10-시험완료",0.85,U87="11-결과등록완료",1,U87="12-조건부승인검토",0.9,TRUE,0))</f>
        <v/>
      </c>
      <c r="W87" s="5">
        <f>IF(B87="","",IF(S87&lt;&gt;"","-",IF(R87="","N/A",R87-TODAY())))</f>
        <v/>
      </c>
      <c r="X87" s="17">
        <f>IF(B87="","",IF(U87="11-결과등록완료","DONE",IF(OR(U87="06-BIW생산중단",AND(U87="01-계획서미제출",I87&lt;TODAY())),"CRITICAL",IF(OR(U87="04-검토중_조건불만족",U87="07-생산완료_미인수",U87="12-조건부승인검토"),"ACTION",IF(AND(ISNUMBER(W87),W87&lt;=0),"OVERDUE",IF(AND(ISNUMBER(W87),W87&lt;=14),"WARNING","ON TRACK"))))))</f>
        <v/>
      </c>
      <c r="Y87" s="19">
        <f>IF(B87="","",IF(U87="11-결과등록완료","— 완료",IF(U87="01-계획서미제출",IF(I87&lt;TODAY(),"계획서 제출 독촉 (OVERDUE)","계획서 제출 대기"),IF(U87="02-계획서제출_미검토","설계자: 계획서 검토 착수",IF(U87="03-검토중_조건충족","설계자: 승인 처리",IF(U87="04-검토중_조건불만족","보완 요청 → 협력사 재제출 독촉",IF(U87="05-계획서승인","시험편 준비 현황 확인",IF(U87="06-BIW생산중단","BIW 생산팀 확인 → 일정 재수립",IF(U87="07-생산완료_미인수","협력사 인수 독촉",IF(U87="08-단품준비완료","시험 일정 확인",IF(U87="09-시험준비중","시험 진행 모니터링",IF(U87="10-시험완료","결과 보고서 전산 등록 독촉",IF(U87="12-조건부승인검토","조건부 승인 여부 판단 → 관련부서 협의","—")))))))))))))</f>
        <v/>
      </c>
    </row>
    <row r="88">
      <c r="A88" s="5">
        <f>IF(B88="","",ROW()-4)</f>
        <v/>
      </c>
      <c r="B88" s="13" t="n"/>
      <c r="C88" s="14" t="n"/>
      <c r="D88" s="15">
        <f>IF(B88="","",IFERROR(VLOOKUP(C88,'Reference Data 기준데이터'!$E$8:$F$30,2,FALSE),""))</f>
        <v/>
      </c>
      <c r="E88" s="14" t="n"/>
      <c r="F88" s="15">
        <f>IF(B88="","",IFERROR(VLOOKUP(E88,'Reference Data 기준데이터'!$A$8:$F$30,2,FALSE),""))</f>
        <v/>
      </c>
      <c r="G88" s="15">
        <f>IF(B88="","",IFERROR(VLOOKUP(B88&amp;"_"&amp;C88,'Reference Data 기준데이터'!$A$33:$B$51,2,FALSE),""))</f>
        <v/>
      </c>
      <c r="H88" s="16">
        <f>IF(B88="","",IFERROR(VLOOKUP(B88,'Reference Data 기준데이터'!$A$2:$J$5,3,FALSE),""))</f>
        <v/>
      </c>
      <c r="I88" s="16">
        <f>IF(B88="","",IFERROR(H88+VLOOKUP(B88,'Reference Data 기준데이터'!$A$2:$J$5,7,FALSE),""))</f>
        <v/>
      </c>
      <c r="J88" s="20" t="n"/>
      <c r="K88" s="13" t="n"/>
      <c r="L88" s="16">
        <f>IF(B88="","",IFERROR(H88+VLOOKUP(B88,'Reference Data 기준데이터'!$A$2:$J$5,8,FALSE),""))</f>
        <v/>
      </c>
      <c r="M88" s="20" t="n"/>
      <c r="N88" s="16">
        <f>IF(B88="","",IFERROR(IF(ISNUMBER(SEARCH("Vehicle",F88)),MAX(H88+VLOOKUP(B88,'Reference Data 기준데이터'!$A$2:$J$5,9,FALSE),VLOOKUP(B88,'Reference Data 기준데이터'!$A$2:$J$5,4,FALSE)),H88+VLOOKUP(B88,'Reference Data 기준데이터'!$A$2:$J$5,9,FALSE)),""))</f>
        <v/>
      </c>
      <c r="O88" s="20" t="n"/>
      <c r="P88" s="16">
        <f>IF(B88="","",IFERROR(N88+VLOOKUP(E88,'Reference Data 기준데이터'!$A$8:$F$30,4,FALSE),""))</f>
        <v/>
      </c>
      <c r="Q88" s="20" t="n"/>
      <c r="R88" s="16">
        <f>IF(B88="","",IFERROR(MIN(H88+VLOOKUP(B88,'Reference Data 기준데이터'!$A$2:$J$5,10,FALSE),VLOOKUP(B88,'Reference Data 기준데이터'!$A$2:$J$5,6,FALSE)),""))</f>
        <v/>
      </c>
      <c r="S88" s="20" t="n"/>
      <c r="T88" s="13" t="n"/>
      <c r="U88" s="17">
        <f>IF(B88="","",IF(T88&lt;&gt;"",T88,IF(AND(S88&lt;&gt;"",Q88&lt;&gt;""),"11-결과등록완료",IF(AND(Q88&lt;&gt;"",S88=""),"10-시험완료",IF(AND(O88&lt;&gt;"",Q88=""),"09-시험준비중",IF(AND(M88&lt;&gt;"",O88=""),"08-단품준비완료",IF(K88="Approved","05-계획서승인",IF(K88="Revision Needed","04-검토중_조건불만족",IF(K88="Under Review","03-검토중_조건충족",IF(AND(J88&lt;&gt;"",K88=""),"02-계획서제출_미검토","01-계획서미제출"))))))))))</f>
        <v/>
      </c>
      <c r="V88" s="18">
        <f>IF(B88="","",IFS(U88="01-계획서미제출",0,U88="02-계획서제출_미검토",0.05,U88="03-검토중_조건충족",0.1,U88="04-검토중_조건불만족",0.05,U88="05-계획서승인",0.2,U88="06-BIW생산중단",0.15,U88="07-생산완료_미인수",0.3,U88="08-단품준비완료",0.4,U88="09-시험준비중",0.55,U88="10-시험완료",0.85,U88="11-결과등록완료",1,U88="12-조건부승인검토",0.9,TRUE,0))</f>
        <v/>
      </c>
      <c r="W88" s="5">
        <f>IF(B88="","",IF(S88&lt;&gt;"","-",IF(R88="","N/A",R88-TODAY())))</f>
        <v/>
      </c>
      <c r="X88" s="17">
        <f>IF(B88="","",IF(U88="11-결과등록완료","DONE",IF(OR(U88="06-BIW생산중단",AND(U88="01-계획서미제출",I88&lt;TODAY())),"CRITICAL",IF(OR(U88="04-검토중_조건불만족",U88="07-생산완료_미인수",U88="12-조건부승인검토"),"ACTION",IF(AND(ISNUMBER(W88),W88&lt;=0),"OVERDUE",IF(AND(ISNUMBER(W88),W88&lt;=14),"WARNING","ON TRACK"))))))</f>
        <v/>
      </c>
      <c r="Y88" s="19">
        <f>IF(B88="","",IF(U88="11-결과등록완료","— 완료",IF(U88="01-계획서미제출",IF(I88&lt;TODAY(),"계획서 제출 독촉 (OVERDUE)","계획서 제출 대기"),IF(U88="02-계획서제출_미검토","설계자: 계획서 검토 착수",IF(U88="03-검토중_조건충족","설계자: 승인 처리",IF(U88="04-검토중_조건불만족","보완 요청 → 협력사 재제출 독촉",IF(U88="05-계획서승인","시험편 준비 현황 확인",IF(U88="06-BIW생산중단","BIW 생산팀 확인 → 일정 재수립",IF(U88="07-생산완료_미인수","협력사 인수 독촉",IF(U88="08-단품준비완료","시험 일정 확인",IF(U88="09-시험준비중","시험 진행 모니터링",IF(U88="10-시험완료","결과 보고서 전산 등록 독촉",IF(U88="12-조건부승인검토","조건부 승인 여부 판단 → 관련부서 협의","—")))))))))))))</f>
        <v/>
      </c>
    </row>
    <row r="89">
      <c r="A89" s="5">
        <f>IF(B89="","",ROW()-4)</f>
        <v/>
      </c>
      <c r="B89" s="13" t="n"/>
      <c r="C89" s="14" t="n"/>
      <c r="D89" s="15">
        <f>IF(B89="","",IFERROR(VLOOKUP(C89,'Reference Data 기준데이터'!$E$8:$F$30,2,FALSE),""))</f>
        <v/>
      </c>
      <c r="E89" s="14" t="n"/>
      <c r="F89" s="15">
        <f>IF(B89="","",IFERROR(VLOOKUP(E89,'Reference Data 기준데이터'!$A$8:$F$30,2,FALSE),""))</f>
        <v/>
      </c>
      <c r="G89" s="15">
        <f>IF(B89="","",IFERROR(VLOOKUP(B89&amp;"_"&amp;C89,'Reference Data 기준데이터'!$A$33:$B$51,2,FALSE),""))</f>
        <v/>
      </c>
      <c r="H89" s="16">
        <f>IF(B89="","",IFERROR(VLOOKUP(B89,'Reference Data 기준데이터'!$A$2:$J$5,3,FALSE),""))</f>
        <v/>
      </c>
      <c r="I89" s="16">
        <f>IF(B89="","",IFERROR(H89+VLOOKUP(B89,'Reference Data 기준데이터'!$A$2:$J$5,7,FALSE),""))</f>
        <v/>
      </c>
      <c r="J89" s="20" t="n"/>
      <c r="K89" s="13" t="n"/>
      <c r="L89" s="16">
        <f>IF(B89="","",IFERROR(H89+VLOOKUP(B89,'Reference Data 기준데이터'!$A$2:$J$5,8,FALSE),""))</f>
        <v/>
      </c>
      <c r="M89" s="20" t="n"/>
      <c r="N89" s="16">
        <f>IF(B89="","",IFERROR(IF(ISNUMBER(SEARCH("Vehicle",F89)),MAX(H89+VLOOKUP(B89,'Reference Data 기준데이터'!$A$2:$J$5,9,FALSE),VLOOKUP(B89,'Reference Data 기준데이터'!$A$2:$J$5,4,FALSE)),H89+VLOOKUP(B89,'Reference Data 기준데이터'!$A$2:$J$5,9,FALSE)),""))</f>
        <v/>
      </c>
      <c r="O89" s="20" t="n"/>
      <c r="P89" s="16">
        <f>IF(B89="","",IFERROR(N89+VLOOKUP(E89,'Reference Data 기준데이터'!$A$8:$F$30,4,FALSE),""))</f>
        <v/>
      </c>
      <c r="Q89" s="20" t="n"/>
      <c r="R89" s="16">
        <f>IF(B89="","",IFERROR(MIN(H89+VLOOKUP(B89,'Reference Data 기준데이터'!$A$2:$J$5,10,FALSE),VLOOKUP(B89,'Reference Data 기준데이터'!$A$2:$J$5,6,FALSE)),""))</f>
        <v/>
      </c>
      <c r="S89" s="20" t="n"/>
      <c r="T89" s="13" t="n"/>
      <c r="U89" s="17">
        <f>IF(B89="","",IF(T89&lt;&gt;"",T89,IF(AND(S89&lt;&gt;"",Q89&lt;&gt;""),"11-결과등록완료",IF(AND(Q89&lt;&gt;"",S89=""),"10-시험완료",IF(AND(O89&lt;&gt;"",Q89=""),"09-시험준비중",IF(AND(M89&lt;&gt;"",O89=""),"08-단품준비완료",IF(K89="Approved","05-계획서승인",IF(K89="Revision Needed","04-검토중_조건불만족",IF(K89="Under Review","03-검토중_조건충족",IF(AND(J89&lt;&gt;"",K89=""),"02-계획서제출_미검토","01-계획서미제출"))))))))))</f>
        <v/>
      </c>
      <c r="V89" s="18">
        <f>IF(B89="","",IFS(U89="01-계획서미제출",0,U89="02-계획서제출_미검토",0.05,U89="03-검토중_조건충족",0.1,U89="04-검토중_조건불만족",0.05,U89="05-계획서승인",0.2,U89="06-BIW생산중단",0.15,U89="07-생산완료_미인수",0.3,U89="08-단품준비완료",0.4,U89="09-시험준비중",0.55,U89="10-시험완료",0.85,U89="11-결과등록완료",1,U89="12-조건부승인검토",0.9,TRUE,0))</f>
        <v/>
      </c>
      <c r="W89" s="5">
        <f>IF(B89="","",IF(S89&lt;&gt;"","-",IF(R89="","N/A",R89-TODAY())))</f>
        <v/>
      </c>
      <c r="X89" s="17">
        <f>IF(B89="","",IF(U89="11-결과등록완료","DONE",IF(OR(U89="06-BIW생산중단",AND(U89="01-계획서미제출",I89&lt;TODAY())),"CRITICAL",IF(OR(U89="04-검토중_조건불만족",U89="07-생산완료_미인수",U89="12-조건부승인검토"),"ACTION",IF(AND(ISNUMBER(W89),W89&lt;=0),"OVERDUE",IF(AND(ISNUMBER(W89),W89&lt;=14),"WARNING","ON TRACK"))))))</f>
        <v/>
      </c>
      <c r="Y89" s="19">
        <f>IF(B89="","",IF(U89="11-결과등록완료","— 완료",IF(U89="01-계획서미제출",IF(I89&lt;TODAY(),"계획서 제출 독촉 (OVERDUE)","계획서 제출 대기"),IF(U89="02-계획서제출_미검토","설계자: 계획서 검토 착수",IF(U89="03-검토중_조건충족","설계자: 승인 처리",IF(U89="04-검토중_조건불만족","보완 요청 → 협력사 재제출 독촉",IF(U89="05-계획서승인","시험편 준비 현황 확인",IF(U89="06-BIW생산중단","BIW 생산팀 확인 → 일정 재수립",IF(U89="07-생산완료_미인수","협력사 인수 독촉",IF(U89="08-단품준비완료","시험 일정 확인",IF(U89="09-시험준비중","시험 진행 모니터링",IF(U89="10-시험완료","결과 보고서 전산 등록 독촉",IF(U89="12-조건부승인검토","조건부 승인 여부 판단 → 관련부서 협의","—")))))))))))))</f>
        <v/>
      </c>
    </row>
    <row r="90">
      <c r="A90" s="5">
        <f>IF(B90="","",ROW()-4)</f>
        <v/>
      </c>
      <c r="B90" s="13" t="n"/>
      <c r="C90" s="14" t="n"/>
      <c r="D90" s="15">
        <f>IF(B90="","",IFERROR(VLOOKUP(C90,'Reference Data 기준데이터'!$E$8:$F$30,2,FALSE),""))</f>
        <v/>
      </c>
      <c r="E90" s="14" t="n"/>
      <c r="F90" s="15">
        <f>IF(B90="","",IFERROR(VLOOKUP(E90,'Reference Data 기준데이터'!$A$8:$F$30,2,FALSE),""))</f>
        <v/>
      </c>
      <c r="G90" s="15">
        <f>IF(B90="","",IFERROR(VLOOKUP(B90&amp;"_"&amp;C90,'Reference Data 기준데이터'!$A$33:$B$51,2,FALSE),""))</f>
        <v/>
      </c>
      <c r="H90" s="16">
        <f>IF(B90="","",IFERROR(VLOOKUP(B90,'Reference Data 기준데이터'!$A$2:$J$5,3,FALSE),""))</f>
        <v/>
      </c>
      <c r="I90" s="16">
        <f>IF(B90="","",IFERROR(H90+VLOOKUP(B90,'Reference Data 기준데이터'!$A$2:$J$5,7,FALSE),""))</f>
        <v/>
      </c>
      <c r="J90" s="20" t="n"/>
      <c r="K90" s="13" t="n"/>
      <c r="L90" s="16">
        <f>IF(B90="","",IFERROR(H90+VLOOKUP(B90,'Reference Data 기준데이터'!$A$2:$J$5,8,FALSE),""))</f>
        <v/>
      </c>
      <c r="M90" s="20" t="n"/>
      <c r="N90" s="16">
        <f>IF(B90="","",IFERROR(IF(ISNUMBER(SEARCH("Vehicle",F90)),MAX(H90+VLOOKUP(B90,'Reference Data 기준데이터'!$A$2:$J$5,9,FALSE),VLOOKUP(B90,'Reference Data 기준데이터'!$A$2:$J$5,4,FALSE)),H90+VLOOKUP(B90,'Reference Data 기준데이터'!$A$2:$J$5,9,FALSE)),""))</f>
        <v/>
      </c>
      <c r="O90" s="20" t="n"/>
      <c r="P90" s="16">
        <f>IF(B90="","",IFERROR(N90+VLOOKUP(E90,'Reference Data 기준데이터'!$A$8:$F$30,4,FALSE),""))</f>
        <v/>
      </c>
      <c r="Q90" s="20" t="n"/>
      <c r="R90" s="16">
        <f>IF(B90="","",IFERROR(MIN(H90+VLOOKUP(B90,'Reference Data 기준데이터'!$A$2:$J$5,10,FALSE),VLOOKUP(B90,'Reference Data 기준데이터'!$A$2:$J$5,6,FALSE)),""))</f>
        <v/>
      </c>
      <c r="S90" s="20" t="n"/>
      <c r="T90" s="13" t="n"/>
      <c r="U90" s="17">
        <f>IF(B90="","",IF(T90&lt;&gt;"",T90,IF(AND(S90&lt;&gt;"",Q90&lt;&gt;""),"11-결과등록완료",IF(AND(Q90&lt;&gt;"",S90=""),"10-시험완료",IF(AND(O90&lt;&gt;"",Q90=""),"09-시험준비중",IF(AND(M90&lt;&gt;"",O90=""),"08-단품준비완료",IF(K90="Approved","05-계획서승인",IF(K90="Revision Needed","04-검토중_조건불만족",IF(K90="Under Review","03-검토중_조건충족",IF(AND(J90&lt;&gt;"",K90=""),"02-계획서제출_미검토","01-계획서미제출"))))))))))</f>
        <v/>
      </c>
      <c r="V90" s="18">
        <f>IF(B90="","",IFS(U90="01-계획서미제출",0,U90="02-계획서제출_미검토",0.05,U90="03-검토중_조건충족",0.1,U90="04-검토중_조건불만족",0.05,U90="05-계획서승인",0.2,U90="06-BIW생산중단",0.15,U90="07-생산완료_미인수",0.3,U90="08-단품준비완료",0.4,U90="09-시험준비중",0.55,U90="10-시험완료",0.85,U90="11-결과등록완료",1,U90="12-조건부승인검토",0.9,TRUE,0))</f>
        <v/>
      </c>
      <c r="W90" s="5">
        <f>IF(B90="","",IF(S90&lt;&gt;"","-",IF(R90="","N/A",R90-TODAY())))</f>
        <v/>
      </c>
      <c r="X90" s="17">
        <f>IF(B90="","",IF(U90="11-결과등록완료","DONE",IF(OR(U90="06-BIW생산중단",AND(U90="01-계획서미제출",I90&lt;TODAY())),"CRITICAL",IF(OR(U90="04-검토중_조건불만족",U90="07-생산완료_미인수",U90="12-조건부승인검토"),"ACTION",IF(AND(ISNUMBER(W90),W90&lt;=0),"OVERDUE",IF(AND(ISNUMBER(W90),W90&lt;=14),"WARNING","ON TRACK"))))))</f>
        <v/>
      </c>
      <c r="Y90" s="19">
        <f>IF(B90="","",IF(U90="11-결과등록완료","— 완료",IF(U90="01-계획서미제출",IF(I90&lt;TODAY(),"계획서 제출 독촉 (OVERDUE)","계획서 제출 대기"),IF(U90="02-계획서제출_미검토","설계자: 계획서 검토 착수",IF(U90="03-검토중_조건충족","설계자: 승인 처리",IF(U90="04-검토중_조건불만족","보완 요청 → 협력사 재제출 독촉",IF(U90="05-계획서승인","시험편 준비 현황 확인",IF(U90="06-BIW생산중단","BIW 생산팀 확인 → 일정 재수립",IF(U90="07-생산완료_미인수","협력사 인수 독촉",IF(U90="08-단품준비완료","시험 일정 확인",IF(U90="09-시험준비중","시험 진행 모니터링",IF(U90="10-시험완료","결과 보고서 전산 등록 독촉",IF(U90="12-조건부승인검토","조건부 승인 여부 판단 → 관련부서 협의","—")))))))))))))</f>
        <v/>
      </c>
    </row>
    <row r="91">
      <c r="A91" s="5">
        <f>IF(B91="","",ROW()-4)</f>
        <v/>
      </c>
      <c r="B91" s="13" t="n"/>
      <c r="C91" s="14" t="n"/>
      <c r="D91" s="15">
        <f>IF(B91="","",IFERROR(VLOOKUP(C91,'Reference Data 기준데이터'!$E$8:$F$30,2,FALSE),""))</f>
        <v/>
      </c>
      <c r="E91" s="14" t="n"/>
      <c r="F91" s="15">
        <f>IF(B91="","",IFERROR(VLOOKUP(E91,'Reference Data 기준데이터'!$A$8:$F$30,2,FALSE),""))</f>
        <v/>
      </c>
      <c r="G91" s="15">
        <f>IF(B91="","",IFERROR(VLOOKUP(B91&amp;"_"&amp;C91,'Reference Data 기준데이터'!$A$33:$B$51,2,FALSE),""))</f>
        <v/>
      </c>
      <c r="H91" s="16">
        <f>IF(B91="","",IFERROR(VLOOKUP(B91,'Reference Data 기준데이터'!$A$2:$J$5,3,FALSE),""))</f>
        <v/>
      </c>
      <c r="I91" s="16">
        <f>IF(B91="","",IFERROR(H91+VLOOKUP(B91,'Reference Data 기준데이터'!$A$2:$J$5,7,FALSE),""))</f>
        <v/>
      </c>
      <c r="J91" s="20" t="n"/>
      <c r="K91" s="13" t="n"/>
      <c r="L91" s="16">
        <f>IF(B91="","",IFERROR(H91+VLOOKUP(B91,'Reference Data 기준데이터'!$A$2:$J$5,8,FALSE),""))</f>
        <v/>
      </c>
      <c r="M91" s="20" t="n"/>
      <c r="N91" s="16">
        <f>IF(B91="","",IFERROR(IF(ISNUMBER(SEARCH("Vehicle",F91)),MAX(H91+VLOOKUP(B91,'Reference Data 기준데이터'!$A$2:$J$5,9,FALSE),VLOOKUP(B91,'Reference Data 기준데이터'!$A$2:$J$5,4,FALSE)),H91+VLOOKUP(B91,'Reference Data 기준데이터'!$A$2:$J$5,9,FALSE)),""))</f>
        <v/>
      </c>
      <c r="O91" s="20" t="n"/>
      <c r="P91" s="16">
        <f>IF(B91="","",IFERROR(N91+VLOOKUP(E91,'Reference Data 기준데이터'!$A$8:$F$30,4,FALSE),""))</f>
        <v/>
      </c>
      <c r="Q91" s="20" t="n"/>
      <c r="R91" s="16">
        <f>IF(B91="","",IFERROR(MIN(H91+VLOOKUP(B91,'Reference Data 기준데이터'!$A$2:$J$5,10,FALSE),VLOOKUP(B91,'Reference Data 기준데이터'!$A$2:$J$5,6,FALSE)),""))</f>
        <v/>
      </c>
      <c r="S91" s="20" t="n"/>
      <c r="T91" s="13" t="n"/>
      <c r="U91" s="17">
        <f>IF(B91="","",IF(T91&lt;&gt;"",T91,IF(AND(S91&lt;&gt;"",Q91&lt;&gt;""),"11-결과등록완료",IF(AND(Q91&lt;&gt;"",S91=""),"10-시험완료",IF(AND(O91&lt;&gt;"",Q91=""),"09-시험준비중",IF(AND(M91&lt;&gt;"",O91=""),"08-단품준비완료",IF(K91="Approved","05-계획서승인",IF(K91="Revision Needed","04-검토중_조건불만족",IF(K91="Under Review","03-검토중_조건충족",IF(AND(J91&lt;&gt;"",K91=""),"02-계획서제출_미검토","01-계획서미제출"))))))))))</f>
        <v/>
      </c>
      <c r="V91" s="18">
        <f>IF(B91="","",IFS(U91="01-계획서미제출",0,U91="02-계획서제출_미검토",0.05,U91="03-검토중_조건충족",0.1,U91="04-검토중_조건불만족",0.05,U91="05-계획서승인",0.2,U91="06-BIW생산중단",0.15,U91="07-생산완료_미인수",0.3,U91="08-단품준비완료",0.4,U91="09-시험준비중",0.55,U91="10-시험완료",0.85,U91="11-결과등록완료",1,U91="12-조건부승인검토",0.9,TRUE,0))</f>
        <v/>
      </c>
      <c r="W91" s="5">
        <f>IF(B91="","",IF(S91&lt;&gt;"","-",IF(R91="","N/A",R91-TODAY())))</f>
        <v/>
      </c>
      <c r="X91" s="17">
        <f>IF(B91="","",IF(U91="11-결과등록완료","DONE",IF(OR(U91="06-BIW생산중단",AND(U91="01-계획서미제출",I91&lt;TODAY())),"CRITICAL",IF(OR(U91="04-검토중_조건불만족",U91="07-생산완료_미인수",U91="12-조건부승인검토"),"ACTION",IF(AND(ISNUMBER(W91),W91&lt;=0),"OVERDUE",IF(AND(ISNUMBER(W91),W91&lt;=14),"WARNING","ON TRACK"))))))</f>
        <v/>
      </c>
      <c r="Y91" s="19">
        <f>IF(B91="","",IF(U91="11-결과등록완료","— 완료",IF(U91="01-계획서미제출",IF(I91&lt;TODAY(),"계획서 제출 독촉 (OVERDUE)","계획서 제출 대기"),IF(U91="02-계획서제출_미검토","설계자: 계획서 검토 착수",IF(U91="03-검토중_조건충족","설계자: 승인 처리",IF(U91="04-검토중_조건불만족","보완 요청 → 협력사 재제출 독촉",IF(U91="05-계획서승인","시험편 준비 현황 확인",IF(U91="06-BIW생산중단","BIW 생산팀 확인 → 일정 재수립",IF(U91="07-생산완료_미인수","협력사 인수 독촉",IF(U91="08-단품준비완료","시험 일정 확인",IF(U91="09-시험준비중","시험 진행 모니터링",IF(U91="10-시험완료","결과 보고서 전산 등록 독촉",IF(U91="12-조건부승인검토","조건부 승인 여부 판단 → 관련부서 협의","—")))))))))))))</f>
        <v/>
      </c>
    </row>
    <row r="92">
      <c r="A92" s="5">
        <f>IF(B92="","",ROW()-4)</f>
        <v/>
      </c>
      <c r="B92" s="13" t="n"/>
      <c r="C92" s="14" t="n"/>
      <c r="D92" s="15">
        <f>IF(B92="","",IFERROR(VLOOKUP(C92,'Reference Data 기준데이터'!$E$8:$F$30,2,FALSE),""))</f>
        <v/>
      </c>
      <c r="E92" s="14" t="n"/>
      <c r="F92" s="15">
        <f>IF(B92="","",IFERROR(VLOOKUP(E92,'Reference Data 기준데이터'!$A$8:$F$30,2,FALSE),""))</f>
        <v/>
      </c>
      <c r="G92" s="15">
        <f>IF(B92="","",IFERROR(VLOOKUP(B92&amp;"_"&amp;C92,'Reference Data 기준데이터'!$A$33:$B$51,2,FALSE),""))</f>
        <v/>
      </c>
      <c r="H92" s="16">
        <f>IF(B92="","",IFERROR(VLOOKUP(B92,'Reference Data 기준데이터'!$A$2:$J$5,3,FALSE),""))</f>
        <v/>
      </c>
      <c r="I92" s="16">
        <f>IF(B92="","",IFERROR(H92+VLOOKUP(B92,'Reference Data 기준데이터'!$A$2:$J$5,7,FALSE),""))</f>
        <v/>
      </c>
      <c r="J92" s="20" t="n"/>
      <c r="K92" s="13" t="n"/>
      <c r="L92" s="16">
        <f>IF(B92="","",IFERROR(H92+VLOOKUP(B92,'Reference Data 기준데이터'!$A$2:$J$5,8,FALSE),""))</f>
        <v/>
      </c>
      <c r="M92" s="20" t="n"/>
      <c r="N92" s="16">
        <f>IF(B92="","",IFERROR(IF(ISNUMBER(SEARCH("Vehicle",F92)),MAX(H92+VLOOKUP(B92,'Reference Data 기준데이터'!$A$2:$J$5,9,FALSE),VLOOKUP(B92,'Reference Data 기준데이터'!$A$2:$J$5,4,FALSE)),H92+VLOOKUP(B92,'Reference Data 기준데이터'!$A$2:$J$5,9,FALSE)),""))</f>
        <v/>
      </c>
      <c r="O92" s="20" t="n"/>
      <c r="P92" s="16">
        <f>IF(B92="","",IFERROR(N92+VLOOKUP(E92,'Reference Data 기준데이터'!$A$8:$F$30,4,FALSE),""))</f>
        <v/>
      </c>
      <c r="Q92" s="20" t="n"/>
      <c r="R92" s="16">
        <f>IF(B92="","",IFERROR(MIN(H92+VLOOKUP(B92,'Reference Data 기준데이터'!$A$2:$J$5,10,FALSE),VLOOKUP(B92,'Reference Data 기준데이터'!$A$2:$J$5,6,FALSE)),""))</f>
        <v/>
      </c>
      <c r="S92" s="20" t="n"/>
      <c r="T92" s="13" t="n"/>
      <c r="U92" s="17">
        <f>IF(B92="","",IF(T92&lt;&gt;"",T92,IF(AND(S92&lt;&gt;"",Q92&lt;&gt;""),"11-결과등록완료",IF(AND(Q92&lt;&gt;"",S92=""),"10-시험완료",IF(AND(O92&lt;&gt;"",Q92=""),"09-시험준비중",IF(AND(M92&lt;&gt;"",O92=""),"08-단품준비완료",IF(K92="Approved","05-계획서승인",IF(K92="Revision Needed","04-검토중_조건불만족",IF(K92="Under Review","03-검토중_조건충족",IF(AND(J92&lt;&gt;"",K92=""),"02-계획서제출_미검토","01-계획서미제출"))))))))))</f>
        <v/>
      </c>
      <c r="V92" s="18">
        <f>IF(B92="","",IFS(U92="01-계획서미제출",0,U92="02-계획서제출_미검토",0.05,U92="03-검토중_조건충족",0.1,U92="04-검토중_조건불만족",0.05,U92="05-계획서승인",0.2,U92="06-BIW생산중단",0.15,U92="07-생산완료_미인수",0.3,U92="08-단품준비완료",0.4,U92="09-시험준비중",0.55,U92="10-시험완료",0.85,U92="11-결과등록완료",1,U92="12-조건부승인검토",0.9,TRUE,0))</f>
        <v/>
      </c>
      <c r="W92" s="5">
        <f>IF(B92="","",IF(S92&lt;&gt;"","-",IF(R92="","N/A",R92-TODAY())))</f>
        <v/>
      </c>
      <c r="X92" s="17">
        <f>IF(B92="","",IF(U92="11-결과등록완료","DONE",IF(OR(U92="06-BIW생산중단",AND(U92="01-계획서미제출",I92&lt;TODAY())),"CRITICAL",IF(OR(U92="04-검토중_조건불만족",U92="07-생산완료_미인수",U92="12-조건부승인검토"),"ACTION",IF(AND(ISNUMBER(W92),W92&lt;=0),"OVERDUE",IF(AND(ISNUMBER(W92),W92&lt;=14),"WARNING","ON TRACK"))))))</f>
        <v/>
      </c>
      <c r="Y92" s="19">
        <f>IF(B92="","",IF(U92="11-결과등록완료","— 완료",IF(U92="01-계획서미제출",IF(I92&lt;TODAY(),"계획서 제출 독촉 (OVERDUE)","계획서 제출 대기"),IF(U92="02-계획서제출_미검토","설계자: 계획서 검토 착수",IF(U92="03-검토중_조건충족","설계자: 승인 처리",IF(U92="04-검토중_조건불만족","보완 요청 → 협력사 재제출 독촉",IF(U92="05-계획서승인","시험편 준비 현황 확인",IF(U92="06-BIW생산중단","BIW 생산팀 확인 → 일정 재수립",IF(U92="07-생산완료_미인수","협력사 인수 독촉",IF(U92="08-단품준비완료","시험 일정 확인",IF(U92="09-시험준비중","시험 진행 모니터링",IF(U92="10-시험완료","결과 보고서 전산 등록 독촉",IF(U92="12-조건부승인검토","조건부 승인 여부 판단 → 관련부서 협의","—")))))))))))))</f>
        <v/>
      </c>
    </row>
    <row r="93">
      <c r="A93" s="5">
        <f>IF(B93="","",ROW()-4)</f>
        <v/>
      </c>
      <c r="B93" s="13" t="n"/>
      <c r="C93" s="14" t="n"/>
      <c r="D93" s="15">
        <f>IF(B93="","",IFERROR(VLOOKUP(C93,'Reference Data 기준데이터'!$E$8:$F$30,2,FALSE),""))</f>
        <v/>
      </c>
      <c r="E93" s="14" t="n"/>
      <c r="F93" s="15">
        <f>IF(B93="","",IFERROR(VLOOKUP(E93,'Reference Data 기준데이터'!$A$8:$F$30,2,FALSE),""))</f>
        <v/>
      </c>
      <c r="G93" s="15">
        <f>IF(B93="","",IFERROR(VLOOKUP(B93&amp;"_"&amp;C93,'Reference Data 기준데이터'!$A$33:$B$51,2,FALSE),""))</f>
        <v/>
      </c>
      <c r="H93" s="16">
        <f>IF(B93="","",IFERROR(VLOOKUP(B93,'Reference Data 기준데이터'!$A$2:$J$5,3,FALSE),""))</f>
        <v/>
      </c>
      <c r="I93" s="16">
        <f>IF(B93="","",IFERROR(H93+VLOOKUP(B93,'Reference Data 기준데이터'!$A$2:$J$5,7,FALSE),""))</f>
        <v/>
      </c>
      <c r="J93" s="20" t="n"/>
      <c r="K93" s="13" t="n"/>
      <c r="L93" s="16">
        <f>IF(B93="","",IFERROR(H93+VLOOKUP(B93,'Reference Data 기준데이터'!$A$2:$J$5,8,FALSE),""))</f>
        <v/>
      </c>
      <c r="M93" s="20" t="n"/>
      <c r="N93" s="16">
        <f>IF(B93="","",IFERROR(IF(ISNUMBER(SEARCH("Vehicle",F93)),MAX(H93+VLOOKUP(B93,'Reference Data 기준데이터'!$A$2:$J$5,9,FALSE),VLOOKUP(B93,'Reference Data 기준데이터'!$A$2:$J$5,4,FALSE)),H93+VLOOKUP(B93,'Reference Data 기준데이터'!$A$2:$J$5,9,FALSE)),""))</f>
        <v/>
      </c>
      <c r="O93" s="20" t="n"/>
      <c r="P93" s="16">
        <f>IF(B93="","",IFERROR(N93+VLOOKUP(E93,'Reference Data 기준데이터'!$A$8:$F$30,4,FALSE),""))</f>
        <v/>
      </c>
      <c r="Q93" s="20" t="n"/>
      <c r="R93" s="16">
        <f>IF(B93="","",IFERROR(MIN(H93+VLOOKUP(B93,'Reference Data 기준데이터'!$A$2:$J$5,10,FALSE),VLOOKUP(B93,'Reference Data 기준데이터'!$A$2:$J$5,6,FALSE)),""))</f>
        <v/>
      </c>
      <c r="S93" s="20" t="n"/>
      <c r="T93" s="13" t="n"/>
      <c r="U93" s="17">
        <f>IF(B93="","",IF(T93&lt;&gt;"",T93,IF(AND(S93&lt;&gt;"",Q93&lt;&gt;""),"11-결과등록완료",IF(AND(Q93&lt;&gt;"",S93=""),"10-시험완료",IF(AND(O93&lt;&gt;"",Q93=""),"09-시험준비중",IF(AND(M93&lt;&gt;"",O93=""),"08-단품준비완료",IF(K93="Approved","05-계획서승인",IF(K93="Revision Needed","04-검토중_조건불만족",IF(K93="Under Review","03-검토중_조건충족",IF(AND(J93&lt;&gt;"",K93=""),"02-계획서제출_미검토","01-계획서미제출"))))))))))</f>
        <v/>
      </c>
      <c r="V93" s="18">
        <f>IF(B93="","",IFS(U93="01-계획서미제출",0,U93="02-계획서제출_미검토",0.05,U93="03-검토중_조건충족",0.1,U93="04-검토중_조건불만족",0.05,U93="05-계획서승인",0.2,U93="06-BIW생산중단",0.15,U93="07-생산완료_미인수",0.3,U93="08-단품준비완료",0.4,U93="09-시험준비중",0.55,U93="10-시험완료",0.85,U93="11-결과등록완료",1,U93="12-조건부승인검토",0.9,TRUE,0))</f>
        <v/>
      </c>
      <c r="W93" s="5">
        <f>IF(B93="","",IF(S93&lt;&gt;"","-",IF(R93="","N/A",R93-TODAY())))</f>
        <v/>
      </c>
      <c r="X93" s="17">
        <f>IF(B93="","",IF(U93="11-결과등록완료","DONE",IF(OR(U93="06-BIW생산중단",AND(U93="01-계획서미제출",I93&lt;TODAY())),"CRITICAL",IF(OR(U93="04-검토중_조건불만족",U93="07-생산완료_미인수",U93="12-조건부승인검토"),"ACTION",IF(AND(ISNUMBER(W93),W93&lt;=0),"OVERDUE",IF(AND(ISNUMBER(W93),W93&lt;=14),"WARNING","ON TRACK"))))))</f>
        <v/>
      </c>
      <c r="Y93" s="19">
        <f>IF(B93="","",IF(U93="11-결과등록완료","— 완료",IF(U93="01-계획서미제출",IF(I93&lt;TODAY(),"계획서 제출 독촉 (OVERDUE)","계획서 제출 대기"),IF(U93="02-계획서제출_미검토","설계자: 계획서 검토 착수",IF(U93="03-검토중_조건충족","설계자: 승인 처리",IF(U93="04-검토중_조건불만족","보완 요청 → 협력사 재제출 독촉",IF(U93="05-계획서승인","시험편 준비 현황 확인",IF(U93="06-BIW생산중단","BIW 생산팀 확인 → 일정 재수립",IF(U93="07-생산완료_미인수","협력사 인수 독촉",IF(U93="08-단품준비완료","시험 일정 확인",IF(U93="09-시험준비중","시험 진행 모니터링",IF(U93="10-시험완료","결과 보고서 전산 등록 독촉",IF(U93="12-조건부승인검토","조건부 승인 여부 판단 → 관련부서 협의","—")))))))))))))</f>
        <v/>
      </c>
    </row>
    <row r="94">
      <c r="A94" s="5">
        <f>IF(B94="","",ROW()-4)</f>
        <v/>
      </c>
      <c r="B94" s="13" t="n"/>
      <c r="C94" s="14" t="n"/>
      <c r="D94" s="15">
        <f>IF(B94="","",IFERROR(VLOOKUP(C94,'Reference Data 기준데이터'!$E$8:$F$30,2,FALSE),""))</f>
        <v/>
      </c>
      <c r="E94" s="14" t="n"/>
      <c r="F94" s="15">
        <f>IF(B94="","",IFERROR(VLOOKUP(E94,'Reference Data 기준데이터'!$A$8:$F$30,2,FALSE),""))</f>
        <v/>
      </c>
      <c r="G94" s="15">
        <f>IF(B94="","",IFERROR(VLOOKUP(B94&amp;"_"&amp;C94,'Reference Data 기준데이터'!$A$33:$B$51,2,FALSE),""))</f>
        <v/>
      </c>
      <c r="H94" s="16">
        <f>IF(B94="","",IFERROR(VLOOKUP(B94,'Reference Data 기준데이터'!$A$2:$J$5,3,FALSE),""))</f>
        <v/>
      </c>
      <c r="I94" s="16">
        <f>IF(B94="","",IFERROR(H94+VLOOKUP(B94,'Reference Data 기준데이터'!$A$2:$J$5,7,FALSE),""))</f>
        <v/>
      </c>
      <c r="J94" s="20" t="n"/>
      <c r="K94" s="13" t="n"/>
      <c r="L94" s="16">
        <f>IF(B94="","",IFERROR(H94+VLOOKUP(B94,'Reference Data 기준데이터'!$A$2:$J$5,8,FALSE),""))</f>
        <v/>
      </c>
      <c r="M94" s="20" t="n"/>
      <c r="N94" s="16">
        <f>IF(B94="","",IFERROR(IF(ISNUMBER(SEARCH("Vehicle",F94)),MAX(H94+VLOOKUP(B94,'Reference Data 기준데이터'!$A$2:$J$5,9,FALSE),VLOOKUP(B94,'Reference Data 기준데이터'!$A$2:$J$5,4,FALSE)),H94+VLOOKUP(B94,'Reference Data 기준데이터'!$A$2:$J$5,9,FALSE)),""))</f>
        <v/>
      </c>
      <c r="O94" s="20" t="n"/>
      <c r="P94" s="16">
        <f>IF(B94="","",IFERROR(N94+VLOOKUP(E94,'Reference Data 기준데이터'!$A$8:$F$30,4,FALSE),""))</f>
        <v/>
      </c>
      <c r="Q94" s="20" t="n"/>
      <c r="R94" s="16">
        <f>IF(B94="","",IFERROR(MIN(H94+VLOOKUP(B94,'Reference Data 기준데이터'!$A$2:$J$5,10,FALSE),VLOOKUP(B94,'Reference Data 기준데이터'!$A$2:$J$5,6,FALSE)),""))</f>
        <v/>
      </c>
      <c r="S94" s="20" t="n"/>
      <c r="T94" s="13" t="n"/>
      <c r="U94" s="17">
        <f>IF(B94="","",IF(T94&lt;&gt;"",T94,IF(AND(S94&lt;&gt;"",Q94&lt;&gt;""),"11-결과등록완료",IF(AND(Q94&lt;&gt;"",S94=""),"10-시험완료",IF(AND(O94&lt;&gt;"",Q94=""),"09-시험준비중",IF(AND(M94&lt;&gt;"",O94=""),"08-단품준비완료",IF(K94="Approved","05-계획서승인",IF(K94="Revision Needed","04-검토중_조건불만족",IF(K94="Under Review","03-검토중_조건충족",IF(AND(J94&lt;&gt;"",K94=""),"02-계획서제출_미검토","01-계획서미제출"))))))))))</f>
        <v/>
      </c>
      <c r="V94" s="18">
        <f>IF(B94="","",IFS(U94="01-계획서미제출",0,U94="02-계획서제출_미검토",0.05,U94="03-검토중_조건충족",0.1,U94="04-검토중_조건불만족",0.05,U94="05-계획서승인",0.2,U94="06-BIW생산중단",0.15,U94="07-생산완료_미인수",0.3,U94="08-단품준비완료",0.4,U94="09-시험준비중",0.55,U94="10-시험완료",0.85,U94="11-결과등록완료",1,U94="12-조건부승인검토",0.9,TRUE,0))</f>
        <v/>
      </c>
      <c r="W94" s="5">
        <f>IF(B94="","",IF(S94&lt;&gt;"","-",IF(R94="","N/A",R94-TODAY())))</f>
        <v/>
      </c>
      <c r="X94" s="17">
        <f>IF(B94="","",IF(U94="11-결과등록완료","DONE",IF(OR(U94="06-BIW생산중단",AND(U94="01-계획서미제출",I94&lt;TODAY())),"CRITICAL",IF(OR(U94="04-검토중_조건불만족",U94="07-생산완료_미인수",U94="12-조건부승인검토"),"ACTION",IF(AND(ISNUMBER(W94),W94&lt;=0),"OVERDUE",IF(AND(ISNUMBER(W94),W94&lt;=14),"WARNING","ON TRACK"))))))</f>
        <v/>
      </c>
      <c r="Y94" s="19">
        <f>IF(B94="","",IF(U94="11-결과등록완료","— 완료",IF(U94="01-계획서미제출",IF(I94&lt;TODAY(),"계획서 제출 독촉 (OVERDUE)","계획서 제출 대기"),IF(U94="02-계획서제출_미검토","설계자: 계획서 검토 착수",IF(U94="03-검토중_조건충족","설계자: 승인 처리",IF(U94="04-검토중_조건불만족","보완 요청 → 협력사 재제출 독촉",IF(U94="05-계획서승인","시험편 준비 현황 확인",IF(U94="06-BIW생산중단","BIW 생산팀 확인 → 일정 재수립",IF(U94="07-생산완료_미인수","협력사 인수 독촉",IF(U94="08-단품준비완료","시험 일정 확인",IF(U94="09-시험준비중","시험 진행 모니터링",IF(U94="10-시험완료","결과 보고서 전산 등록 독촉",IF(U94="12-조건부승인검토","조건부 승인 여부 판단 → 관련부서 협의","—")))))))))))))</f>
        <v/>
      </c>
    </row>
    <row r="95">
      <c r="A95" s="5">
        <f>IF(B95="","",ROW()-4)</f>
        <v/>
      </c>
      <c r="B95" s="13" t="n"/>
      <c r="C95" s="14" t="n"/>
      <c r="D95" s="15">
        <f>IF(B95="","",IFERROR(VLOOKUP(C95,'Reference Data 기준데이터'!$E$8:$F$30,2,FALSE),""))</f>
        <v/>
      </c>
      <c r="E95" s="14" t="n"/>
      <c r="F95" s="15">
        <f>IF(B95="","",IFERROR(VLOOKUP(E95,'Reference Data 기준데이터'!$A$8:$F$30,2,FALSE),""))</f>
        <v/>
      </c>
      <c r="G95" s="15">
        <f>IF(B95="","",IFERROR(VLOOKUP(B95&amp;"_"&amp;C95,'Reference Data 기준데이터'!$A$33:$B$51,2,FALSE),""))</f>
        <v/>
      </c>
      <c r="H95" s="16">
        <f>IF(B95="","",IFERROR(VLOOKUP(B95,'Reference Data 기준데이터'!$A$2:$J$5,3,FALSE),""))</f>
        <v/>
      </c>
      <c r="I95" s="16">
        <f>IF(B95="","",IFERROR(H95+VLOOKUP(B95,'Reference Data 기준데이터'!$A$2:$J$5,7,FALSE),""))</f>
        <v/>
      </c>
      <c r="J95" s="20" t="n"/>
      <c r="K95" s="13" t="n"/>
      <c r="L95" s="16">
        <f>IF(B95="","",IFERROR(H95+VLOOKUP(B95,'Reference Data 기준데이터'!$A$2:$J$5,8,FALSE),""))</f>
        <v/>
      </c>
      <c r="M95" s="20" t="n"/>
      <c r="N95" s="16">
        <f>IF(B95="","",IFERROR(IF(ISNUMBER(SEARCH("Vehicle",F95)),MAX(H95+VLOOKUP(B95,'Reference Data 기준데이터'!$A$2:$J$5,9,FALSE),VLOOKUP(B95,'Reference Data 기준데이터'!$A$2:$J$5,4,FALSE)),H95+VLOOKUP(B95,'Reference Data 기준데이터'!$A$2:$J$5,9,FALSE)),""))</f>
        <v/>
      </c>
      <c r="O95" s="20" t="n"/>
      <c r="P95" s="16">
        <f>IF(B95="","",IFERROR(N95+VLOOKUP(E95,'Reference Data 기준데이터'!$A$8:$F$30,4,FALSE),""))</f>
        <v/>
      </c>
      <c r="Q95" s="20" t="n"/>
      <c r="R95" s="16">
        <f>IF(B95="","",IFERROR(MIN(H95+VLOOKUP(B95,'Reference Data 기준데이터'!$A$2:$J$5,10,FALSE),VLOOKUP(B95,'Reference Data 기준데이터'!$A$2:$J$5,6,FALSE)),""))</f>
        <v/>
      </c>
      <c r="S95" s="20" t="n"/>
      <c r="T95" s="13" t="n"/>
      <c r="U95" s="17">
        <f>IF(B95="","",IF(T95&lt;&gt;"",T95,IF(AND(S95&lt;&gt;"",Q95&lt;&gt;""),"11-결과등록완료",IF(AND(Q95&lt;&gt;"",S95=""),"10-시험완료",IF(AND(O95&lt;&gt;"",Q95=""),"09-시험준비중",IF(AND(M95&lt;&gt;"",O95=""),"08-단품준비완료",IF(K95="Approved","05-계획서승인",IF(K95="Revision Needed","04-검토중_조건불만족",IF(K95="Under Review","03-검토중_조건충족",IF(AND(J95&lt;&gt;"",K95=""),"02-계획서제출_미검토","01-계획서미제출"))))))))))</f>
        <v/>
      </c>
      <c r="V95" s="18">
        <f>IF(B95="","",IFS(U95="01-계획서미제출",0,U95="02-계획서제출_미검토",0.05,U95="03-검토중_조건충족",0.1,U95="04-검토중_조건불만족",0.05,U95="05-계획서승인",0.2,U95="06-BIW생산중단",0.15,U95="07-생산완료_미인수",0.3,U95="08-단품준비완료",0.4,U95="09-시험준비중",0.55,U95="10-시험완료",0.85,U95="11-결과등록완료",1,U95="12-조건부승인검토",0.9,TRUE,0))</f>
        <v/>
      </c>
      <c r="W95" s="5">
        <f>IF(B95="","",IF(S95&lt;&gt;"","-",IF(R95="","N/A",R95-TODAY())))</f>
        <v/>
      </c>
      <c r="X95" s="17">
        <f>IF(B95="","",IF(U95="11-결과등록완료","DONE",IF(OR(U95="06-BIW생산중단",AND(U95="01-계획서미제출",I95&lt;TODAY())),"CRITICAL",IF(OR(U95="04-검토중_조건불만족",U95="07-생산완료_미인수",U95="12-조건부승인검토"),"ACTION",IF(AND(ISNUMBER(W95),W95&lt;=0),"OVERDUE",IF(AND(ISNUMBER(W95),W95&lt;=14),"WARNING","ON TRACK"))))))</f>
        <v/>
      </c>
      <c r="Y95" s="19">
        <f>IF(B95="","",IF(U95="11-결과등록완료","— 완료",IF(U95="01-계획서미제출",IF(I95&lt;TODAY(),"계획서 제출 독촉 (OVERDUE)","계획서 제출 대기"),IF(U95="02-계획서제출_미검토","설계자: 계획서 검토 착수",IF(U95="03-검토중_조건충족","설계자: 승인 처리",IF(U95="04-검토중_조건불만족","보완 요청 → 협력사 재제출 독촉",IF(U95="05-계획서승인","시험편 준비 현황 확인",IF(U95="06-BIW생산중단","BIW 생산팀 확인 → 일정 재수립",IF(U95="07-생산완료_미인수","협력사 인수 독촉",IF(U95="08-단품준비완료","시험 일정 확인",IF(U95="09-시험준비중","시험 진행 모니터링",IF(U95="10-시험완료","결과 보고서 전산 등록 독촉",IF(U95="12-조건부승인검토","조건부 승인 여부 판단 → 관련부서 협의","—")))))))))))))</f>
        <v/>
      </c>
    </row>
    <row r="96">
      <c r="A96" s="5">
        <f>IF(B96="","",ROW()-4)</f>
        <v/>
      </c>
      <c r="B96" s="13" t="n"/>
      <c r="C96" s="14" t="n"/>
      <c r="D96" s="15">
        <f>IF(B96="","",IFERROR(VLOOKUP(C96,'Reference Data 기준데이터'!$E$8:$F$30,2,FALSE),""))</f>
        <v/>
      </c>
      <c r="E96" s="14" t="n"/>
      <c r="F96" s="15">
        <f>IF(B96="","",IFERROR(VLOOKUP(E96,'Reference Data 기준데이터'!$A$8:$F$30,2,FALSE),""))</f>
        <v/>
      </c>
      <c r="G96" s="15">
        <f>IF(B96="","",IFERROR(VLOOKUP(B96&amp;"_"&amp;C96,'Reference Data 기준데이터'!$A$33:$B$51,2,FALSE),""))</f>
        <v/>
      </c>
      <c r="H96" s="16">
        <f>IF(B96="","",IFERROR(VLOOKUP(B96,'Reference Data 기준데이터'!$A$2:$J$5,3,FALSE),""))</f>
        <v/>
      </c>
      <c r="I96" s="16">
        <f>IF(B96="","",IFERROR(H96+VLOOKUP(B96,'Reference Data 기준데이터'!$A$2:$J$5,7,FALSE),""))</f>
        <v/>
      </c>
      <c r="J96" s="20" t="n"/>
      <c r="K96" s="13" t="n"/>
      <c r="L96" s="16">
        <f>IF(B96="","",IFERROR(H96+VLOOKUP(B96,'Reference Data 기준데이터'!$A$2:$J$5,8,FALSE),""))</f>
        <v/>
      </c>
      <c r="M96" s="20" t="n"/>
      <c r="N96" s="16">
        <f>IF(B96="","",IFERROR(IF(ISNUMBER(SEARCH("Vehicle",F96)),MAX(H96+VLOOKUP(B96,'Reference Data 기준데이터'!$A$2:$J$5,9,FALSE),VLOOKUP(B96,'Reference Data 기준데이터'!$A$2:$J$5,4,FALSE)),H96+VLOOKUP(B96,'Reference Data 기준데이터'!$A$2:$J$5,9,FALSE)),""))</f>
        <v/>
      </c>
      <c r="O96" s="20" t="n"/>
      <c r="P96" s="16">
        <f>IF(B96="","",IFERROR(N96+VLOOKUP(E96,'Reference Data 기준데이터'!$A$8:$F$30,4,FALSE),""))</f>
        <v/>
      </c>
      <c r="Q96" s="20" t="n"/>
      <c r="R96" s="16">
        <f>IF(B96="","",IFERROR(MIN(H96+VLOOKUP(B96,'Reference Data 기준데이터'!$A$2:$J$5,10,FALSE),VLOOKUP(B96,'Reference Data 기준데이터'!$A$2:$J$5,6,FALSE)),""))</f>
        <v/>
      </c>
      <c r="S96" s="20" t="n"/>
      <c r="T96" s="13" t="n"/>
      <c r="U96" s="17">
        <f>IF(B96="","",IF(T96&lt;&gt;"",T96,IF(AND(S96&lt;&gt;"",Q96&lt;&gt;""),"11-결과등록완료",IF(AND(Q96&lt;&gt;"",S96=""),"10-시험완료",IF(AND(O96&lt;&gt;"",Q96=""),"09-시험준비중",IF(AND(M96&lt;&gt;"",O96=""),"08-단품준비완료",IF(K96="Approved","05-계획서승인",IF(K96="Revision Needed","04-검토중_조건불만족",IF(K96="Under Review","03-검토중_조건충족",IF(AND(J96&lt;&gt;"",K96=""),"02-계획서제출_미검토","01-계획서미제출"))))))))))</f>
        <v/>
      </c>
      <c r="V96" s="18">
        <f>IF(B96="","",IFS(U96="01-계획서미제출",0,U96="02-계획서제출_미검토",0.05,U96="03-검토중_조건충족",0.1,U96="04-검토중_조건불만족",0.05,U96="05-계획서승인",0.2,U96="06-BIW생산중단",0.15,U96="07-생산완료_미인수",0.3,U96="08-단품준비완료",0.4,U96="09-시험준비중",0.55,U96="10-시험완료",0.85,U96="11-결과등록완료",1,U96="12-조건부승인검토",0.9,TRUE,0))</f>
        <v/>
      </c>
      <c r="W96" s="5">
        <f>IF(B96="","",IF(S96&lt;&gt;"","-",IF(R96="","N/A",R96-TODAY())))</f>
        <v/>
      </c>
      <c r="X96" s="17">
        <f>IF(B96="","",IF(U96="11-결과등록완료","DONE",IF(OR(U96="06-BIW생산중단",AND(U96="01-계획서미제출",I96&lt;TODAY())),"CRITICAL",IF(OR(U96="04-검토중_조건불만족",U96="07-생산완료_미인수",U96="12-조건부승인검토"),"ACTION",IF(AND(ISNUMBER(W96),W96&lt;=0),"OVERDUE",IF(AND(ISNUMBER(W96),W96&lt;=14),"WARNING","ON TRACK"))))))</f>
        <v/>
      </c>
      <c r="Y96" s="19">
        <f>IF(B96="","",IF(U96="11-결과등록완료","— 완료",IF(U96="01-계획서미제출",IF(I96&lt;TODAY(),"계획서 제출 독촉 (OVERDUE)","계획서 제출 대기"),IF(U96="02-계획서제출_미검토","설계자: 계획서 검토 착수",IF(U96="03-검토중_조건충족","설계자: 승인 처리",IF(U96="04-검토중_조건불만족","보완 요청 → 협력사 재제출 독촉",IF(U96="05-계획서승인","시험편 준비 현황 확인",IF(U96="06-BIW생산중단","BIW 생산팀 확인 → 일정 재수립",IF(U96="07-생산완료_미인수","협력사 인수 독촉",IF(U96="08-단품준비완료","시험 일정 확인",IF(U96="09-시험준비중","시험 진행 모니터링",IF(U96="10-시험완료","결과 보고서 전산 등록 독촉",IF(U96="12-조건부승인검토","조건부 승인 여부 판단 → 관련부서 협의","—")))))))))))))</f>
        <v/>
      </c>
    </row>
    <row r="97">
      <c r="A97" s="5">
        <f>IF(B97="","",ROW()-4)</f>
        <v/>
      </c>
      <c r="B97" s="13" t="n"/>
      <c r="C97" s="14" t="n"/>
      <c r="D97" s="15">
        <f>IF(B97="","",IFERROR(VLOOKUP(C97,'Reference Data 기준데이터'!$E$8:$F$30,2,FALSE),""))</f>
        <v/>
      </c>
      <c r="E97" s="14" t="n"/>
      <c r="F97" s="15">
        <f>IF(B97="","",IFERROR(VLOOKUP(E97,'Reference Data 기준데이터'!$A$8:$F$30,2,FALSE),""))</f>
        <v/>
      </c>
      <c r="G97" s="15">
        <f>IF(B97="","",IFERROR(VLOOKUP(B97&amp;"_"&amp;C97,'Reference Data 기준데이터'!$A$33:$B$51,2,FALSE),""))</f>
        <v/>
      </c>
      <c r="H97" s="16">
        <f>IF(B97="","",IFERROR(VLOOKUP(B97,'Reference Data 기준데이터'!$A$2:$J$5,3,FALSE),""))</f>
        <v/>
      </c>
      <c r="I97" s="16">
        <f>IF(B97="","",IFERROR(H97+VLOOKUP(B97,'Reference Data 기준데이터'!$A$2:$J$5,7,FALSE),""))</f>
        <v/>
      </c>
      <c r="J97" s="20" t="n"/>
      <c r="K97" s="13" t="n"/>
      <c r="L97" s="16">
        <f>IF(B97="","",IFERROR(H97+VLOOKUP(B97,'Reference Data 기준데이터'!$A$2:$J$5,8,FALSE),""))</f>
        <v/>
      </c>
      <c r="M97" s="20" t="n"/>
      <c r="N97" s="16">
        <f>IF(B97="","",IFERROR(IF(ISNUMBER(SEARCH("Vehicle",F97)),MAX(H97+VLOOKUP(B97,'Reference Data 기준데이터'!$A$2:$J$5,9,FALSE),VLOOKUP(B97,'Reference Data 기준데이터'!$A$2:$J$5,4,FALSE)),H97+VLOOKUP(B97,'Reference Data 기준데이터'!$A$2:$J$5,9,FALSE)),""))</f>
        <v/>
      </c>
      <c r="O97" s="20" t="n"/>
      <c r="P97" s="16">
        <f>IF(B97="","",IFERROR(N97+VLOOKUP(E97,'Reference Data 기준데이터'!$A$8:$F$30,4,FALSE),""))</f>
        <v/>
      </c>
      <c r="Q97" s="20" t="n"/>
      <c r="R97" s="16">
        <f>IF(B97="","",IFERROR(MIN(H97+VLOOKUP(B97,'Reference Data 기준데이터'!$A$2:$J$5,10,FALSE),VLOOKUP(B97,'Reference Data 기준데이터'!$A$2:$J$5,6,FALSE)),""))</f>
        <v/>
      </c>
      <c r="S97" s="20" t="n"/>
      <c r="T97" s="13" t="n"/>
      <c r="U97" s="17">
        <f>IF(B97="","",IF(T97&lt;&gt;"",T97,IF(AND(S97&lt;&gt;"",Q97&lt;&gt;""),"11-결과등록완료",IF(AND(Q97&lt;&gt;"",S97=""),"10-시험완료",IF(AND(O97&lt;&gt;"",Q97=""),"09-시험준비중",IF(AND(M97&lt;&gt;"",O97=""),"08-단품준비완료",IF(K97="Approved","05-계획서승인",IF(K97="Revision Needed","04-검토중_조건불만족",IF(K97="Under Review","03-검토중_조건충족",IF(AND(J97&lt;&gt;"",K97=""),"02-계획서제출_미검토","01-계획서미제출"))))))))))</f>
        <v/>
      </c>
      <c r="V97" s="18">
        <f>IF(B97="","",IFS(U97="01-계획서미제출",0,U97="02-계획서제출_미검토",0.05,U97="03-검토중_조건충족",0.1,U97="04-검토중_조건불만족",0.05,U97="05-계획서승인",0.2,U97="06-BIW생산중단",0.15,U97="07-생산완료_미인수",0.3,U97="08-단품준비완료",0.4,U97="09-시험준비중",0.55,U97="10-시험완료",0.85,U97="11-결과등록완료",1,U97="12-조건부승인검토",0.9,TRUE,0))</f>
        <v/>
      </c>
      <c r="W97" s="5">
        <f>IF(B97="","",IF(S97&lt;&gt;"","-",IF(R97="","N/A",R97-TODAY())))</f>
        <v/>
      </c>
      <c r="X97" s="17">
        <f>IF(B97="","",IF(U97="11-결과등록완료","DONE",IF(OR(U97="06-BIW생산중단",AND(U97="01-계획서미제출",I97&lt;TODAY())),"CRITICAL",IF(OR(U97="04-검토중_조건불만족",U97="07-생산완료_미인수",U97="12-조건부승인검토"),"ACTION",IF(AND(ISNUMBER(W97),W97&lt;=0),"OVERDUE",IF(AND(ISNUMBER(W97),W97&lt;=14),"WARNING","ON TRACK"))))))</f>
        <v/>
      </c>
      <c r="Y97" s="19">
        <f>IF(B97="","",IF(U97="11-결과등록완료","— 완료",IF(U97="01-계획서미제출",IF(I97&lt;TODAY(),"계획서 제출 독촉 (OVERDUE)","계획서 제출 대기"),IF(U97="02-계획서제출_미검토","설계자: 계획서 검토 착수",IF(U97="03-검토중_조건충족","설계자: 승인 처리",IF(U97="04-검토중_조건불만족","보완 요청 → 협력사 재제출 독촉",IF(U97="05-계획서승인","시험편 준비 현황 확인",IF(U97="06-BIW생산중단","BIW 생산팀 확인 → 일정 재수립",IF(U97="07-생산완료_미인수","협력사 인수 독촉",IF(U97="08-단품준비완료","시험 일정 확인",IF(U97="09-시험준비중","시험 진행 모니터링",IF(U97="10-시험완료","결과 보고서 전산 등록 독촉",IF(U97="12-조건부승인검토","조건부 승인 여부 판단 → 관련부서 협의","—")))))))))))))</f>
        <v/>
      </c>
    </row>
    <row r="98">
      <c r="A98" s="5">
        <f>IF(B98="","",ROW()-4)</f>
        <v/>
      </c>
      <c r="B98" s="13" t="n"/>
      <c r="C98" s="14" t="n"/>
      <c r="D98" s="15">
        <f>IF(B98="","",IFERROR(VLOOKUP(C98,'Reference Data 기준데이터'!$E$8:$F$30,2,FALSE),""))</f>
        <v/>
      </c>
      <c r="E98" s="14" t="n"/>
      <c r="F98" s="15">
        <f>IF(B98="","",IFERROR(VLOOKUP(E98,'Reference Data 기준데이터'!$A$8:$F$30,2,FALSE),""))</f>
        <v/>
      </c>
      <c r="G98" s="15">
        <f>IF(B98="","",IFERROR(VLOOKUP(B98&amp;"_"&amp;C98,'Reference Data 기준데이터'!$A$33:$B$51,2,FALSE),""))</f>
        <v/>
      </c>
      <c r="H98" s="16">
        <f>IF(B98="","",IFERROR(VLOOKUP(B98,'Reference Data 기준데이터'!$A$2:$J$5,3,FALSE),""))</f>
        <v/>
      </c>
      <c r="I98" s="16">
        <f>IF(B98="","",IFERROR(H98+VLOOKUP(B98,'Reference Data 기준데이터'!$A$2:$J$5,7,FALSE),""))</f>
        <v/>
      </c>
      <c r="J98" s="20" t="n"/>
      <c r="K98" s="13" t="n"/>
      <c r="L98" s="16">
        <f>IF(B98="","",IFERROR(H98+VLOOKUP(B98,'Reference Data 기준데이터'!$A$2:$J$5,8,FALSE),""))</f>
        <v/>
      </c>
      <c r="M98" s="20" t="n"/>
      <c r="N98" s="16">
        <f>IF(B98="","",IFERROR(IF(ISNUMBER(SEARCH("Vehicle",F98)),MAX(H98+VLOOKUP(B98,'Reference Data 기준데이터'!$A$2:$J$5,9,FALSE),VLOOKUP(B98,'Reference Data 기준데이터'!$A$2:$J$5,4,FALSE)),H98+VLOOKUP(B98,'Reference Data 기준데이터'!$A$2:$J$5,9,FALSE)),""))</f>
        <v/>
      </c>
      <c r="O98" s="20" t="n"/>
      <c r="P98" s="16">
        <f>IF(B98="","",IFERROR(N98+VLOOKUP(E98,'Reference Data 기준데이터'!$A$8:$F$30,4,FALSE),""))</f>
        <v/>
      </c>
      <c r="Q98" s="20" t="n"/>
      <c r="R98" s="16">
        <f>IF(B98="","",IFERROR(MIN(H98+VLOOKUP(B98,'Reference Data 기준데이터'!$A$2:$J$5,10,FALSE),VLOOKUP(B98,'Reference Data 기준데이터'!$A$2:$J$5,6,FALSE)),""))</f>
        <v/>
      </c>
      <c r="S98" s="20" t="n"/>
      <c r="T98" s="13" t="n"/>
      <c r="U98" s="17">
        <f>IF(B98="","",IF(T98&lt;&gt;"",T98,IF(AND(S98&lt;&gt;"",Q98&lt;&gt;""),"11-결과등록완료",IF(AND(Q98&lt;&gt;"",S98=""),"10-시험완료",IF(AND(O98&lt;&gt;"",Q98=""),"09-시험준비중",IF(AND(M98&lt;&gt;"",O98=""),"08-단품준비완료",IF(K98="Approved","05-계획서승인",IF(K98="Revision Needed","04-검토중_조건불만족",IF(K98="Under Review","03-검토중_조건충족",IF(AND(J98&lt;&gt;"",K98=""),"02-계획서제출_미검토","01-계획서미제출"))))))))))</f>
        <v/>
      </c>
      <c r="V98" s="18">
        <f>IF(B98="","",IFS(U98="01-계획서미제출",0,U98="02-계획서제출_미검토",0.05,U98="03-검토중_조건충족",0.1,U98="04-검토중_조건불만족",0.05,U98="05-계획서승인",0.2,U98="06-BIW생산중단",0.15,U98="07-생산완료_미인수",0.3,U98="08-단품준비완료",0.4,U98="09-시험준비중",0.55,U98="10-시험완료",0.85,U98="11-결과등록완료",1,U98="12-조건부승인검토",0.9,TRUE,0))</f>
        <v/>
      </c>
      <c r="W98" s="5">
        <f>IF(B98="","",IF(S98&lt;&gt;"","-",IF(R98="","N/A",R98-TODAY())))</f>
        <v/>
      </c>
      <c r="X98" s="17">
        <f>IF(B98="","",IF(U98="11-결과등록완료","DONE",IF(OR(U98="06-BIW생산중단",AND(U98="01-계획서미제출",I98&lt;TODAY())),"CRITICAL",IF(OR(U98="04-검토중_조건불만족",U98="07-생산완료_미인수",U98="12-조건부승인검토"),"ACTION",IF(AND(ISNUMBER(W98),W98&lt;=0),"OVERDUE",IF(AND(ISNUMBER(W98),W98&lt;=14),"WARNING","ON TRACK"))))))</f>
        <v/>
      </c>
      <c r="Y98" s="19">
        <f>IF(B98="","",IF(U98="11-결과등록완료","— 완료",IF(U98="01-계획서미제출",IF(I98&lt;TODAY(),"계획서 제출 독촉 (OVERDUE)","계획서 제출 대기"),IF(U98="02-계획서제출_미검토","설계자: 계획서 검토 착수",IF(U98="03-검토중_조건충족","설계자: 승인 처리",IF(U98="04-검토중_조건불만족","보완 요청 → 협력사 재제출 독촉",IF(U98="05-계획서승인","시험편 준비 현황 확인",IF(U98="06-BIW생산중단","BIW 생산팀 확인 → 일정 재수립",IF(U98="07-생산완료_미인수","협력사 인수 독촉",IF(U98="08-단품준비완료","시험 일정 확인",IF(U98="09-시험준비중","시험 진행 모니터링",IF(U98="10-시험완료","결과 보고서 전산 등록 독촉",IF(U98="12-조건부승인검토","조건부 승인 여부 판단 → 관련부서 협의","—")))))))))))))</f>
        <v/>
      </c>
    </row>
    <row r="99">
      <c r="A99" s="5">
        <f>IF(B99="","",ROW()-4)</f>
        <v/>
      </c>
      <c r="B99" s="13" t="n"/>
      <c r="C99" s="14" t="n"/>
      <c r="D99" s="15">
        <f>IF(B99="","",IFERROR(VLOOKUP(C99,'Reference Data 기준데이터'!$E$8:$F$30,2,FALSE),""))</f>
        <v/>
      </c>
      <c r="E99" s="14" t="n"/>
      <c r="F99" s="15">
        <f>IF(B99="","",IFERROR(VLOOKUP(E99,'Reference Data 기준데이터'!$A$8:$F$30,2,FALSE),""))</f>
        <v/>
      </c>
      <c r="G99" s="15">
        <f>IF(B99="","",IFERROR(VLOOKUP(B99&amp;"_"&amp;C99,'Reference Data 기준데이터'!$A$33:$B$51,2,FALSE),""))</f>
        <v/>
      </c>
      <c r="H99" s="16">
        <f>IF(B99="","",IFERROR(VLOOKUP(B99,'Reference Data 기준데이터'!$A$2:$J$5,3,FALSE),""))</f>
        <v/>
      </c>
      <c r="I99" s="16">
        <f>IF(B99="","",IFERROR(H99+VLOOKUP(B99,'Reference Data 기준데이터'!$A$2:$J$5,7,FALSE),""))</f>
        <v/>
      </c>
      <c r="J99" s="20" t="n"/>
      <c r="K99" s="13" t="n"/>
      <c r="L99" s="16">
        <f>IF(B99="","",IFERROR(H99+VLOOKUP(B99,'Reference Data 기준데이터'!$A$2:$J$5,8,FALSE),""))</f>
        <v/>
      </c>
      <c r="M99" s="20" t="n"/>
      <c r="N99" s="16">
        <f>IF(B99="","",IFERROR(IF(ISNUMBER(SEARCH("Vehicle",F99)),MAX(H99+VLOOKUP(B99,'Reference Data 기준데이터'!$A$2:$J$5,9,FALSE),VLOOKUP(B99,'Reference Data 기준데이터'!$A$2:$J$5,4,FALSE)),H99+VLOOKUP(B99,'Reference Data 기준데이터'!$A$2:$J$5,9,FALSE)),""))</f>
        <v/>
      </c>
      <c r="O99" s="20" t="n"/>
      <c r="P99" s="16">
        <f>IF(B99="","",IFERROR(N99+VLOOKUP(E99,'Reference Data 기준데이터'!$A$8:$F$30,4,FALSE),""))</f>
        <v/>
      </c>
      <c r="Q99" s="20" t="n"/>
      <c r="R99" s="16">
        <f>IF(B99="","",IFERROR(MIN(H99+VLOOKUP(B99,'Reference Data 기준데이터'!$A$2:$J$5,10,FALSE),VLOOKUP(B99,'Reference Data 기준데이터'!$A$2:$J$5,6,FALSE)),""))</f>
        <v/>
      </c>
      <c r="S99" s="20" t="n"/>
      <c r="T99" s="13" t="n"/>
      <c r="U99" s="17">
        <f>IF(B99="","",IF(T99&lt;&gt;"",T99,IF(AND(S99&lt;&gt;"",Q99&lt;&gt;""),"11-결과등록완료",IF(AND(Q99&lt;&gt;"",S99=""),"10-시험완료",IF(AND(O99&lt;&gt;"",Q99=""),"09-시험준비중",IF(AND(M99&lt;&gt;"",O99=""),"08-단품준비완료",IF(K99="Approved","05-계획서승인",IF(K99="Revision Needed","04-검토중_조건불만족",IF(K99="Under Review","03-검토중_조건충족",IF(AND(J99&lt;&gt;"",K99=""),"02-계획서제출_미검토","01-계획서미제출"))))))))))</f>
        <v/>
      </c>
      <c r="V99" s="18">
        <f>IF(B99="","",IFS(U99="01-계획서미제출",0,U99="02-계획서제출_미검토",0.05,U99="03-검토중_조건충족",0.1,U99="04-검토중_조건불만족",0.05,U99="05-계획서승인",0.2,U99="06-BIW생산중단",0.15,U99="07-생산완료_미인수",0.3,U99="08-단품준비완료",0.4,U99="09-시험준비중",0.55,U99="10-시험완료",0.85,U99="11-결과등록완료",1,U99="12-조건부승인검토",0.9,TRUE,0))</f>
        <v/>
      </c>
      <c r="W99" s="5">
        <f>IF(B99="","",IF(S99&lt;&gt;"","-",IF(R99="","N/A",R99-TODAY())))</f>
        <v/>
      </c>
      <c r="X99" s="17">
        <f>IF(B99="","",IF(U99="11-결과등록완료","DONE",IF(OR(U99="06-BIW생산중단",AND(U99="01-계획서미제출",I99&lt;TODAY())),"CRITICAL",IF(OR(U99="04-검토중_조건불만족",U99="07-생산완료_미인수",U99="12-조건부승인검토"),"ACTION",IF(AND(ISNUMBER(W99),W99&lt;=0),"OVERDUE",IF(AND(ISNUMBER(W99),W99&lt;=14),"WARNING","ON TRACK"))))))</f>
        <v/>
      </c>
      <c r="Y99" s="19">
        <f>IF(B99="","",IF(U99="11-결과등록완료","— 완료",IF(U99="01-계획서미제출",IF(I99&lt;TODAY(),"계획서 제출 독촉 (OVERDUE)","계획서 제출 대기"),IF(U99="02-계획서제출_미검토","설계자: 계획서 검토 착수",IF(U99="03-검토중_조건충족","설계자: 승인 처리",IF(U99="04-검토중_조건불만족","보완 요청 → 협력사 재제출 독촉",IF(U99="05-계획서승인","시험편 준비 현황 확인",IF(U99="06-BIW생산중단","BIW 생산팀 확인 → 일정 재수립",IF(U99="07-생산완료_미인수","협력사 인수 독촉",IF(U99="08-단품준비완료","시험 일정 확인",IF(U99="09-시험준비중","시험 진행 모니터링",IF(U99="10-시험완료","결과 보고서 전산 등록 독촉",IF(U99="12-조건부승인검토","조건부 승인 여부 판단 → 관련부서 협의","—")))))))))))))</f>
        <v/>
      </c>
    </row>
    <row r="100">
      <c r="A100" s="5">
        <f>IF(B100="","",ROW()-4)</f>
        <v/>
      </c>
      <c r="B100" s="13" t="n"/>
      <c r="C100" s="14" t="n"/>
      <c r="D100" s="15">
        <f>IF(B100="","",IFERROR(VLOOKUP(C100,'Reference Data 기준데이터'!$E$8:$F$30,2,FALSE),""))</f>
        <v/>
      </c>
      <c r="E100" s="14" t="n"/>
      <c r="F100" s="15">
        <f>IF(B100="","",IFERROR(VLOOKUP(E100,'Reference Data 기준데이터'!$A$8:$F$30,2,FALSE),""))</f>
        <v/>
      </c>
      <c r="G100" s="15">
        <f>IF(B100="","",IFERROR(VLOOKUP(B100&amp;"_"&amp;C100,'Reference Data 기준데이터'!$A$33:$B$51,2,FALSE),""))</f>
        <v/>
      </c>
      <c r="H100" s="16">
        <f>IF(B100="","",IFERROR(VLOOKUP(B100,'Reference Data 기준데이터'!$A$2:$J$5,3,FALSE),""))</f>
        <v/>
      </c>
      <c r="I100" s="16">
        <f>IF(B100="","",IFERROR(H100+VLOOKUP(B100,'Reference Data 기준데이터'!$A$2:$J$5,7,FALSE),""))</f>
        <v/>
      </c>
      <c r="J100" s="20" t="n"/>
      <c r="K100" s="13" t="n"/>
      <c r="L100" s="16">
        <f>IF(B100="","",IFERROR(H100+VLOOKUP(B100,'Reference Data 기준데이터'!$A$2:$J$5,8,FALSE),""))</f>
        <v/>
      </c>
      <c r="M100" s="20" t="n"/>
      <c r="N100" s="16">
        <f>IF(B100="","",IFERROR(IF(ISNUMBER(SEARCH("Vehicle",F100)),MAX(H100+VLOOKUP(B100,'Reference Data 기준데이터'!$A$2:$J$5,9,FALSE),VLOOKUP(B100,'Reference Data 기준데이터'!$A$2:$J$5,4,FALSE)),H100+VLOOKUP(B100,'Reference Data 기준데이터'!$A$2:$J$5,9,FALSE)),""))</f>
        <v/>
      </c>
      <c r="O100" s="20" t="n"/>
      <c r="P100" s="16">
        <f>IF(B100="","",IFERROR(N100+VLOOKUP(E100,'Reference Data 기준데이터'!$A$8:$F$30,4,FALSE),""))</f>
        <v/>
      </c>
      <c r="Q100" s="20" t="n"/>
      <c r="R100" s="16">
        <f>IF(B100="","",IFERROR(MIN(H100+VLOOKUP(B100,'Reference Data 기준데이터'!$A$2:$J$5,10,FALSE),VLOOKUP(B100,'Reference Data 기준데이터'!$A$2:$J$5,6,FALSE)),""))</f>
        <v/>
      </c>
      <c r="S100" s="20" t="n"/>
      <c r="T100" s="13" t="n"/>
      <c r="U100" s="17">
        <f>IF(B100="","",IF(T100&lt;&gt;"",T100,IF(AND(S100&lt;&gt;"",Q100&lt;&gt;""),"11-결과등록완료",IF(AND(Q100&lt;&gt;"",S100=""),"10-시험완료",IF(AND(O100&lt;&gt;"",Q100=""),"09-시험준비중",IF(AND(M100&lt;&gt;"",O100=""),"08-단품준비완료",IF(K100="Approved","05-계획서승인",IF(K100="Revision Needed","04-검토중_조건불만족",IF(K100="Under Review","03-검토중_조건충족",IF(AND(J100&lt;&gt;"",K100=""),"02-계획서제출_미검토","01-계획서미제출"))))))))))</f>
        <v/>
      </c>
      <c r="V100" s="18">
        <f>IF(B100="","",IFS(U100="01-계획서미제출",0,U100="02-계획서제출_미검토",0.05,U100="03-검토중_조건충족",0.1,U100="04-검토중_조건불만족",0.05,U100="05-계획서승인",0.2,U100="06-BIW생산중단",0.15,U100="07-생산완료_미인수",0.3,U100="08-단품준비완료",0.4,U100="09-시험준비중",0.55,U100="10-시험완료",0.85,U100="11-결과등록완료",1,U100="12-조건부승인검토",0.9,TRUE,0))</f>
        <v/>
      </c>
      <c r="W100" s="5">
        <f>IF(B100="","",IF(S100&lt;&gt;"","-",IF(R100="","N/A",R100-TODAY())))</f>
        <v/>
      </c>
      <c r="X100" s="17">
        <f>IF(B100="","",IF(U100="11-결과등록완료","DONE",IF(OR(U100="06-BIW생산중단",AND(U100="01-계획서미제출",I100&lt;TODAY())),"CRITICAL",IF(OR(U100="04-검토중_조건불만족",U100="07-생산완료_미인수",U100="12-조건부승인검토"),"ACTION",IF(AND(ISNUMBER(W100),W100&lt;=0),"OVERDUE",IF(AND(ISNUMBER(W100),W100&lt;=14),"WARNING","ON TRACK"))))))</f>
        <v/>
      </c>
      <c r="Y100" s="19">
        <f>IF(B100="","",IF(U100="11-결과등록완료","— 완료",IF(U100="01-계획서미제출",IF(I100&lt;TODAY(),"계획서 제출 독촉 (OVERDUE)","계획서 제출 대기"),IF(U100="02-계획서제출_미검토","설계자: 계획서 검토 착수",IF(U100="03-검토중_조건충족","설계자: 승인 처리",IF(U100="04-검토중_조건불만족","보완 요청 → 협력사 재제출 독촉",IF(U100="05-계획서승인","시험편 준비 현황 확인",IF(U100="06-BIW생산중단","BIW 생산팀 확인 → 일정 재수립",IF(U100="07-생산완료_미인수","협력사 인수 독촉",IF(U100="08-단품준비완료","시험 일정 확인",IF(U100="09-시험준비중","시험 진행 모니터링",IF(U100="10-시험완료","결과 보고서 전산 등록 독촉",IF(U100="12-조건부승인검토","조건부 승인 여부 판단 → 관련부서 협의","—")))))))))))))</f>
        <v/>
      </c>
    </row>
    <row r="101">
      <c r="A101" s="5">
        <f>IF(B101="","",ROW()-4)</f>
        <v/>
      </c>
      <c r="B101" s="13" t="n"/>
      <c r="C101" s="14" t="n"/>
      <c r="D101" s="15">
        <f>IF(B101="","",IFERROR(VLOOKUP(C101,'Reference Data 기준데이터'!$E$8:$F$30,2,FALSE),""))</f>
        <v/>
      </c>
      <c r="E101" s="14" t="n"/>
      <c r="F101" s="15">
        <f>IF(B101="","",IFERROR(VLOOKUP(E101,'Reference Data 기준데이터'!$A$8:$F$30,2,FALSE),""))</f>
        <v/>
      </c>
      <c r="G101" s="15">
        <f>IF(B101="","",IFERROR(VLOOKUP(B101&amp;"_"&amp;C101,'Reference Data 기준데이터'!$A$33:$B$51,2,FALSE),""))</f>
        <v/>
      </c>
      <c r="H101" s="16">
        <f>IF(B101="","",IFERROR(VLOOKUP(B101,'Reference Data 기준데이터'!$A$2:$J$5,3,FALSE),""))</f>
        <v/>
      </c>
      <c r="I101" s="16">
        <f>IF(B101="","",IFERROR(H101+VLOOKUP(B101,'Reference Data 기준데이터'!$A$2:$J$5,7,FALSE),""))</f>
        <v/>
      </c>
      <c r="J101" s="20" t="n"/>
      <c r="K101" s="13" t="n"/>
      <c r="L101" s="16">
        <f>IF(B101="","",IFERROR(H101+VLOOKUP(B101,'Reference Data 기준데이터'!$A$2:$J$5,8,FALSE),""))</f>
        <v/>
      </c>
      <c r="M101" s="20" t="n"/>
      <c r="N101" s="16">
        <f>IF(B101="","",IFERROR(IF(ISNUMBER(SEARCH("Vehicle",F101)),MAX(H101+VLOOKUP(B101,'Reference Data 기준데이터'!$A$2:$J$5,9,FALSE),VLOOKUP(B101,'Reference Data 기준데이터'!$A$2:$J$5,4,FALSE)),H101+VLOOKUP(B101,'Reference Data 기준데이터'!$A$2:$J$5,9,FALSE)),""))</f>
        <v/>
      </c>
      <c r="O101" s="20" t="n"/>
      <c r="P101" s="16">
        <f>IF(B101="","",IFERROR(N101+VLOOKUP(E101,'Reference Data 기준데이터'!$A$8:$F$30,4,FALSE),""))</f>
        <v/>
      </c>
      <c r="Q101" s="20" t="n"/>
      <c r="R101" s="16">
        <f>IF(B101="","",IFERROR(MIN(H101+VLOOKUP(B101,'Reference Data 기준데이터'!$A$2:$J$5,10,FALSE),VLOOKUP(B101,'Reference Data 기준데이터'!$A$2:$J$5,6,FALSE)),""))</f>
        <v/>
      </c>
      <c r="S101" s="20" t="n"/>
      <c r="T101" s="13" t="n"/>
      <c r="U101" s="17">
        <f>IF(B101="","",IF(T101&lt;&gt;"",T101,IF(AND(S101&lt;&gt;"",Q101&lt;&gt;""),"11-결과등록완료",IF(AND(Q101&lt;&gt;"",S101=""),"10-시험완료",IF(AND(O101&lt;&gt;"",Q101=""),"09-시험준비중",IF(AND(M101&lt;&gt;"",O101=""),"08-단품준비완료",IF(K101="Approved","05-계획서승인",IF(K101="Revision Needed","04-검토중_조건불만족",IF(K101="Under Review","03-검토중_조건충족",IF(AND(J101&lt;&gt;"",K101=""),"02-계획서제출_미검토","01-계획서미제출"))))))))))</f>
        <v/>
      </c>
      <c r="V101" s="18">
        <f>IF(B101="","",IFS(U101="01-계획서미제출",0,U101="02-계획서제출_미검토",0.05,U101="03-검토중_조건충족",0.1,U101="04-검토중_조건불만족",0.05,U101="05-계획서승인",0.2,U101="06-BIW생산중단",0.15,U101="07-생산완료_미인수",0.3,U101="08-단품준비완료",0.4,U101="09-시험준비중",0.55,U101="10-시험완료",0.85,U101="11-결과등록완료",1,U101="12-조건부승인검토",0.9,TRUE,0))</f>
        <v/>
      </c>
      <c r="W101" s="5">
        <f>IF(B101="","",IF(S101&lt;&gt;"","-",IF(R101="","N/A",R101-TODAY())))</f>
        <v/>
      </c>
      <c r="X101" s="17">
        <f>IF(B101="","",IF(U101="11-결과등록완료","DONE",IF(OR(U101="06-BIW생산중단",AND(U101="01-계획서미제출",I101&lt;TODAY())),"CRITICAL",IF(OR(U101="04-검토중_조건불만족",U101="07-생산완료_미인수",U101="12-조건부승인검토"),"ACTION",IF(AND(ISNUMBER(W101),W101&lt;=0),"OVERDUE",IF(AND(ISNUMBER(W101),W101&lt;=14),"WARNING","ON TRACK"))))))</f>
        <v/>
      </c>
      <c r="Y101" s="19">
        <f>IF(B101="","",IF(U101="11-결과등록완료","— 완료",IF(U101="01-계획서미제출",IF(I101&lt;TODAY(),"계획서 제출 독촉 (OVERDUE)","계획서 제출 대기"),IF(U101="02-계획서제출_미검토","설계자: 계획서 검토 착수",IF(U101="03-검토중_조건충족","설계자: 승인 처리",IF(U101="04-검토중_조건불만족","보완 요청 → 협력사 재제출 독촉",IF(U101="05-계획서승인","시험편 준비 현황 확인",IF(U101="06-BIW생산중단","BIW 생산팀 확인 → 일정 재수립",IF(U101="07-생산완료_미인수","협력사 인수 독촉",IF(U101="08-단품준비완료","시험 일정 확인",IF(U101="09-시험준비중","시험 진행 모니터링",IF(U101="10-시험완료","결과 보고서 전산 등록 독촉",IF(U101="12-조건부승인검토","조건부 승인 여부 판단 → 관련부서 협의","—")))))))))))))</f>
        <v/>
      </c>
    </row>
    <row r="102">
      <c r="A102" s="5">
        <f>IF(B102="","",ROW()-4)</f>
        <v/>
      </c>
      <c r="B102" s="13" t="n"/>
      <c r="C102" s="14" t="n"/>
      <c r="D102" s="15">
        <f>IF(B102="","",IFERROR(VLOOKUP(C102,'Reference Data 기준데이터'!$E$8:$F$30,2,FALSE),""))</f>
        <v/>
      </c>
      <c r="E102" s="14" t="n"/>
      <c r="F102" s="15">
        <f>IF(B102="","",IFERROR(VLOOKUP(E102,'Reference Data 기준데이터'!$A$8:$F$30,2,FALSE),""))</f>
        <v/>
      </c>
      <c r="G102" s="15">
        <f>IF(B102="","",IFERROR(VLOOKUP(B102&amp;"_"&amp;C102,'Reference Data 기준데이터'!$A$33:$B$51,2,FALSE),""))</f>
        <v/>
      </c>
      <c r="H102" s="16">
        <f>IF(B102="","",IFERROR(VLOOKUP(B102,'Reference Data 기준데이터'!$A$2:$J$5,3,FALSE),""))</f>
        <v/>
      </c>
      <c r="I102" s="16">
        <f>IF(B102="","",IFERROR(H102+VLOOKUP(B102,'Reference Data 기준데이터'!$A$2:$J$5,7,FALSE),""))</f>
        <v/>
      </c>
      <c r="J102" s="20" t="n"/>
      <c r="K102" s="13" t="n"/>
      <c r="L102" s="16">
        <f>IF(B102="","",IFERROR(H102+VLOOKUP(B102,'Reference Data 기준데이터'!$A$2:$J$5,8,FALSE),""))</f>
        <v/>
      </c>
      <c r="M102" s="20" t="n"/>
      <c r="N102" s="16">
        <f>IF(B102="","",IFERROR(IF(ISNUMBER(SEARCH("Vehicle",F102)),MAX(H102+VLOOKUP(B102,'Reference Data 기준데이터'!$A$2:$J$5,9,FALSE),VLOOKUP(B102,'Reference Data 기준데이터'!$A$2:$J$5,4,FALSE)),H102+VLOOKUP(B102,'Reference Data 기준데이터'!$A$2:$J$5,9,FALSE)),""))</f>
        <v/>
      </c>
      <c r="O102" s="20" t="n"/>
      <c r="P102" s="16">
        <f>IF(B102="","",IFERROR(N102+VLOOKUP(E102,'Reference Data 기준데이터'!$A$8:$F$30,4,FALSE),""))</f>
        <v/>
      </c>
      <c r="Q102" s="20" t="n"/>
      <c r="R102" s="16">
        <f>IF(B102="","",IFERROR(MIN(H102+VLOOKUP(B102,'Reference Data 기준데이터'!$A$2:$J$5,10,FALSE),VLOOKUP(B102,'Reference Data 기준데이터'!$A$2:$J$5,6,FALSE)),""))</f>
        <v/>
      </c>
      <c r="S102" s="20" t="n"/>
      <c r="T102" s="13" t="n"/>
      <c r="U102" s="17">
        <f>IF(B102="","",IF(T102&lt;&gt;"",T102,IF(AND(S102&lt;&gt;"",Q102&lt;&gt;""),"11-결과등록완료",IF(AND(Q102&lt;&gt;"",S102=""),"10-시험완료",IF(AND(O102&lt;&gt;"",Q102=""),"09-시험준비중",IF(AND(M102&lt;&gt;"",O102=""),"08-단품준비완료",IF(K102="Approved","05-계획서승인",IF(K102="Revision Needed","04-검토중_조건불만족",IF(K102="Under Review","03-검토중_조건충족",IF(AND(J102&lt;&gt;"",K102=""),"02-계획서제출_미검토","01-계획서미제출"))))))))))</f>
        <v/>
      </c>
      <c r="V102" s="18">
        <f>IF(B102="","",IFS(U102="01-계획서미제출",0,U102="02-계획서제출_미검토",0.05,U102="03-검토중_조건충족",0.1,U102="04-검토중_조건불만족",0.05,U102="05-계획서승인",0.2,U102="06-BIW생산중단",0.15,U102="07-생산완료_미인수",0.3,U102="08-단품준비완료",0.4,U102="09-시험준비중",0.55,U102="10-시험완료",0.85,U102="11-결과등록완료",1,U102="12-조건부승인검토",0.9,TRUE,0))</f>
        <v/>
      </c>
      <c r="W102" s="5">
        <f>IF(B102="","",IF(S102&lt;&gt;"","-",IF(R102="","N/A",R102-TODAY())))</f>
        <v/>
      </c>
      <c r="X102" s="17">
        <f>IF(B102="","",IF(U102="11-결과등록완료","DONE",IF(OR(U102="06-BIW생산중단",AND(U102="01-계획서미제출",I102&lt;TODAY())),"CRITICAL",IF(OR(U102="04-검토중_조건불만족",U102="07-생산완료_미인수",U102="12-조건부승인검토"),"ACTION",IF(AND(ISNUMBER(W102),W102&lt;=0),"OVERDUE",IF(AND(ISNUMBER(W102),W102&lt;=14),"WARNING","ON TRACK"))))))</f>
        <v/>
      </c>
      <c r="Y102" s="19">
        <f>IF(B102="","",IF(U102="11-결과등록완료","— 완료",IF(U102="01-계획서미제출",IF(I102&lt;TODAY(),"계획서 제출 독촉 (OVERDUE)","계획서 제출 대기"),IF(U102="02-계획서제출_미검토","설계자: 계획서 검토 착수",IF(U102="03-검토중_조건충족","설계자: 승인 처리",IF(U102="04-검토중_조건불만족","보완 요청 → 협력사 재제출 독촉",IF(U102="05-계획서승인","시험편 준비 현황 확인",IF(U102="06-BIW생산중단","BIW 생산팀 확인 → 일정 재수립",IF(U102="07-생산완료_미인수","협력사 인수 독촉",IF(U102="08-단품준비완료","시험 일정 확인",IF(U102="09-시험준비중","시험 진행 모니터링",IF(U102="10-시험완료","결과 보고서 전산 등록 독촉",IF(U102="12-조건부승인검토","조건부 승인 여부 판단 → 관련부서 협의","—")))))))))))))</f>
        <v/>
      </c>
    </row>
    <row r="103">
      <c r="A103" s="5">
        <f>IF(B103="","",ROW()-4)</f>
        <v/>
      </c>
      <c r="B103" s="13" t="n"/>
      <c r="C103" s="14" t="n"/>
      <c r="D103" s="15">
        <f>IF(B103="","",IFERROR(VLOOKUP(C103,'Reference Data 기준데이터'!$E$8:$F$30,2,FALSE),""))</f>
        <v/>
      </c>
      <c r="E103" s="14" t="n"/>
      <c r="F103" s="15">
        <f>IF(B103="","",IFERROR(VLOOKUP(E103,'Reference Data 기준데이터'!$A$8:$F$30,2,FALSE),""))</f>
        <v/>
      </c>
      <c r="G103" s="15">
        <f>IF(B103="","",IFERROR(VLOOKUP(B103&amp;"_"&amp;C103,'Reference Data 기준데이터'!$A$33:$B$51,2,FALSE),""))</f>
        <v/>
      </c>
      <c r="H103" s="16">
        <f>IF(B103="","",IFERROR(VLOOKUP(B103,'Reference Data 기준데이터'!$A$2:$J$5,3,FALSE),""))</f>
        <v/>
      </c>
      <c r="I103" s="16">
        <f>IF(B103="","",IFERROR(H103+VLOOKUP(B103,'Reference Data 기준데이터'!$A$2:$J$5,7,FALSE),""))</f>
        <v/>
      </c>
      <c r="J103" s="20" t="n"/>
      <c r="K103" s="13" t="n"/>
      <c r="L103" s="16">
        <f>IF(B103="","",IFERROR(H103+VLOOKUP(B103,'Reference Data 기준데이터'!$A$2:$J$5,8,FALSE),""))</f>
        <v/>
      </c>
      <c r="M103" s="20" t="n"/>
      <c r="N103" s="16">
        <f>IF(B103="","",IFERROR(IF(ISNUMBER(SEARCH("Vehicle",F103)),MAX(H103+VLOOKUP(B103,'Reference Data 기준데이터'!$A$2:$J$5,9,FALSE),VLOOKUP(B103,'Reference Data 기준데이터'!$A$2:$J$5,4,FALSE)),H103+VLOOKUP(B103,'Reference Data 기준데이터'!$A$2:$J$5,9,FALSE)),""))</f>
        <v/>
      </c>
      <c r="O103" s="20" t="n"/>
      <c r="P103" s="16">
        <f>IF(B103="","",IFERROR(N103+VLOOKUP(E103,'Reference Data 기준데이터'!$A$8:$F$30,4,FALSE),""))</f>
        <v/>
      </c>
      <c r="Q103" s="20" t="n"/>
      <c r="R103" s="16">
        <f>IF(B103="","",IFERROR(MIN(H103+VLOOKUP(B103,'Reference Data 기준데이터'!$A$2:$J$5,10,FALSE),VLOOKUP(B103,'Reference Data 기준데이터'!$A$2:$J$5,6,FALSE)),""))</f>
        <v/>
      </c>
      <c r="S103" s="20" t="n"/>
      <c r="T103" s="13" t="n"/>
      <c r="U103" s="17">
        <f>IF(B103="","",IF(T103&lt;&gt;"",T103,IF(AND(S103&lt;&gt;"",Q103&lt;&gt;""),"11-결과등록완료",IF(AND(Q103&lt;&gt;"",S103=""),"10-시험완료",IF(AND(O103&lt;&gt;"",Q103=""),"09-시험준비중",IF(AND(M103&lt;&gt;"",O103=""),"08-단품준비완료",IF(K103="Approved","05-계획서승인",IF(K103="Revision Needed","04-검토중_조건불만족",IF(K103="Under Review","03-검토중_조건충족",IF(AND(J103&lt;&gt;"",K103=""),"02-계획서제출_미검토","01-계획서미제출"))))))))))</f>
        <v/>
      </c>
      <c r="V103" s="18">
        <f>IF(B103="","",IFS(U103="01-계획서미제출",0,U103="02-계획서제출_미검토",0.05,U103="03-검토중_조건충족",0.1,U103="04-검토중_조건불만족",0.05,U103="05-계획서승인",0.2,U103="06-BIW생산중단",0.15,U103="07-생산완료_미인수",0.3,U103="08-단품준비완료",0.4,U103="09-시험준비중",0.55,U103="10-시험완료",0.85,U103="11-결과등록완료",1,U103="12-조건부승인검토",0.9,TRUE,0))</f>
        <v/>
      </c>
      <c r="W103" s="5">
        <f>IF(B103="","",IF(S103&lt;&gt;"","-",IF(R103="","N/A",R103-TODAY())))</f>
        <v/>
      </c>
      <c r="X103" s="17">
        <f>IF(B103="","",IF(U103="11-결과등록완료","DONE",IF(OR(U103="06-BIW생산중단",AND(U103="01-계획서미제출",I103&lt;TODAY())),"CRITICAL",IF(OR(U103="04-검토중_조건불만족",U103="07-생산완료_미인수",U103="12-조건부승인검토"),"ACTION",IF(AND(ISNUMBER(W103),W103&lt;=0),"OVERDUE",IF(AND(ISNUMBER(W103),W103&lt;=14),"WARNING","ON TRACK"))))))</f>
        <v/>
      </c>
      <c r="Y103" s="19">
        <f>IF(B103="","",IF(U103="11-결과등록완료","— 완료",IF(U103="01-계획서미제출",IF(I103&lt;TODAY(),"계획서 제출 독촉 (OVERDUE)","계획서 제출 대기"),IF(U103="02-계획서제출_미검토","설계자: 계획서 검토 착수",IF(U103="03-검토중_조건충족","설계자: 승인 처리",IF(U103="04-검토중_조건불만족","보완 요청 → 협력사 재제출 독촉",IF(U103="05-계획서승인","시험편 준비 현황 확인",IF(U103="06-BIW생산중단","BIW 생산팀 확인 → 일정 재수립",IF(U103="07-생산완료_미인수","협력사 인수 독촉",IF(U103="08-단품준비완료","시험 일정 확인",IF(U103="09-시험준비중","시험 진행 모니터링",IF(U103="10-시험완료","결과 보고서 전산 등록 독촉",IF(U103="12-조건부승인검토","조건부 승인 여부 판단 → 관련부서 협의","—")))))))))))))</f>
        <v/>
      </c>
    </row>
    <row r="104">
      <c r="A104" s="5">
        <f>IF(B104="","",ROW()-4)</f>
        <v/>
      </c>
      <c r="B104" s="13" t="n"/>
      <c r="C104" s="14" t="n"/>
      <c r="D104" s="15">
        <f>IF(B104="","",IFERROR(VLOOKUP(C104,'Reference Data 기준데이터'!$E$8:$F$30,2,FALSE),""))</f>
        <v/>
      </c>
      <c r="E104" s="14" t="n"/>
      <c r="F104" s="15">
        <f>IF(B104="","",IFERROR(VLOOKUP(E104,'Reference Data 기준데이터'!$A$8:$F$30,2,FALSE),""))</f>
        <v/>
      </c>
      <c r="G104" s="15">
        <f>IF(B104="","",IFERROR(VLOOKUP(B104&amp;"_"&amp;C104,'Reference Data 기준데이터'!$A$33:$B$51,2,FALSE),""))</f>
        <v/>
      </c>
      <c r="H104" s="16">
        <f>IF(B104="","",IFERROR(VLOOKUP(B104,'Reference Data 기준데이터'!$A$2:$J$5,3,FALSE),""))</f>
        <v/>
      </c>
      <c r="I104" s="16">
        <f>IF(B104="","",IFERROR(H104+VLOOKUP(B104,'Reference Data 기준데이터'!$A$2:$J$5,7,FALSE),""))</f>
        <v/>
      </c>
      <c r="J104" s="20" t="n"/>
      <c r="K104" s="13" t="n"/>
      <c r="L104" s="16">
        <f>IF(B104="","",IFERROR(H104+VLOOKUP(B104,'Reference Data 기준데이터'!$A$2:$J$5,8,FALSE),""))</f>
        <v/>
      </c>
      <c r="M104" s="20" t="n"/>
      <c r="N104" s="16">
        <f>IF(B104="","",IFERROR(IF(ISNUMBER(SEARCH("Vehicle",F104)),MAX(H104+VLOOKUP(B104,'Reference Data 기준데이터'!$A$2:$J$5,9,FALSE),VLOOKUP(B104,'Reference Data 기준데이터'!$A$2:$J$5,4,FALSE)),H104+VLOOKUP(B104,'Reference Data 기준데이터'!$A$2:$J$5,9,FALSE)),""))</f>
        <v/>
      </c>
      <c r="O104" s="20" t="n"/>
      <c r="P104" s="16">
        <f>IF(B104="","",IFERROR(N104+VLOOKUP(E104,'Reference Data 기준데이터'!$A$8:$F$30,4,FALSE),""))</f>
        <v/>
      </c>
      <c r="Q104" s="20" t="n"/>
      <c r="R104" s="16">
        <f>IF(B104="","",IFERROR(MIN(H104+VLOOKUP(B104,'Reference Data 기준데이터'!$A$2:$J$5,10,FALSE),VLOOKUP(B104,'Reference Data 기준데이터'!$A$2:$J$5,6,FALSE)),""))</f>
        <v/>
      </c>
      <c r="S104" s="20" t="n"/>
      <c r="T104" s="13" t="n"/>
      <c r="U104" s="17">
        <f>IF(B104="","",IF(T104&lt;&gt;"",T104,IF(AND(S104&lt;&gt;"",Q104&lt;&gt;""),"11-결과등록완료",IF(AND(Q104&lt;&gt;"",S104=""),"10-시험완료",IF(AND(O104&lt;&gt;"",Q104=""),"09-시험준비중",IF(AND(M104&lt;&gt;"",O104=""),"08-단품준비완료",IF(K104="Approved","05-계획서승인",IF(K104="Revision Needed","04-검토중_조건불만족",IF(K104="Under Review","03-검토중_조건충족",IF(AND(J104&lt;&gt;"",K104=""),"02-계획서제출_미검토","01-계획서미제출"))))))))))</f>
        <v/>
      </c>
      <c r="V104" s="18">
        <f>IF(B104="","",IFS(U104="01-계획서미제출",0,U104="02-계획서제출_미검토",0.05,U104="03-검토중_조건충족",0.1,U104="04-검토중_조건불만족",0.05,U104="05-계획서승인",0.2,U104="06-BIW생산중단",0.15,U104="07-생산완료_미인수",0.3,U104="08-단품준비완료",0.4,U104="09-시험준비중",0.55,U104="10-시험완료",0.85,U104="11-결과등록완료",1,U104="12-조건부승인검토",0.9,TRUE,0))</f>
        <v/>
      </c>
      <c r="W104" s="5">
        <f>IF(B104="","",IF(S104&lt;&gt;"","-",IF(R104="","N/A",R104-TODAY())))</f>
        <v/>
      </c>
      <c r="X104" s="17">
        <f>IF(B104="","",IF(U104="11-결과등록완료","DONE",IF(OR(U104="06-BIW생산중단",AND(U104="01-계획서미제출",I104&lt;TODAY())),"CRITICAL",IF(OR(U104="04-검토중_조건불만족",U104="07-생산완료_미인수",U104="12-조건부승인검토"),"ACTION",IF(AND(ISNUMBER(W104),W104&lt;=0),"OVERDUE",IF(AND(ISNUMBER(W104),W104&lt;=14),"WARNING","ON TRACK"))))))</f>
        <v/>
      </c>
      <c r="Y104" s="19">
        <f>IF(B104="","",IF(U104="11-결과등록완료","— 완료",IF(U104="01-계획서미제출",IF(I104&lt;TODAY(),"계획서 제출 독촉 (OVERDUE)","계획서 제출 대기"),IF(U104="02-계획서제출_미검토","설계자: 계획서 검토 착수",IF(U104="03-검토중_조건충족","설계자: 승인 처리",IF(U104="04-검토중_조건불만족","보완 요청 → 협력사 재제출 독촉",IF(U104="05-계획서승인","시험편 준비 현황 확인",IF(U104="06-BIW생산중단","BIW 생산팀 확인 → 일정 재수립",IF(U104="07-생산완료_미인수","협력사 인수 독촉",IF(U104="08-단품준비완료","시험 일정 확인",IF(U104="09-시험준비중","시험 진행 모니터링",IF(U104="10-시험완료","결과 보고서 전산 등록 독촉",IF(U104="12-조건부승인검토","조건부 승인 여부 판단 → 관련부서 협의","—")))))))))))))</f>
        <v/>
      </c>
    </row>
    <row r="105">
      <c r="A105" s="5">
        <f>IF(B105="","",ROW()-4)</f>
        <v/>
      </c>
      <c r="B105" s="13" t="n"/>
      <c r="C105" s="14" t="n"/>
      <c r="D105" s="15">
        <f>IF(B105="","",IFERROR(VLOOKUP(C105,'Reference Data 기준데이터'!$E$8:$F$30,2,FALSE),""))</f>
        <v/>
      </c>
      <c r="E105" s="14" t="n"/>
      <c r="F105" s="15">
        <f>IF(B105="","",IFERROR(VLOOKUP(E105,'Reference Data 기준데이터'!$A$8:$F$30,2,FALSE),""))</f>
        <v/>
      </c>
      <c r="G105" s="15">
        <f>IF(B105="","",IFERROR(VLOOKUP(B105&amp;"_"&amp;C105,'Reference Data 기준데이터'!$A$33:$B$51,2,FALSE),""))</f>
        <v/>
      </c>
      <c r="H105" s="16">
        <f>IF(B105="","",IFERROR(VLOOKUP(B105,'Reference Data 기준데이터'!$A$2:$J$5,3,FALSE),""))</f>
        <v/>
      </c>
      <c r="I105" s="16">
        <f>IF(B105="","",IFERROR(H105+VLOOKUP(B105,'Reference Data 기준데이터'!$A$2:$J$5,7,FALSE),""))</f>
        <v/>
      </c>
      <c r="J105" s="20" t="n"/>
      <c r="K105" s="13" t="n"/>
      <c r="L105" s="16">
        <f>IF(B105="","",IFERROR(H105+VLOOKUP(B105,'Reference Data 기준데이터'!$A$2:$J$5,8,FALSE),""))</f>
        <v/>
      </c>
      <c r="M105" s="20" t="n"/>
      <c r="N105" s="16">
        <f>IF(B105="","",IFERROR(IF(ISNUMBER(SEARCH("Vehicle",F105)),MAX(H105+VLOOKUP(B105,'Reference Data 기준데이터'!$A$2:$J$5,9,FALSE),VLOOKUP(B105,'Reference Data 기준데이터'!$A$2:$J$5,4,FALSE)),H105+VLOOKUP(B105,'Reference Data 기준데이터'!$A$2:$J$5,9,FALSE)),""))</f>
        <v/>
      </c>
      <c r="O105" s="20" t="n"/>
      <c r="P105" s="16">
        <f>IF(B105="","",IFERROR(N105+VLOOKUP(E105,'Reference Data 기준데이터'!$A$8:$F$30,4,FALSE),""))</f>
        <v/>
      </c>
      <c r="Q105" s="20" t="n"/>
      <c r="R105" s="16">
        <f>IF(B105="","",IFERROR(MIN(H105+VLOOKUP(B105,'Reference Data 기준데이터'!$A$2:$J$5,10,FALSE),VLOOKUP(B105,'Reference Data 기준데이터'!$A$2:$J$5,6,FALSE)),""))</f>
        <v/>
      </c>
      <c r="S105" s="20" t="n"/>
      <c r="T105" s="13" t="n"/>
      <c r="U105" s="17">
        <f>IF(B105="","",IF(T105&lt;&gt;"",T105,IF(AND(S105&lt;&gt;"",Q105&lt;&gt;""),"11-결과등록완료",IF(AND(Q105&lt;&gt;"",S105=""),"10-시험완료",IF(AND(O105&lt;&gt;"",Q105=""),"09-시험준비중",IF(AND(M105&lt;&gt;"",O105=""),"08-단품준비완료",IF(K105="Approved","05-계획서승인",IF(K105="Revision Needed","04-검토중_조건불만족",IF(K105="Under Review","03-검토중_조건충족",IF(AND(J105&lt;&gt;"",K105=""),"02-계획서제출_미검토","01-계획서미제출"))))))))))</f>
        <v/>
      </c>
      <c r="V105" s="18">
        <f>IF(B105="","",IFS(U105="01-계획서미제출",0,U105="02-계획서제출_미검토",0.05,U105="03-검토중_조건충족",0.1,U105="04-검토중_조건불만족",0.05,U105="05-계획서승인",0.2,U105="06-BIW생산중단",0.15,U105="07-생산완료_미인수",0.3,U105="08-단품준비완료",0.4,U105="09-시험준비중",0.55,U105="10-시험완료",0.85,U105="11-결과등록완료",1,U105="12-조건부승인검토",0.9,TRUE,0))</f>
        <v/>
      </c>
      <c r="W105" s="5">
        <f>IF(B105="","",IF(S105&lt;&gt;"","-",IF(R105="","N/A",R105-TODAY())))</f>
        <v/>
      </c>
      <c r="X105" s="17">
        <f>IF(B105="","",IF(U105="11-결과등록완료","DONE",IF(OR(U105="06-BIW생산중단",AND(U105="01-계획서미제출",I105&lt;TODAY())),"CRITICAL",IF(OR(U105="04-검토중_조건불만족",U105="07-생산완료_미인수",U105="12-조건부승인검토"),"ACTION",IF(AND(ISNUMBER(W105),W105&lt;=0),"OVERDUE",IF(AND(ISNUMBER(W105),W105&lt;=14),"WARNING","ON TRACK"))))))</f>
        <v/>
      </c>
      <c r="Y105" s="19">
        <f>IF(B105="","",IF(U105="11-결과등록완료","— 완료",IF(U105="01-계획서미제출",IF(I105&lt;TODAY(),"계획서 제출 독촉 (OVERDUE)","계획서 제출 대기"),IF(U105="02-계획서제출_미검토","설계자: 계획서 검토 착수",IF(U105="03-검토중_조건충족","설계자: 승인 처리",IF(U105="04-검토중_조건불만족","보완 요청 → 협력사 재제출 독촉",IF(U105="05-계획서승인","시험편 준비 현황 확인",IF(U105="06-BIW생산중단","BIW 생산팀 확인 → 일정 재수립",IF(U105="07-생산완료_미인수","협력사 인수 독촉",IF(U105="08-단품준비완료","시험 일정 확인",IF(U105="09-시험준비중","시험 진행 모니터링",IF(U105="10-시험완료","결과 보고서 전산 등록 독촉",IF(U105="12-조건부승인검토","조건부 승인 여부 판단 → 관련부서 협의","—")))))))))))))</f>
        <v/>
      </c>
    </row>
    <row r="106">
      <c r="A106" s="5">
        <f>IF(B106="","",ROW()-4)</f>
        <v/>
      </c>
      <c r="B106" s="13" t="n"/>
      <c r="C106" s="14" t="n"/>
      <c r="D106" s="15">
        <f>IF(B106="","",IFERROR(VLOOKUP(C106,'Reference Data 기준데이터'!$E$8:$F$30,2,FALSE),""))</f>
        <v/>
      </c>
      <c r="E106" s="14" t="n"/>
      <c r="F106" s="15">
        <f>IF(B106="","",IFERROR(VLOOKUP(E106,'Reference Data 기준데이터'!$A$8:$F$30,2,FALSE),""))</f>
        <v/>
      </c>
      <c r="G106" s="15">
        <f>IF(B106="","",IFERROR(VLOOKUP(B106&amp;"_"&amp;C106,'Reference Data 기준데이터'!$A$33:$B$51,2,FALSE),""))</f>
        <v/>
      </c>
      <c r="H106" s="16">
        <f>IF(B106="","",IFERROR(VLOOKUP(B106,'Reference Data 기준데이터'!$A$2:$J$5,3,FALSE),""))</f>
        <v/>
      </c>
      <c r="I106" s="16">
        <f>IF(B106="","",IFERROR(H106+VLOOKUP(B106,'Reference Data 기준데이터'!$A$2:$J$5,7,FALSE),""))</f>
        <v/>
      </c>
      <c r="J106" s="20" t="n"/>
      <c r="K106" s="13" t="n"/>
      <c r="L106" s="16">
        <f>IF(B106="","",IFERROR(H106+VLOOKUP(B106,'Reference Data 기준데이터'!$A$2:$J$5,8,FALSE),""))</f>
        <v/>
      </c>
      <c r="M106" s="20" t="n"/>
      <c r="N106" s="16">
        <f>IF(B106="","",IFERROR(IF(ISNUMBER(SEARCH("Vehicle",F106)),MAX(H106+VLOOKUP(B106,'Reference Data 기준데이터'!$A$2:$J$5,9,FALSE),VLOOKUP(B106,'Reference Data 기준데이터'!$A$2:$J$5,4,FALSE)),H106+VLOOKUP(B106,'Reference Data 기준데이터'!$A$2:$J$5,9,FALSE)),""))</f>
        <v/>
      </c>
      <c r="O106" s="20" t="n"/>
      <c r="P106" s="16">
        <f>IF(B106="","",IFERROR(N106+VLOOKUP(E106,'Reference Data 기준데이터'!$A$8:$F$30,4,FALSE),""))</f>
        <v/>
      </c>
      <c r="Q106" s="20" t="n"/>
      <c r="R106" s="16">
        <f>IF(B106="","",IFERROR(MIN(H106+VLOOKUP(B106,'Reference Data 기준데이터'!$A$2:$J$5,10,FALSE),VLOOKUP(B106,'Reference Data 기준데이터'!$A$2:$J$5,6,FALSE)),""))</f>
        <v/>
      </c>
      <c r="S106" s="20" t="n"/>
      <c r="T106" s="13" t="n"/>
      <c r="U106" s="17">
        <f>IF(B106="","",IF(T106&lt;&gt;"",T106,IF(AND(S106&lt;&gt;"",Q106&lt;&gt;""),"11-결과등록완료",IF(AND(Q106&lt;&gt;"",S106=""),"10-시험완료",IF(AND(O106&lt;&gt;"",Q106=""),"09-시험준비중",IF(AND(M106&lt;&gt;"",O106=""),"08-단품준비완료",IF(K106="Approved","05-계획서승인",IF(K106="Revision Needed","04-검토중_조건불만족",IF(K106="Under Review","03-검토중_조건충족",IF(AND(J106&lt;&gt;"",K106=""),"02-계획서제출_미검토","01-계획서미제출"))))))))))</f>
        <v/>
      </c>
      <c r="V106" s="18">
        <f>IF(B106="","",IFS(U106="01-계획서미제출",0,U106="02-계획서제출_미검토",0.05,U106="03-검토중_조건충족",0.1,U106="04-검토중_조건불만족",0.05,U106="05-계획서승인",0.2,U106="06-BIW생산중단",0.15,U106="07-생산완료_미인수",0.3,U106="08-단품준비완료",0.4,U106="09-시험준비중",0.55,U106="10-시험완료",0.85,U106="11-결과등록완료",1,U106="12-조건부승인검토",0.9,TRUE,0))</f>
        <v/>
      </c>
      <c r="W106" s="5">
        <f>IF(B106="","",IF(S106&lt;&gt;"","-",IF(R106="","N/A",R106-TODAY())))</f>
        <v/>
      </c>
      <c r="X106" s="17">
        <f>IF(B106="","",IF(U106="11-결과등록완료","DONE",IF(OR(U106="06-BIW생산중단",AND(U106="01-계획서미제출",I106&lt;TODAY())),"CRITICAL",IF(OR(U106="04-검토중_조건불만족",U106="07-생산완료_미인수",U106="12-조건부승인검토"),"ACTION",IF(AND(ISNUMBER(W106),W106&lt;=0),"OVERDUE",IF(AND(ISNUMBER(W106),W106&lt;=14),"WARNING","ON TRACK"))))))</f>
        <v/>
      </c>
      <c r="Y106" s="19">
        <f>IF(B106="","",IF(U106="11-결과등록완료","— 완료",IF(U106="01-계획서미제출",IF(I106&lt;TODAY(),"계획서 제출 독촉 (OVERDUE)","계획서 제출 대기"),IF(U106="02-계획서제출_미검토","설계자: 계획서 검토 착수",IF(U106="03-검토중_조건충족","설계자: 승인 처리",IF(U106="04-검토중_조건불만족","보완 요청 → 협력사 재제출 독촉",IF(U106="05-계획서승인","시험편 준비 현황 확인",IF(U106="06-BIW생산중단","BIW 생산팀 확인 → 일정 재수립",IF(U106="07-생산완료_미인수","협력사 인수 독촉",IF(U106="08-단품준비완료","시험 일정 확인",IF(U106="09-시험준비중","시험 진행 모니터링",IF(U106="10-시험완료","결과 보고서 전산 등록 독촉",IF(U106="12-조건부승인검토","조건부 승인 여부 판단 → 관련부서 협의","—")))))))))))))</f>
        <v/>
      </c>
    </row>
    <row r="107">
      <c r="A107" s="5">
        <f>IF(B107="","",ROW()-4)</f>
        <v/>
      </c>
      <c r="B107" s="13" t="n"/>
      <c r="C107" s="14" t="n"/>
      <c r="D107" s="15">
        <f>IF(B107="","",IFERROR(VLOOKUP(C107,'Reference Data 기준데이터'!$E$8:$F$30,2,FALSE),""))</f>
        <v/>
      </c>
      <c r="E107" s="14" t="n"/>
      <c r="F107" s="15">
        <f>IF(B107="","",IFERROR(VLOOKUP(E107,'Reference Data 기준데이터'!$A$8:$F$30,2,FALSE),""))</f>
        <v/>
      </c>
      <c r="G107" s="15">
        <f>IF(B107="","",IFERROR(VLOOKUP(B107&amp;"_"&amp;C107,'Reference Data 기준데이터'!$A$33:$B$51,2,FALSE),""))</f>
        <v/>
      </c>
      <c r="H107" s="16">
        <f>IF(B107="","",IFERROR(VLOOKUP(B107,'Reference Data 기준데이터'!$A$2:$J$5,3,FALSE),""))</f>
        <v/>
      </c>
      <c r="I107" s="16">
        <f>IF(B107="","",IFERROR(H107+VLOOKUP(B107,'Reference Data 기준데이터'!$A$2:$J$5,7,FALSE),""))</f>
        <v/>
      </c>
      <c r="J107" s="20" t="n"/>
      <c r="K107" s="13" t="n"/>
      <c r="L107" s="16">
        <f>IF(B107="","",IFERROR(H107+VLOOKUP(B107,'Reference Data 기준데이터'!$A$2:$J$5,8,FALSE),""))</f>
        <v/>
      </c>
      <c r="M107" s="20" t="n"/>
      <c r="N107" s="16">
        <f>IF(B107="","",IFERROR(IF(ISNUMBER(SEARCH("Vehicle",F107)),MAX(H107+VLOOKUP(B107,'Reference Data 기준데이터'!$A$2:$J$5,9,FALSE),VLOOKUP(B107,'Reference Data 기준데이터'!$A$2:$J$5,4,FALSE)),H107+VLOOKUP(B107,'Reference Data 기준데이터'!$A$2:$J$5,9,FALSE)),""))</f>
        <v/>
      </c>
      <c r="O107" s="20" t="n"/>
      <c r="P107" s="16">
        <f>IF(B107="","",IFERROR(N107+VLOOKUP(E107,'Reference Data 기준데이터'!$A$8:$F$30,4,FALSE),""))</f>
        <v/>
      </c>
      <c r="Q107" s="20" t="n"/>
      <c r="R107" s="16">
        <f>IF(B107="","",IFERROR(MIN(H107+VLOOKUP(B107,'Reference Data 기준데이터'!$A$2:$J$5,10,FALSE),VLOOKUP(B107,'Reference Data 기준데이터'!$A$2:$J$5,6,FALSE)),""))</f>
        <v/>
      </c>
      <c r="S107" s="20" t="n"/>
      <c r="T107" s="13" t="n"/>
      <c r="U107" s="17">
        <f>IF(B107="","",IF(T107&lt;&gt;"",T107,IF(AND(S107&lt;&gt;"",Q107&lt;&gt;""),"11-결과등록완료",IF(AND(Q107&lt;&gt;"",S107=""),"10-시험완료",IF(AND(O107&lt;&gt;"",Q107=""),"09-시험준비중",IF(AND(M107&lt;&gt;"",O107=""),"08-단품준비완료",IF(K107="Approved","05-계획서승인",IF(K107="Revision Needed","04-검토중_조건불만족",IF(K107="Under Review","03-검토중_조건충족",IF(AND(J107&lt;&gt;"",K107=""),"02-계획서제출_미검토","01-계획서미제출"))))))))))</f>
        <v/>
      </c>
      <c r="V107" s="18">
        <f>IF(B107="","",IFS(U107="01-계획서미제출",0,U107="02-계획서제출_미검토",0.05,U107="03-검토중_조건충족",0.1,U107="04-검토중_조건불만족",0.05,U107="05-계획서승인",0.2,U107="06-BIW생산중단",0.15,U107="07-생산완료_미인수",0.3,U107="08-단품준비완료",0.4,U107="09-시험준비중",0.55,U107="10-시험완료",0.85,U107="11-결과등록완료",1,U107="12-조건부승인검토",0.9,TRUE,0))</f>
        <v/>
      </c>
      <c r="W107" s="5">
        <f>IF(B107="","",IF(S107&lt;&gt;"","-",IF(R107="","N/A",R107-TODAY())))</f>
        <v/>
      </c>
      <c r="X107" s="17">
        <f>IF(B107="","",IF(U107="11-결과등록완료","DONE",IF(OR(U107="06-BIW생산중단",AND(U107="01-계획서미제출",I107&lt;TODAY())),"CRITICAL",IF(OR(U107="04-검토중_조건불만족",U107="07-생산완료_미인수",U107="12-조건부승인검토"),"ACTION",IF(AND(ISNUMBER(W107),W107&lt;=0),"OVERDUE",IF(AND(ISNUMBER(W107),W107&lt;=14),"WARNING","ON TRACK"))))))</f>
        <v/>
      </c>
      <c r="Y107" s="19">
        <f>IF(B107="","",IF(U107="11-결과등록완료","— 완료",IF(U107="01-계획서미제출",IF(I107&lt;TODAY(),"계획서 제출 독촉 (OVERDUE)","계획서 제출 대기"),IF(U107="02-계획서제출_미검토","설계자: 계획서 검토 착수",IF(U107="03-검토중_조건충족","설계자: 승인 처리",IF(U107="04-검토중_조건불만족","보완 요청 → 협력사 재제출 독촉",IF(U107="05-계획서승인","시험편 준비 현황 확인",IF(U107="06-BIW생산중단","BIW 생산팀 확인 → 일정 재수립",IF(U107="07-생산완료_미인수","협력사 인수 독촉",IF(U107="08-단품준비완료","시험 일정 확인",IF(U107="09-시험준비중","시험 진행 모니터링",IF(U107="10-시험완료","결과 보고서 전산 등록 독촉",IF(U107="12-조건부승인검토","조건부 승인 여부 판단 → 관련부서 협의","—")))))))))))))</f>
        <v/>
      </c>
    </row>
    <row r="108">
      <c r="A108" s="5">
        <f>IF(B108="","",ROW()-4)</f>
        <v/>
      </c>
      <c r="B108" s="13" t="n"/>
      <c r="C108" s="14" t="n"/>
      <c r="D108" s="15">
        <f>IF(B108="","",IFERROR(VLOOKUP(C108,'Reference Data 기준데이터'!$E$8:$F$30,2,FALSE),""))</f>
        <v/>
      </c>
      <c r="E108" s="14" t="n"/>
      <c r="F108" s="15">
        <f>IF(B108="","",IFERROR(VLOOKUP(E108,'Reference Data 기준데이터'!$A$8:$F$30,2,FALSE),""))</f>
        <v/>
      </c>
      <c r="G108" s="15">
        <f>IF(B108="","",IFERROR(VLOOKUP(B108&amp;"_"&amp;C108,'Reference Data 기준데이터'!$A$33:$B$51,2,FALSE),""))</f>
        <v/>
      </c>
      <c r="H108" s="16">
        <f>IF(B108="","",IFERROR(VLOOKUP(B108,'Reference Data 기준데이터'!$A$2:$J$5,3,FALSE),""))</f>
        <v/>
      </c>
      <c r="I108" s="16">
        <f>IF(B108="","",IFERROR(H108+VLOOKUP(B108,'Reference Data 기준데이터'!$A$2:$J$5,7,FALSE),""))</f>
        <v/>
      </c>
      <c r="J108" s="20" t="n"/>
      <c r="K108" s="13" t="n"/>
      <c r="L108" s="16">
        <f>IF(B108="","",IFERROR(H108+VLOOKUP(B108,'Reference Data 기준데이터'!$A$2:$J$5,8,FALSE),""))</f>
        <v/>
      </c>
      <c r="M108" s="20" t="n"/>
      <c r="N108" s="16">
        <f>IF(B108="","",IFERROR(IF(ISNUMBER(SEARCH("Vehicle",F108)),MAX(H108+VLOOKUP(B108,'Reference Data 기준데이터'!$A$2:$J$5,9,FALSE),VLOOKUP(B108,'Reference Data 기준데이터'!$A$2:$J$5,4,FALSE)),H108+VLOOKUP(B108,'Reference Data 기준데이터'!$A$2:$J$5,9,FALSE)),""))</f>
        <v/>
      </c>
      <c r="O108" s="20" t="n"/>
      <c r="P108" s="16">
        <f>IF(B108="","",IFERROR(N108+VLOOKUP(E108,'Reference Data 기준데이터'!$A$8:$F$30,4,FALSE),""))</f>
        <v/>
      </c>
      <c r="Q108" s="20" t="n"/>
      <c r="R108" s="16">
        <f>IF(B108="","",IFERROR(MIN(H108+VLOOKUP(B108,'Reference Data 기준데이터'!$A$2:$J$5,10,FALSE),VLOOKUP(B108,'Reference Data 기준데이터'!$A$2:$J$5,6,FALSE)),""))</f>
        <v/>
      </c>
      <c r="S108" s="20" t="n"/>
      <c r="T108" s="13" t="n"/>
      <c r="U108" s="17">
        <f>IF(B108="","",IF(T108&lt;&gt;"",T108,IF(AND(S108&lt;&gt;"",Q108&lt;&gt;""),"11-결과등록완료",IF(AND(Q108&lt;&gt;"",S108=""),"10-시험완료",IF(AND(O108&lt;&gt;"",Q108=""),"09-시험준비중",IF(AND(M108&lt;&gt;"",O108=""),"08-단품준비완료",IF(K108="Approved","05-계획서승인",IF(K108="Revision Needed","04-검토중_조건불만족",IF(K108="Under Review","03-검토중_조건충족",IF(AND(J108&lt;&gt;"",K108=""),"02-계획서제출_미검토","01-계획서미제출"))))))))))</f>
        <v/>
      </c>
      <c r="V108" s="18">
        <f>IF(B108="","",IFS(U108="01-계획서미제출",0,U108="02-계획서제출_미검토",0.05,U108="03-검토중_조건충족",0.1,U108="04-검토중_조건불만족",0.05,U108="05-계획서승인",0.2,U108="06-BIW생산중단",0.15,U108="07-생산완료_미인수",0.3,U108="08-단품준비완료",0.4,U108="09-시험준비중",0.55,U108="10-시험완료",0.85,U108="11-결과등록완료",1,U108="12-조건부승인검토",0.9,TRUE,0))</f>
        <v/>
      </c>
      <c r="W108" s="5">
        <f>IF(B108="","",IF(S108&lt;&gt;"","-",IF(R108="","N/A",R108-TODAY())))</f>
        <v/>
      </c>
      <c r="X108" s="17">
        <f>IF(B108="","",IF(U108="11-결과등록완료","DONE",IF(OR(U108="06-BIW생산중단",AND(U108="01-계획서미제출",I108&lt;TODAY())),"CRITICAL",IF(OR(U108="04-검토중_조건불만족",U108="07-생산완료_미인수",U108="12-조건부승인검토"),"ACTION",IF(AND(ISNUMBER(W108),W108&lt;=0),"OVERDUE",IF(AND(ISNUMBER(W108),W108&lt;=14),"WARNING","ON TRACK"))))))</f>
        <v/>
      </c>
      <c r="Y108" s="19">
        <f>IF(B108="","",IF(U108="11-결과등록완료","— 완료",IF(U108="01-계획서미제출",IF(I108&lt;TODAY(),"계획서 제출 독촉 (OVERDUE)","계획서 제출 대기"),IF(U108="02-계획서제출_미검토","설계자: 계획서 검토 착수",IF(U108="03-검토중_조건충족","설계자: 승인 처리",IF(U108="04-검토중_조건불만족","보완 요청 → 협력사 재제출 독촉",IF(U108="05-계획서승인","시험편 준비 현황 확인",IF(U108="06-BIW생산중단","BIW 생산팀 확인 → 일정 재수립",IF(U108="07-생산완료_미인수","협력사 인수 독촉",IF(U108="08-단품준비완료","시험 일정 확인",IF(U108="09-시험준비중","시험 진행 모니터링",IF(U108="10-시험완료","결과 보고서 전산 등록 독촉",IF(U108="12-조건부승인검토","조건부 승인 여부 판단 → 관련부서 협의","—")))))))))))))</f>
        <v/>
      </c>
    </row>
    <row r="109">
      <c r="A109" s="5">
        <f>IF(B109="","",ROW()-4)</f>
        <v/>
      </c>
      <c r="B109" s="13" t="n"/>
      <c r="C109" s="14" t="n"/>
      <c r="D109" s="15">
        <f>IF(B109="","",IFERROR(VLOOKUP(C109,'Reference Data 기준데이터'!$E$8:$F$30,2,FALSE),""))</f>
        <v/>
      </c>
      <c r="E109" s="14" t="n"/>
      <c r="F109" s="15">
        <f>IF(B109="","",IFERROR(VLOOKUP(E109,'Reference Data 기준데이터'!$A$8:$F$30,2,FALSE),""))</f>
        <v/>
      </c>
      <c r="G109" s="15">
        <f>IF(B109="","",IFERROR(VLOOKUP(B109&amp;"_"&amp;C109,'Reference Data 기준데이터'!$A$33:$B$51,2,FALSE),""))</f>
        <v/>
      </c>
      <c r="H109" s="16">
        <f>IF(B109="","",IFERROR(VLOOKUP(B109,'Reference Data 기준데이터'!$A$2:$J$5,3,FALSE),""))</f>
        <v/>
      </c>
      <c r="I109" s="16">
        <f>IF(B109="","",IFERROR(H109+VLOOKUP(B109,'Reference Data 기준데이터'!$A$2:$J$5,7,FALSE),""))</f>
        <v/>
      </c>
      <c r="J109" s="20" t="n"/>
      <c r="K109" s="13" t="n"/>
      <c r="L109" s="16">
        <f>IF(B109="","",IFERROR(H109+VLOOKUP(B109,'Reference Data 기준데이터'!$A$2:$J$5,8,FALSE),""))</f>
        <v/>
      </c>
      <c r="M109" s="20" t="n"/>
      <c r="N109" s="16">
        <f>IF(B109="","",IFERROR(IF(ISNUMBER(SEARCH("Vehicle",F109)),MAX(H109+VLOOKUP(B109,'Reference Data 기준데이터'!$A$2:$J$5,9,FALSE),VLOOKUP(B109,'Reference Data 기준데이터'!$A$2:$J$5,4,FALSE)),H109+VLOOKUP(B109,'Reference Data 기준데이터'!$A$2:$J$5,9,FALSE)),""))</f>
        <v/>
      </c>
      <c r="O109" s="20" t="n"/>
      <c r="P109" s="16">
        <f>IF(B109="","",IFERROR(N109+VLOOKUP(E109,'Reference Data 기준데이터'!$A$8:$F$30,4,FALSE),""))</f>
        <v/>
      </c>
      <c r="Q109" s="20" t="n"/>
      <c r="R109" s="16">
        <f>IF(B109="","",IFERROR(MIN(H109+VLOOKUP(B109,'Reference Data 기준데이터'!$A$2:$J$5,10,FALSE),VLOOKUP(B109,'Reference Data 기준데이터'!$A$2:$J$5,6,FALSE)),""))</f>
        <v/>
      </c>
      <c r="S109" s="20" t="n"/>
      <c r="T109" s="13" t="n"/>
      <c r="U109" s="17">
        <f>IF(B109="","",IF(T109&lt;&gt;"",T109,IF(AND(S109&lt;&gt;"",Q109&lt;&gt;""),"11-결과등록완료",IF(AND(Q109&lt;&gt;"",S109=""),"10-시험완료",IF(AND(O109&lt;&gt;"",Q109=""),"09-시험준비중",IF(AND(M109&lt;&gt;"",O109=""),"08-단품준비완료",IF(K109="Approved","05-계획서승인",IF(K109="Revision Needed","04-검토중_조건불만족",IF(K109="Under Review","03-검토중_조건충족",IF(AND(J109&lt;&gt;"",K109=""),"02-계획서제출_미검토","01-계획서미제출"))))))))))</f>
        <v/>
      </c>
      <c r="V109" s="18">
        <f>IF(B109="","",IFS(U109="01-계획서미제출",0,U109="02-계획서제출_미검토",0.05,U109="03-검토중_조건충족",0.1,U109="04-검토중_조건불만족",0.05,U109="05-계획서승인",0.2,U109="06-BIW생산중단",0.15,U109="07-생산완료_미인수",0.3,U109="08-단품준비완료",0.4,U109="09-시험준비중",0.55,U109="10-시험완료",0.85,U109="11-결과등록완료",1,U109="12-조건부승인검토",0.9,TRUE,0))</f>
        <v/>
      </c>
      <c r="W109" s="5">
        <f>IF(B109="","",IF(S109&lt;&gt;"","-",IF(R109="","N/A",R109-TODAY())))</f>
        <v/>
      </c>
      <c r="X109" s="17">
        <f>IF(B109="","",IF(U109="11-결과등록완료","DONE",IF(OR(U109="06-BIW생산중단",AND(U109="01-계획서미제출",I109&lt;TODAY())),"CRITICAL",IF(OR(U109="04-검토중_조건불만족",U109="07-생산완료_미인수",U109="12-조건부승인검토"),"ACTION",IF(AND(ISNUMBER(W109),W109&lt;=0),"OVERDUE",IF(AND(ISNUMBER(W109),W109&lt;=14),"WARNING","ON TRACK"))))))</f>
        <v/>
      </c>
      <c r="Y109" s="19">
        <f>IF(B109="","",IF(U109="11-결과등록완료","— 완료",IF(U109="01-계획서미제출",IF(I109&lt;TODAY(),"계획서 제출 독촉 (OVERDUE)","계획서 제출 대기"),IF(U109="02-계획서제출_미검토","설계자: 계획서 검토 착수",IF(U109="03-검토중_조건충족","설계자: 승인 처리",IF(U109="04-검토중_조건불만족","보완 요청 → 협력사 재제출 독촉",IF(U109="05-계획서승인","시험편 준비 현황 확인",IF(U109="06-BIW생산중단","BIW 생산팀 확인 → 일정 재수립",IF(U109="07-생산완료_미인수","협력사 인수 독촉",IF(U109="08-단품준비완료","시험 일정 확인",IF(U109="09-시험준비중","시험 진행 모니터링",IF(U109="10-시험완료","결과 보고서 전산 등록 독촉",IF(U109="12-조건부승인검토","조건부 승인 여부 판단 → 관련부서 협의","—")))))))))))))</f>
        <v/>
      </c>
    </row>
    <row r="110">
      <c r="A110" s="5">
        <f>IF(B110="","",ROW()-4)</f>
        <v/>
      </c>
      <c r="B110" s="13" t="n"/>
      <c r="C110" s="14" t="n"/>
      <c r="D110" s="15">
        <f>IF(B110="","",IFERROR(VLOOKUP(C110,'Reference Data 기준데이터'!$E$8:$F$30,2,FALSE),""))</f>
        <v/>
      </c>
      <c r="E110" s="14" t="n"/>
      <c r="F110" s="15">
        <f>IF(B110="","",IFERROR(VLOOKUP(E110,'Reference Data 기준데이터'!$A$8:$F$30,2,FALSE),""))</f>
        <v/>
      </c>
      <c r="G110" s="15">
        <f>IF(B110="","",IFERROR(VLOOKUP(B110&amp;"_"&amp;C110,'Reference Data 기준데이터'!$A$33:$B$51,2,FALSE),""))</f>
        <v/>
      </c>
      <c r="H110" s="16">
        <f>IF(B110="","",IFERROR(VLOOKUP(B110,'Reference Data 기준데이터'!$A$2:$J$5,3,FALSE),""))</f>
        <v/>
      </c>
      <c r="I110" s="16">
        <f>IF(B110="","",IFERROR(H110+VLOOKUP(B110,'Reference Data 기준데이터'!$A$2:$J$5,7,FALSE),""))</f>
        <v/>
      </c>
      <c r="J110" s="20" t="n"/>
      <c r="K110" s="13" t="n"/>
      <c r="L110" s="16">
        <f>IF(B110="","",IFERROR(H110+VLOOKUP(B110,'Reference Data 기준데이터'!$A$2:$J$5,8,FALSE),""))</f>
        <v/>
      </c>
      <c r="M110" s="20" t="n"/>
      <c r="N110" s="16">
        <f>IF(B110="","",IFERROR(IF(ISNUMBER(SEARCH("Vehicle",F110)),MAX(H110+VLOOKUP(B110,'Reference Data 기준데이터'!$A$2:$J$5,9,FALSE),VLOOKUP(B110,'Reference Data 기준데이터'!$A$2:$J$5,4,FALSE)),H110+VLOOKUP(B110,'Reference Data 기준데이터'!$A$2:$J$5,9,FALSE)),""))</f>
        <v/>
      </c>
      <c r="O110" s="20" t="n"/>
      <c r="P110" s="16">
        <f>IF(B110="","",IFERROR(N110+VLOOKUP(E110,'Reference Data 기준데이터'!$A$8:$F$30,4,FALSE),""))</f>
        <v/>
      </c>
      <c r="Q110" s="20" t="n"/>
      <c r="R110" s="16">
        <f>IF(B110="","",IFERROR(MIN(H110+VLOOKUP(B110,'Reference Data 기준데이터'!$A$2:$J$5,10,FALSE),VLOOKUP(B110,'Reference Data 기준데이터'!$A$2:$J$5,6,FALSE)),""))</f>
        <v/>
      </c>
      <c r="S110" s="20" t="n"/>
      <c r="T110" s="13" t="n"/>
      <c r="U110" s="17">
        <f>IF(B110="","",IF(T110&lt;&gt;"",T110,IF(AND(S110&lt;&gt;"",Q110&lt;&gt;""),"11-결과등록완료",IF(AND(Q110&lt;&gt;"",S110=""),"10-시험완료",IF(AND(O110&lt;&gt;"",Q110=""),"09-시험준비중",IF(AND(M110&lt;&gt;"",O110=""),"08-단품준비완료",IF(K110="Approved","05-계획서승인",IF(K110="Revision Needed","04-검토중_조건불만족",IF(K110="Under Review","03-검토중_조건충족",IF(AND(J110&lt;&gt;"",K110=""),"02-계획서제출_미검토","01-계획서미제출"))))))))))</f>
        <v/>
      </c>
      <c r="V110" s="18">
        <f>IF(B110="","",IFS(U110="01-계획서미제출",0,U110="02-계획서제출_미검토",0.05,U110="03-검토중_조건충족",0.1,U110="04-검토중_조건불만족",0.05,U110="05-계획서승인",0.2,U110="06-BIW생산중단",0.15,U110="07-생산완료_미인수",0.3,U110="08-단품준비완료",0.4,U110="09-시험준비중",0.55,U110="10-시험완료",0.85,U110="11-결과등록완료",1,U110="12-조건부승인검토",0.9,TRUE,0))</f>
        <v/>
      </c>
      <c r="W110" s="5">
        <f>IF(B110="","",IF(S110&lt;&gt;"","-",IF(R110="","N/A",R110-TODAY())))</f>
        <v/>
      </c>
      <c r="X110" s="17">
        <f>IF(B110="","",IF(U110="11-결과등록완료","DONE",IF(OR(U110="06-BIW생산중단",AND(U110="01-계획서미제출",I110&lt;TODAY())),"CRITICAL",IF(OR(U110="04-검토중_조건불만족",U110="07-생산완료_미인수",U110="12-조건부승인검토"),"ACTION",IF(AND(ISNUMBER(W110),W110&lt;=0),"OVERDUE",IF(AND(ISNUMBER(W110),W110&lt;=14),"WARNING","ON TRACK"))))))</f>
        <v/>
      </c>
      <c r="Y110" s="19">
        <f>IF(B110="","",IF(U110="11-결과등록완료","— 완료",IF(U110="01-계획서미제출",IF(I110&lt;TODAY(),"계획서 제출 독촉 (OVERDUE)","계획서 제출 대기"),IF(U110="02-계획서제출_미검토","설계자: 계획서 검토 착수",IF(U110="03-검토중_조건충족","설계자: 승인 처리",IF(U110="04-검토중_조건불만족","보완 요청 → 협력사 재제출 독촉",IF(U110="05-계획서승인","시험편 준비 현황 확인",IF(U110="06-BIW생산중단","BIW 생산팀 확인 → 일정 재수립",IF(U110="07-생산완료_미인수","협력사 인수 독촉",IF(U110="08-단품준비완료","시험 일정 확인",IF(U110="09-시험준비중","시험 진행 모니터링",IF(U110="10-시험완료","결과 보고서 전산 등록 독촉",IF(U110="12-조건부승인검토","조건부 승인 여부 판단 → 관련부서 협의","—")))))))))))))</f>
        <v/>
      </c>
    </row>
    <row r="111">
      <c r="A111" s="5">
        <f>IF(B111="","",ROW()-4)</f>
        <v/>
      </c>
      <c r="B111" s="13" t="n"/>
      <c r="C111" s="14" t="n"/>
      <c r="D111" s="15">
        <f>IF(B111="","",IFERROR(VLOOKUP(C111,'Reference Data 기준데이터'!$E$8:$F$30,2,FALSE),""))</f>
        <v/>
      </c>
      <c r="E111" s="14" t="n"/>
      <c r="F111" s="15">
        <f>IF(B111="","",IFERROR(VLOOKUP(E111,'Reference Data 기준데이터'!$A$8:$F$30,2,FALSE),""))</f>
        <v/>
      </c>
      <c r="G111" s="15">
        <f>IF(B111="","",IFERROR(VLOOKUP(B111&amp;"_"&amp;C111,'Reference Data 기준데이터'!$A$33:$B$51,2,FALSE),""))</f>
        <v/>
      </c>
      <c r="H111" s="16">
        <f>IF(B111="","",IFERROR(VLOOKUP(B111,'Reference Data 기준데이터'!$A$2:$J$5,3,FALSE),""))</f>
        <v/>
      </c>
      <c r="I111" s="16">
        <f>IF(B111="","",IFERROR(H111+VLOOKUP(B111,'Reference Data 기준데이터'!$A$2:$J$5,7,FALSE),""))</f>
        <v/>
      </c>
      <c r="J111" s="20" t="n"/>
      <c r="K111" s="13" t="n"/>
      <c r="L111" s="16">
        <f>IF(B111="","",IFERROR(H111+VLOOKUP(B111,'Reference Data 기준데이터'!$A$2:$J$5,8,FALSE),""))</f>
        <v/>
      </c>
      <c r="M111" s="20" t="n"/>
      <c r="N111" s="16">
        <f>IF(B111="","",IFERROR(IF(ISNUMBER(SEARCH("Vehicle",F111)),MAX(H111+VLOOKUP(B111,'Reference Data 기준데이터'!$A$2:$J$5,9,FALSE),VLOOKUP(B111,'Reference Data 기준데이터'!$A$2:$J$5,4,FALSE)),H111+VLOOKUP(B111,'Reference Data 기준데이터'!$A$2:$J$5,9,FALSE)),""))</f>
        <v/>
      </c>
      <c r="O111" s="20" t="n"/>
      <c r="P111" s="16">
        <f>IF(B111="","",IFERROR(N111+VLOOKUP(E111,'Reference Data 기준데이터'!$A$8:$F$30,4,FALSE),""))</f>
        <v/>
      </c>
      <c r="Q111" s="20" t="n"/>
      <c r="R111" s="16">
        <f>IF(B111="","",IFERROR(MIN(H111+VLOOKUP(B111,'Reference Data 기준데이터'!$A$2:$J$5,10,FALSE),VLOOKUP(B111,'Reference Data 기준데이터'!$A$2:$J$5,6,FALSE)),""))</f>
        <v/>
      </c>
      <c r="S111" s="20" t="n"/>
      <c r="T111" s="13" t="n"/>
      <c r="U111" s="17">
        <f>IF(B111="","",IF(T111&lt;&gt;"",T111,IF(AND(S111&lt;&gt;"",Q111&lt;&gt;""),"11-결과등록완료",IF(AND(Q111&lt;&gt;"",S111=""),"10-시험완료",IF(AND(O111&lt;&gt;"",Q111=""),"09-시험준비중",IF(AND(M111&lt;&gt;"",O111=""),"08-단품준비완료",IF(K111="Approved","05-계획서승인",IF(K111="Revision Needed","04-검토중_조건불만족",IF(K111="Under Review","03-검토중_조건충족",IF(AND(J111&lt;&gt;"",K111=""),"02-계획서제출_미검토","01-계획서미제출"))))))))))</f>
        <v/>
      </c>
      <c r="V111" s="18">
        <f>IF(B111="","",IFS(U111="01-계획서미제출",0,U111="02-계획서제출_미검토",0.05,U111="03-검토중_조건충족",0.1,U111="04-검토중_조건불만족",0.05,U111="05-계획서승인",0.2,U111="06-BIW생산중단",0.15,U111="07-생산완료_미인수",0.3,U111="08-단품준비완료",0.4,U111="09-시험준비중",0.55,U111="10-시험완료",0.85,U111="11-결과등록완료",1,U111="12-조건부승인검토",0.9,TRUE,0))</f>
        <v/>
      </c>
      <c r="W111" s="5">
        <f>IF(B111="","",IF(S111&lt;&gt;"","-",IF(R111="","N/A",R111-TODAY())))</f>
        <v/>
      </c>
      <c r="X111" s="17">
        <f>IF(B111="","",IF(U111="11-결과등록완료","DONE",IF(OR(U111="06-BIW생산중단",AND(U111="01-계획서미제출",I111&lt;TODAY())),"CRITICAL",IF(OR(U111="04-검토중_조건불만족",U111="07-생산완료_미인수",U111="12-조건부승인검토"),"ACTION",IF(AND(ISNUMBER(W111),W111&lt;=0),"OVERDUE",IF(AND(ISNUMBER(W111),W111&lt;=14),"WARNING","ON TRACK"))))))</f>
        <v/>
      </c>
      <c r="Y111" s="19">
        <f>IF(B111="","",IF(U111="11-결과등록완료","— 완료",IF(U111="01-계획서미제출",IF(I111&lt;TODAY(),"계획서 제출 독촉 (OVERDUE)","계획서 제출 대기"),IF(U111="02-계획서제출_미검토","설계자: 계획서 검토 착수",IF(U111="03-검토중_조건충족","설계자: 승인 처리",IF(U111="04-검토중_조건불만족","보완 요청 → 협력사 재제출 독촉",IF(U111="05-계획서승인","시험편 준비 현황 확인",IF(U111="06-BIW생산중단","BIW 생산팀 확인 → 일정 재수립",IF(U111="07-생산완료_미인수","협력사 인수 독촉",IF(U111="08-단품준비완료","시험 일정 확인",IF(U111="09-시험준비중","시험 진행 모니터링",IF(U111="10-시험완료","결과 보고서 전산 등록 독촉",IF(U111="12-조건부승인검토","조건부 승인 여부 판단 → 관련부서 협의","—")))))))))))))</f>
        <v/>
      </c>
    </row>
    <row r="112">
      <c r="A112" s="5">
        <f>IF(B112="","",ROW()-4)</f>
        <v/>
      </c>
      <c r="B112" s="13" t="n"/>
      <c r="C112" s="14" t="n"/>
      <c r="D112" s="15">
        <f>IF(B112="","",IFERROR(VLOOKUP(C112,'Reference Data 기준데이터'!$E$8:$F$30,2,FALSE),""))</f>
        <v/>
      </c>
      <c r="E112" s="14" t="n"/>
      <c r="F112" s="15">
        <f>IF(B112="","",IFERROR(VLOOKUP(E112,'Reference Data 기준데이터'!$A$8:$F$30,2,FALSE),""))</f>
        <v/>
      </c>
      <c r="G112" s="15">
        <f>IF(B112="","",IFERROR(VLOOKUP(B112&amp;"_"&amp;C112,'Reference Data 기준데이터'!$A$33:$B$51,2,FALSE),""))</f>
        <v/>
      </c>
      <c r="H112" s="16">
        <f>IF(B112="","",IFERROR(VLOOKUP(B112,'Reference Data 기준데이터'!$A$2:$J$5,3,FALSE),""))</f>
        <v/>
      </c>
      <c r="I112" s="16">
        <f>IF(B112="","",IFERROR(H112+VLOOKUP(B112,'Reference Data 기준데이터'!$A$2:$J$5,7,FALSE),""))</f>
        <v/>
      </c>
      <c r="J112" s="20" t="n"/>
      <c r="K112" s="13" t="n"/>
      <c r="L112" s="16">
        <f>IF(B112="","",IFERROR(H112+VLOOKUP(B112,'Reference Data 기준데이터'!$A$2:$J$5,8,FALSE),""))</f>
        <v/>
      </c>
      <c r="M112" s="20" t="n"/>
      <c r="N112" s="16">
        <f>IF(B112="","",IFERROR(IF(ISNUMBER(SEARCH("Vehicle",F112)),MAX(H112+VLOOKUP(B112,'Reference Data 기준데이터'!$A$2:$J$5,9,FALSE),VLOOKUP(B112,'Reference Data 기준데이터'!$A$2:$J$5,4,FALSE)),H112+VLOOKUP(B112,'Reference Data 기준데이터'!$A$2:$J$5,9,FALSE)),""))</f>
        <v/>
      </c>
      <c r="O112" s="20" t="n"/>
      <c r="P112" s="16">
        <f>IF(B112="","",IFERROR(N112+VLOOKUP(E112,'Reference Data 기준데이터'!$A$8:$F$30,4,FALSE),""))</f>
        <v/>
      </c>
      <c r="Q112" s="20" t="n"/>
      <c r="R112" s="16">
        <f>IF(B112="","",IFERROR(MIN(H112+VLOOKUP(B112,'Reference Data 기준데이터'!$A$2:$J$5,10,FALSE),VLOOKUP(B112,'Reference Data 기준데이터'!$A$2:$J$5,6,FALSE)),""))</f>
        <v/>
      </c>
      <c r="S112" s="20" t="n"/>
      <c r="T112" s="13" t="n"/>
      <c r="U112" s="17">
        <f>IF(B112="","",IF(T112&lt;&gt;"",T112,IF(AND(S112&lt;&gt;"",Q112&lt;&gt;""),"11-결과등록완료",IF(AND(Q112&lt;&gt;"",S112=""),"10-시험완료",IF(AND(O112&lt;&gt;"",Q112=""),"09-시험준비중",IF(AND(M112&lt;&gt;"",O112=""),"08-단품준비완료",IF(K112="Approved","05-계획서승인",IF(K112="Revision Needed","04-검토중_조건불만족",IF(K112="Under Review","03-검토중_조건충족",IF(AND(J112&lt;&gt;"",K112=""),"02-계획서제출_미검토","01-계획서미제출"))))))))))</f>
        <v/>
      </c>
      <c r="V112" s="18">
        <f>IF(B112="","",IFS(U112="01-계획서미제출",0,U112="02-계획서제출_미검토",0.05,U112="03-검토중_조건충족",0.1,U112="04-검토중_조건불만족",0.05,U112="05-계획서승인",0.2,U112="06-BIW생산중단",0.15,U112="07-생산완료_미인수",0.3,U112="08-단품준비완료",0.4,U112="09-시험준비중",0.55,U112="10-시험완료",0.85,U112="11-결과등록완료",1,U112="12-조건부승인검토",0.9,TRUE,0))</f>
        <v/>
      </c>
      <c r="W112" s="5">
        <f>IF(B112="","",IF(S112&lt;&gt;"","-",IF(R112="","N/A",R112-TODAY())))</f>
        <v/>
      </c>
      <c r="X112" s="17">
        <f>IF(B112="","",IF(U112="11-결과등록완료","DONE",IF(OR(U112="06-BIW생산중단",AND(U112="01-계획서미제출",I112&lt;TODAY())),"CRITICAL",IF(OR(U112="04-검토중_조건불만족",U112="07-생산완료_미인수",U112="12-조건부승인검토"),"ACTION",IF(AND(ISNUMBER(W112),W112&lt;=0),"OVERDUE",IF(AND(ISNUMBER(W112),W112&lt;=14),"WARNING","ON TRACK"))))))</f>
        <v/>
      </c>
      <c r="Y112" s="19">
        <f>IF(B112="","",IF(U112="11-결과등록완료","— 완료",IF(U112="01-계획서미제출",IF(I112&lt;TODAY(),"계획서 제출 독촉 (OVERDUE)","계획서 제출 대기"),IF(U112="02-계획서제출_미검토","설계자: 계획서 검토 착수",IF(U112="03-검토중_조건충족","설계자: 승인 처리",IF(U112="04-검토중_조건불만족","보완 요청 → 협력사 재제출 독촉",IF(U112="05-계획서승인","시험편 준비 현황 확인",IF(U112="06-BIW생산중단","BIW 생산팀 확인 → 일정 재수립",IF(U112="07-생산완료_미인수","협력사 인수 독촉",IF(U112="08-단품준비완료","시험 일정 확인",IF(U112="09-시험준비중","시험 진행 모니터링",IF(U112="10-시험완료","결과 보고서 전산 등록 독촉",IF(U112="12-조건부승인검토","조건부 승인 여부 판단 → 관련부서 협의","—")))))))))))))</f>
        <v/>
      </c>
    </row>
    <row r="113">
      <c r="A113" s="5">
        <f>IF(B113="","",ROW()-4)</f>
        <v/>
      </c>
      <c r="B113" s="13" t="n"/>
      <c r="C113" s="14" t="n"/>
      <c r="D113" s="15">
        <f>IF(B113="","",IFERROR(VLOOKUP(C113,'Reference Data 기준데이터'!$E$8:$F$30,2,FALSE),""))</f>
        <v/>
      </c>
      <c r="E113" s="14" t="n"/>
      <c r="F113" s="15">
        <f>IF(B113="","",IFERROR(VLOOKUP(E113,'Reference Data 기준데이터'!$A$8:$F$30,2,FALSE),""))</f>
        <v/>
      </c>
      <c r="G113" s="15">
        <f>IF(B113="","",IFERROR(VLOOKUP(B113&amp;"_"&amp;C113,'Reference Data 기준데이터'!$A$33:$B$51,2,FALSE),""))</f>
        <v/>
      </c>
      <c r="H113" s="16">
        <f>IF(B113="","",IFERROR(VLOOKUP(B113,'Reference Data 기준데이터'!$A$2:$J$5,3,FALSE),""))</f>
        <v/>
      </c>
      <c r="I113" s="16">
        <f>IF(B113="","",IFERROR(H113+VLOOKUP(B113,'Reference Data 기준데이터'!$A$2:$J$5,7,FALSE),""))</f>
        <v/>
      </c>
      <c r="J113" s="20" t="n"/>
      <c r="K113" s="13" t="n"/>
      <c r="L113" s="16">
        <f>IF(B113="","",IFERROR(H113+VLOOKUP(B113,'Reference Data 기준데이터'!$A$2:$J$5,8,FALSE),""))</f>
        <v/>
      </c>
      <c r="M113" s="20" t="n"/>
      <c r="N113" s="16">
        <f>IF(B113="","",IFERROR(IF(ISNUMBER(SEARCH("Vehicle",F113)),MAX(H113+VLOOKUP(B113,'Reference Data 기준데이터'!$A$2:$J$5,9,FALSE),VLOOKUP(B113,'Reference Data 기준데이터'!$A$2:$J$5,4,FALSE)),H113+VLOOKUP(B113,'Reference Data 기준데이터'!$A$2:$J$5,9,FALSE)),""))</f>
        <v/>
      </c>
      <c r="O113" s="20" t="n"/>
      <c r="P113" s="16">
        <f>IF(B113="","",IFERROR(N113+VLOOKUP(E113,'Reference Data 기준데이터'!$A$8:$F$30,4,FALSE),""))</f>
        <v/>
      </c>
      <c r="Q113" s="20" t="n"/>
      <c r="R113" s="16">
        <f>IF(B113="","",IFERROR(MIN(H113+VLOOKUP(B113,'Reference Data 기준데이터'!$A$2:$J$5,10,FALSE),VLOOKUP(B113,'Reference Data 기준데이터'!$A$2:$J$5,6,FALSE)),""))</f>
        <v/>
      </c>
      <c r="S113" s="20" t="n"/>
      <c r="T113" s="13" t="n"/>
      <c r="U113" s="17">
        <f>IF(B113="","",IF(T113&lt;&gt;"",T113,IF(AND(S113&lt;&gt;"",Q113&lt;&gt;""),"11-결과등록완료",IF(AND(Q113&lt;&gt;"",S113=""),"10-시험완료",IF(AND(O113&lt;&gt;"",Q113=""),"09-시험준비중",IF(AND(M113&lt;&gt;"",O113=""),"08-단품준비완료",IF(K113="Approved","05-계획서승인",IF(K113="Revision Needed","04-검토중_조건불만족",IF(K113="Under Review","03-검토중_조건충족",IF(AND(J113&lt;&gt;"",K113=""),"02-계획서제출_미검토","01-계획서미제출"))))))))))</f>
        <v/>
      </c>
      <c r="V113" s="18">
        <f>IF(B113="","",IFS(U113="01-계획서미제출",0,U113="02-계획서제출_미검토",0.05,U113="03-검토중_조건충족",0.1,U113="04-검토중_조건불만족",0.05,U113="05-계획서승인",0.2,U113="06-BIW생산중단",0.15,U113="07-생산완료_미인수",0.3,U113="08-단품준비완료",0.4,U113="09-시험준비중",0.55,U113="10-시험완료",0.85,U113="11-결과등록완료",1,U113="12-조건부승인검토",0.9,TRUE,0))</f>
        <v/>
      </c>
      <c r="W113" s="5">
        <f>IF(B113="","",IF(S113&lt;&gt;"","-",IF(R113="","N/A",R113-TODAY())))</f>
        <v/>
      </c>
      <c r="X113" s="17">
        <f>IF(B113="","",IF(U113="11-결과등록완료","DONE",IF(OR(U113="06-BIW생산중단",AND(U113="01-계획서미제출",I113&lt;TODAY())),"CRITICAL",IF(OR(U113="04-검토중_조건불만족",U113="07-생산완료_미인수",U113="12-조건부승인검토"),"ACTION",IF(AND(ISNUMBER(W113),W113&lt;=0),"OVERDUE",IF(AND(ISNUMBER(W113),W113&lt;=14),"WARNING","ON TRACK"))))))</f>
        <v/>
      </c>
      <c r="Y113" s="19">
        <f>IF(B113="","",IF(U113="11-결과등록완료","— 완료",IF(U113="01-계획서미제출",IF(I113&lt;TODAY(),"계획서 제출 독촉 (OVERDUE)","계획서 제출 대기"),IF(U113="02-계획서제출_미검토","설계자: 계획서 검토 착수",IF(U113="03-검토중_조건충족","설계자: 승인 처리",IF(U113="04-검토중_조건불만족","보완 요청 → 협력사 재제출 독촉",IF(U113="05-계획서승인","시험편 준비 현황 확인",IF(U113="06-BIW생산중단","BIW 생산팀 확인 → 일정 재수립",IF(U113="07-생산완료_미인수","협력사 인수 독촉",IF(U113="08-단품준비완료","시험 일정 확인",IF(U113="09-시험준비중","시험 진행 모니터링",IF(U113="10-시험완료","결과 보고서 전산 등록 독촉",IF(U113="12-조건부승인검토","조건부 승인 여부 판단 → 관련부서 협의","—")))))))))))))</f>
        <v/>
      </c>
    </row>
    <row r="114">
      <c r="A114" s="5">
        <f>IF(B114="","",ROW()-4)</f>
        <v/>
      </c>
      <c r="B114" s="13" t="n"/>
      <c r="C114" s="14" t="n"/>
      <c r="D114" s="15">
        <f>IF(B114="","",IFERROR(VLOOKUP(C114,'Reference Data 기준데이터'!$E$8:$F$30,2,FALSE),""))</f>
        <v/>
      </c>
      <c r="E114" s="14" t="n"/>
      <c r="F114" s="15">
        <f>IF(B114="","",IFERROR(VLOOKUP(E114,'Reference Data 기준데이터'!$A$8:$F$30,2,FALSE),""))</f>
        <v/>
      </c>
      <c r="G114" s="15">
        <f>IF(B114="","",IFERROR(VLOOKUP(B114&amp;"_"&amp;C114,'Reference Data 기준데이터'!$A$33:$B$51,2,FALSE),""))</f>
        <v/>
      </c>
      <c r="H114" s="16">
        <f>IF(B114="","",IFERROR(VLOOKUP(B114,'Reference Data 기준데이터'!$A$2:$J$5,3,FALSE),""))</f>
        <v/>
      </c>
      <c r="I114" s="16">
        <f>IF(B114="","",IFERROR(H114+VLOOKUP(B114,'Reference Data 기준데이터'!$A$2:$J$5,7,FALSE),""))</f>
        <v/>
      </c>
      <c r="J114" s="20" t="n"/>
      <c r="K114" s="13" t="n"/>
      <c r="L114" s="16">
        <f>IF(B114="","",IFERROR(H114+VLOOKUP(B114,'Reference Data 기준데이터'!$A$2:$J$5,8,FALSE),""))</f>
        <v/>
      </c>
      <c r="M114" s="20" t="n"/>
      <c r="N114" s="16">
        <f>IF(B114="","",IFERROR(IF(ISNUMBER(SEARCH("Vehicle",F114)),MAX(H114+VLOOKUP(B114,'Reference Data 기준데이터'!$A$2:$J$5,9,FALSE),VLOOKUP(B114,'Reference Data 기준데이터'!$A$2:$J$5,4,FALSE)),H114+VLOOKUP(B114,'Reference Data 기준데이터'!$A$2:$J$5,9,FALSE)),""))</f>
        <v/>
      </c>
      <c r="O114" s="20" t="n"/>
      <c r="P114" s="16">
        <f>IF(B114="","",IFERROR(N114+VLOOKUP(E114,'Reference Data 기준데이터'!$A$8:$F$30,4,FALSE),""))</f>
        <v/>
      </c>
      <c r="Q114" s="20" t="n"/>
      <c r="R114" s="16">
        <f>IF(B114="","",IFERROR(MIN(H114+VLOOKUP(B114,'Reference Data 기준데이터'!$A$2:$J$5,10,FALSE),VLOOKUP(B114,'Reference Data 기준데이터'!$A$2:$J$5,6,FALSE)),""))</f>
        <v/>
      </c>
      <c r="S114" s="20" t="n"/>
      <c r="T114" s="13" t="n"/>
      <c r="U114" s="17">
        <f>IF(B114="","",IF(T114&lt;&gt;"",T114,IF(AND(S114&lt;&gt;"",Q114&lt;&gt;""),"11-결과등록완료",IF(AND(Q114&lt;&gt;"",S114=""),"10-시험완료",IF(AND(O114&lt;&gt;"",Q114=""),"09-시험준비중",IF(AND(M114&lt;&gt;"",O114=""),"08-단품준비완료",IF(K114="Approved","05-계획서승인",IF(K114="Revision Needed","04-검토중_조건불만족",IF(K114="Under Review","03-검토중_조건충족",IF(AND(J114&lt;&gt;"",K114=""),"02-계획서제출_미검토","01-계획서미제출"))))))))))</f>
        <v/>
      </c>
      <c r="V114" s="18">
        <f>IF(B114="","",IFS(U114="01-계획서미제출",0,U114="02-계획서제출_미검토",0.05,U114="03-검토중_조건충족",0.1,U114="04-검토중_조건불만족",0.05,U114="05-계획서승인",0.2,U114="06-BIW생산중단",0.15,U114="07-생산완료_미인수",0.3,U114="08-단품준비완료",0.4,U114="09-시험준비중",0.55,U114="10-시험완료",0.85,U114="11-결과등록완료",1,U114="12-조건부승인검토",0.9,TRUE,0))</f>
        <v/>
      </c>
      <c r="W114" s="5">
        <f>IF(B114="","",IF(S114&lt;&gt;"","-",IF(R114="","N/A",R114-TODAY())))</f>
        <v/>
      </c>
      <c r="X114" s="17">
        <f>IF(B114="","",IF(U114="11-결과등록완료","DONE",IF(OR(U114="06-BIW생산중단",AND(U114="01-계획서미제출",I114&lt;TODAY())),"CRITICAL",IF(OR(U114="04-검토중_조건불만족",U114="07-생산완료_미인수",U114="12-조건부승인검토"),"ACTION",IF(AND(ISNUMBER(W114),W114&lt;=0),"OVERDUE",IF(AND(ISNUMBER(W114),W114&lt;=14),"WARNING","ON TRACK"))))))</f>
        <v/>
      </c>
      <c r="Y114" s="19">
        <f>IF(B114="","",IF(U114="11-결과등록완료","— 완료",IF(U114="01-계획서미제출",IF(I114&lt;TODAY(),"계획서 제출 독촉 (OVERDUE)","계획서 제출 대기"),IF(U114="02-계획서제출_미검토","설계자: 계획서 검토 착수",IF(U114="03-검토중_조건충족","설계자: 승인 처리",IF(U114="04-검토중_조건불만족","보완 요청 → 협력사 재제출 독촉",IF(U114="05-계획서승인","시험편 준비 현황 확인",IF(U114="06-BIW생산중단","BIW 생산팀 확인 → 일정 재수립",IF(U114="07-생산완료_미인수","협력사 인수 독촉",IF(U114="08-단품준비완료","시험 일정 확인",IF(U114="09-시험준비중","시험 진행 모니터링",IF(U114="10-시험완료","결과 보고서 전산 등록 독촉",IF(U114="12-조건부승인검토","조건부 승인 여부 판단 → 관련부서 협의","—")))))))))))))</f>
        <v/>
      </c>
    </row>
    <row r="115">
      <c r="A115" s="5">
        <f>IF(B115="","",ROW()-4)</f>
        <v/>
      </c>
      <c r="B115" s="13" t="n"/>
      <c r="C115" s="14" t="n"/>
      <c r="D115" s="15">
        <f>IF(B115="","",IFERROR(VLOOKUP(C115,'Reference Data 기준데이터'!$E$8:$F$30,2,FALSE),""))</f>
        <v/>
      </c>
      <c r="E115" s="14" t="n"/>
      <c r="F115" s="15">
        <f>IF(B115="","",IFERROR(VLOOKUP(E115,'Reference Data 기준데이터'!$A$8:$F$30,2,FALSE),""))</f>
        <v/>
      </c>
      <c r="G115" s="15">
        <f>IF(B115="","",IFERROR(VLOOKUP(B115&amp;"_"&amp;C115,'Reference Data 기준데이터'!$A$33:$B$51,2,FALSE),""))</f>
        <v/>
      </c>
      <c r="H115" s="16">
        <f>IF(B115="","",IFERROR(VLOOKUP(B115,'Reference Data 기준데이터'!$A$2:$J$5,3,FALSE),""))</f>
        <v/>
      </c>
      <c r="I115" s="16">
        <f>IF(B115="","",IFERROR(H115+VLOOKUP(B115,'Reference Data 기준데이터'!$A$2:$J$5,7,FALSE),""))</f>
        <v/>
      </c>
      <c r="J115" s="20" t="n"/>
      <c r="K115" s="13" t="n"/>
      <c r="L115" s="16">
        <f>IF(B115="","",IFERROR(H115+VLOOKUP(B115,'Reference Data 기준데이터'!$A$2:$J$5,8,FALSE),""))</f>
        <v/>
      </c>
      <c r="M115" s="20" t="n"/>
      <c r="N115" s="16">
        <f>IF(B115="","",IFERROR(IF(ISNUMBER(SEARCH("Vehicle",F115)),MAX(H115+VLOOKUP(B115,'Reference Data 기준데이터'!$A$2:$J$5,9,FALSE),VLOOKUP(B115,'Reference Data 기준데이터'!$A$2:$J$5,4,FALSE)),H115+VLOOKUP(B115,'Reference Data 기준데이터'!$A$2:$J$5,9,FALSE)),""))</f>
        <v/>
      </c>
      <c r="O115" s="20" t="n"/>
      <c r="P115" s="16">
        <f>IF(B115="","",IFERROR(N115+VLOOKUP(E115,'Reference Data 기준데이터'!$A$8:$F$30,4,FALSE),""))</f>
        <v/>
      </c>
      <c r="Q115" s="20" t="n"/>
      <c r="R115" s="16">
        <f>IF(B115="","",IFERROR(MIN(H115+VLOOKUP(B115,'Reference Data 기준데이터'!$A$2:$J$5,10,FALSE),VLOOKUP(B115,'Reference Data 기준데이터'!$A$2:$J$5,6,FALSE)),""))</f>
        <v/>
      </c>
      <c r="S115" s="20" t="n"/>
      <c r="T115" s="13" t="n"/>
      <c r="U115" s="17">
        <f>IF(B115="","",IF(T115&lt;&gt;"",T115,IF(AND(S115&lt;&gt;"",Q115&lt;&gt;""),"11-결과등록완료",IF(AND(Q115&lt;&gt;"",S115=""),"10-시험완료",IF(AND(O115&lt;&gt;"",Q115=""),"09-시험준비중",IF(AND(M115&lt;&gt;"",O115=""),"08-단품준비완료",IF(K115="Approved","05-계획서승인",IF(K115="Revision Needed","04-검토중_조건불만족",IF(K115="Under Review","03-검토중_조건충족",IF(AND(J115&lt;&gt;"",K115=""),"02-계획서제출_미검토","01-계획서미제출"))))))))))</f>
        <v/>
      </c>
      <c r="V115" s="18">
        <f>IF(B115="","",IFS(U115="01-계획서미제출",0,U115="02-계획서제출_미검토",0.05,U115="03-검토중_조건충족",0.1,U115="04-검토중_조건불만족",0.05,U115="05-계획서승인",0.2,U115="06-BIW생산중단",0.15,U115="07-생산완료_미인수",0.3,U115="08-단품준비완료",0.4,U115="09-시험준비중",0.55,U115="10-시험완료",0.85,U115="11-결과등록완료",1,U115="12-조건부승인검토",0.9,TRUE,0))</f>
        <v/>
      </c>
      <c r="W115" s="5">
        <f>IF(B115="","",IF(S115&lt;&gt;"","-",IF(R115="","N/A",R115-TODAY())))</f>
        <v/>
      </c>
      <c r="X115" s="17">
        <f>IF(B115="","",IF(U115="11-결과등록완료","DONE",IF(OR(U115="06-BIW생산중단",AND(U115="01-계획서미제출",I115&lt;TODAY())),"CRITICAL",IF(OR(U115="04-검토중_조건불만족",U115="07-생산완료_미인수",U115="12-조건부승인검토"),"ACTION",IF(AND(ISNUMBER(W115),W115&lt;=0),"OVERDUE",IF(AND(ISNUMBER(W115),W115&lt;=14),"WARNING","ON TRACK"))))))</f>
        <v/>
      </c>
      <c r="Y115" s="19">
        <f>IF(B115="","",IF(U115="11-결과등록완료","— 완료",IF(U115="01-계획서미제출",IF(I115&lt;TODAY(),"계획서 제출 독촉 (OVERDUE)","계획서 제출 대기"),IF(U115="02-계획서제출_미검토","설계자: 계획서 검토 착수",IF(U115="03-검토중_조건충족","설계자: 승인 처리",IF(U115="04-검토중_조건불만족","보완 요청 → 협력사 재제출 독촉",IF(U115="05-계획서승인","시험편 준비 현황 확인",IF(U115="06-BIW생산중단","BIW 생산팀 확인 → 일정 재수립",IF(U115="07-생산완료_미인수","협력사 인수 독촉",IF(U115="08-단품준비완료","시험 일정 확인",IF(U115="09-시험준비중","시험 진행 모니터링",IF(U115="10-시험완료","결과 보고서 전산 등록 독촉",IF(U115="12-조건부승인검토","조건부 승인 여부 판단 → 관련부서 협의","—")))))))))))))</f>
        <v/>
      </c>
    </row>
    <row r="116">
      <c r="A116" s="5">
        <f>IF(B116="","",ROW()-4)</f>
        <v/>
      </c>
      <c r="B116" s="13" t="n"/>
      <c r="C116" s="14" t="n"/>
      <c r="D116" s="15">
        <f>IF(B116="","",IFERROR(VLOOKUP(C116,'Reference Data 기준데이터'!$E$8:$F$30,2,FALSE),""))</f>
        <v/>
      </c>
      <c r="E116" s="14" t="n"/>
      <c r="F116" s="15">
        <f>IF(B116="","",IFERROR(VLOOKUP(E116,'Reference Data 기준데이터'!$A$8:$F$30,2,FALSE),""))</f>
        <v/>
      </c>
      <c r="G116" s="15">
        <f>IF(B116="","",IFERROR(VLOOKUP(B116&amp;"_"&amp;C116,'Reference Data 기준데이터'!$A$33:$B$51,2,FALSE),""))</f>
        <v/>
      </c>
      <c r="H116" s="16">
        <f>IF(B116="","",IFERROR(VLOOKUP(B116,'Reference Data 기준데이터'!$A$2:$J$5,3,FALSE),""))</f>
        <v/>
      </c>
      <c r="I116" s="16">
        <f>IF(B116="","",IFERROR(H116+VLOOKUP(B116,'Reference Data 기준데이터'!$A$2:$J$5,7,FALSE),""))</f>
        <v/>
      </c>
      <c r="J116" s="20" t="n"/>
      <c r="K116" s="13" t="n"/>
      <c r="L116" s="16">
        <f>IF(B116="","",IFERROR(H116+VLOOKUP(B116,'Reference Data 기준데이터'!$A$2:$J$5,8,FALSE),""))</f>
        <v/>
      </c>
      <c r="M116" s="20" t="n"/>
      <c r="N116" s="16">
        <f>IF(B116="","",IFERROR(IF(ISNUMBER(SEARCH("Vehicle",F116)),MAX(H116+VLOOKUP(B116,'Reference Data 기준데이터'!$A$2:$J$5,9,FALSE),VLOOKUP(B116,'Reference Data 기준데이터'!$A$2:$J$5,4,FALSE)),H116+VLOOKUP(B116,'Reference Data 기준데이터'!$A$2:$J$5,9,FALSE)),""))</f>
        <v/>
      </c>
      <c r="O116" s="20" t="n"/>
      <c r="P116" s="16">
        <f>IF(B116="","",IFERROR(N116+VLOOKUP(E116,'Reference Data 기준데이터'!$A$8:$F$30,4,FALSE),""))</f>
        <v/>
      </c>
      <c r="Q116" s="20" t="n"/>
      <c r="R116" s="16">
        <f>IF(B116="","",IFERROR(MIN(H116+VLOOKUP(B116,'Reference Data 기준데이터'!$A$2:$J$5,10,FALSE),VLOOKUP(B116,'Reference Data 기준데이터'!$A$2:$J$5,6,FALSE)),""))</f>
        <v/>
      </c>
      <c r="S116" s="20" t="n"/>
      <c r="T116" s="13" t="n"/>
      <c r="U116" s="17">
        <f>IF(B116="","",IF(T116&lt;&gt;"",T116,IF(AND(S116&lt;&gt;"",Q116&lt;&gt;""),"11-결과등록완료",IF(AND(Q116&lt;&gt;"",S116=""),"10-시험완료",IF(AND(O116&lt;&gt;"",Q116=""),"09-시험준비중",IF(AND(M116&lt;&gt;"",O116=""),"08-단품준비완료",IF(K116="Approved","05-계획서승인",IF(K116="Revision Needed","04-검토중_조건불만족",IF(K116="Under Review","03-검토중_조건충족",IF(AND(J116&lt;&gt;"",K116=""),"02-계획서제출_미검토","01-계획서미제출"))))))))))</f>
        <v/>
      </c>
      <c r="V116" s="18">
        <f>IF(B116="","",IFS(U116="01-계획서미제출",0,U116="02-계획서제출_미검토",0.05,U116="03-검토중_조건충족",0.1,U116="04-검토중_조건불만족",0.05,U116="05-계획서승인",0.2,U116="06-BIW생산중단",0.15,U116="07-생산완료_미인수",0.3,U116="08-단품준비완료",0.4,U116="09-시험준비중",0.55,U116="10-시험완료",0.85,U116="11-결과등록완료",1,U116="12-조건부승인검토",0.9,TRUE,0))</f>
        <v/>
      </c>
      <c r="W116" s="5">
        <f>IF(B116="","",IF(S116&lt;&gt;"","-",IF(R116="","N/A",R116-TODAY())))</f>
        <v/>
      </c>
      <c r="X116" s="17">
        <f>IF(B116="","",IF(U116="11-결과등록완료","DONE",IF(OR(U116="06-BIW생산중단",AND(U116="01-계획서미제출",I116&lt;TODAY())),"CRITICAL",IF(OR(U116="04-검토중_조건불만족",U116="07-생산완료_미인수",U116="12-조건부승인검토"),"ACTION",IF(AND(ISNUMBER(W116),W116&lt;=0),"OVERDUE",IF(AND(ISNUMBER(W116),W116&lt;=14),"WARNING","ON TRACK"))))))</f>
        <v/>
      </c>
      <c r="Y116" s="19">
        <f>IF(B116="","",IF(U116="11-결과등록완료","— 완료",IF(U116="01-계획서미제출",IF(I116&lt;TODAY(),"계획서 제출 독촉 (OVERDUE)","계획서 제출 대기"),IF(U116="02-계획서제출_미검토","설계자: 계획서 검토 착수",IF(U116="03-검토중_조건충족","설계자: 승인 처리",IF(U116="04-검토중_조건불만족","보완 요청 → 협력사 재제출 독촉",IF(U116="05-계획서승인","시험편 준비 현황 확인",IF(U116="06-BIW생산중단","BIW 생산팀 확인 → 일정 재수립",IF(U116="07-생산완료_미인수","협력사 인수 독촉",IF(U116="08-단품준비완료","시험 일정 확인",IF(U116="09-시험준비중","시험 진행 모니터링",IF(U116="10-시험완료","결과 보고서 전산 등록 독촉",IF(U116="12-조건부승인검토","조건부 승인 여부 판단 → 관련부서 협의","—")))))))))))))</f>
        <v/>
      </c>
    </row>
    <row r="117">
      <c r="A117" s="5">
        <f>IF(B117="","",ROW()-4)</f>
        <v/>
      </c>
      <c r="B117" s="13" t="n"/>
      <c r="C117" s="14" t="n"/>
      <c r="D117" s="15">
        <f>IF(B117="","",IFERROR(VLOOKUP(C117,'Reference Data 기준데이터'!$E$8:$F$30,2,FALSE),""))</f>
        <v/>
      </c>
      <c r="E117" s="14" t="n"/>
      <c r="F117" s="15">
        <f>IF(B117="","",IFERROR(VLOOKUP(E117,'Reference Data 기준데이터'!$A$8:$F$30,2,FALSE),""))</f>
        <v/>
      </c>
      <c r="G117" s="15">
        <f>IF(B117="","",IFERROR(VLOOKUP(B117&amp;"_"&amp;C117,'Reference Data 기준데이터'!$A$33:$B$51,2,FALSE),""))</f>
        <v/>
      </c>
      <c r="H117" s="16">
        <f>IF(B117="","",IFERROR(VLOOKUP(B117,'Reference Data 기준데이터'!$A$2:$J$5,3,FALSE),""))</f>
        <v/>
      </c>
      <c r="I117" s="16">
        <f>IF(B117="","",IFERROR(H117+VLOOKUP(B117,'Reference Data 기준데이터'!$A$2:$J$5,7,FALSE),""))</f>
        <v/>
      </c>
      <c r="J117" s="20" t="n"/>
      <c r="K117" s="13" t="n"/>
      <c r="L117" s="16">
        <f>IF(B117="","",IFERROR(H117+VLOOKUP(B117,'Reference Data 기준데이터'!$A$2:$J$5,8,FALSE),""))</f>
        <v/>
      </c>
      <c r="M117" s="20" t="n"/>
      <c r="N117" s="16">
        <f>IF(B117="","",IFERROR(IF(ISNUMBER(SEARCH("Vehicle",F117)),MAX(H117+VLOOKUP(B117,'Reference Data 기준데이터'!$A$2:$J$5,9,FALSE),VLOOKUP(B117,'Reference Data 기준데이터'!$A$2:$J$5,4,FALSE)),H117+VLOOKUP(B117,'Reference Data 기준데이터'!$A$2:$J$5,9,FALSE)),""))</f>
        <v/>
      </c>
      <c r="O117" s="20" t="n"/>
      <c r="P117" s="16">
        <f>IF(B117="","",IFERROR(N117+VLOOKUP(E117,'Reference Data 기준데이터'!$A$8:$F$30,4,FALSE),""))</f>
        <v/>
      </c>
      <c r="Q117" s="20" t="n"/>
      <c r="R117" s="16">
        <f>IF(B117="","",IFERROR(MIN(H117+VLOOKUP(B117,'Reference Data 기준데이터'!$A$2:$J$5,10,FALSE),VLOOKUP(B117,'Reference Data 기준데이터'!$A$2:$J$5,6,FALSE)),""))</f>
        <v/>
      </c>
      <c r="S117" s="20" t="n"/>
      <c r="T117" s="13" t="n"/>
      <c r="U117" s="17">
        <f>IF(B117="","",IF(T117&lt;&gt;"",T117,IF(AND(S117&lt;&gt;"",Q117&lt;&gt;""),"11-결과등록완료",IF(AND(Q117&lt;&gt;"",S117=""),"10-시험완료",IF(AND(O117&lt;&gt;"",Q117=""),"09-시험준비중",IF(AND(M117&lt;&gt;"",O117=""),"08-단품준비완료",IF(K117="Approved","05-계획서승인",IF(K117="Revision Needed","04-검토중_조건불만족",IF(K117="Under Review","03-검토중_조건충족",IF(AND(J117&lt;&gt;"",K117=""),"02-계획서제출_미검토","01-계획서미제출"))))))))))</f>
        <v/>
      </c>
      <c r="V117" s="18">
        <f>IF(B117="","",IFS(U117="01-계획서미제출",0,U117="02-계획서제출_미검토",0.05,U117="03-검토중_조건충족",0.1,U117="04-검토중_조건불만족",0.05,U117="05-계획서승인",0.2,U117="06-BIW생산중단",0.15,U117="07-생산완료_미인수",0.3,U117="08-단품준비완료",0.4,U117="09-시험준비중",0.55,U117="10-시험완료",0.85,U117="11-결과등록완료",1,U117="12-조건부승인검토",0.9,TRUE,0))</f>
        <v/>
      </c>
      <c r="W117" s="5">
        <f>IF(B117="","",IF(S117&lt;&gt;"","-",IF(R117="","N/A",R117-TODAY())))</f>
        <v/>
      </c>
      <c r="X117" s="17">
        <f>IF(B117="","",IF(U117="11-결과등록완료","DONE",IF(OR(U117="06-BIW생산중단",AND(U117="01-계획서미제출",I117&lt;TODAY())),"CRITICAL",IF(OR(U117="04-검토중_조건불만족",U117="07-생산완료_미인수",U117="12-조건부승인검토"),"ACTION",IF(AND(ISNUMBER(W117),W117&lt;=0),"OVERDUE",IF(AND(ISNUMBER(W117),W117&lt;=14),"WARNING","ON TRACK"))))))</f>
        <v/>
      </c>
      <c r="Y117" s="19">
        <f>IF(B117="","",IF(U117="11-결과등록완료","— 완료",IF(U117="01-계획서미제출",IF(I117&lt;TODAY(),"계획서 제출 독촉 (OVERDUE)","계획서 제출 대기"),IF(U117="02-계획서제출_미검토","설계자: 계획서 검토 착수",IF(U117="03-검토중_조건충족","설계자: 승인 처리",IF(U117="04-검토중_조건불만족","보완 요청 → 협력사 재제출 독촉",IF(U117="05-계획서승인","시험편 준비 현황 확인",IF(U117="06-BIW생산중단","BIW 생산팀 확인 → 일정 재수립",IF(U117="07-생산완료_미인수","협력사 인수 독촉",IF(U117="08-단품준비완료","시험 일정 확인",IF(U117="09-시험준비중","시험 진행 모니터링",IF(U117="10-시험완료","결과 보고서 전산 등록 독촉",IF(U117="12-조건부승인검토","조건부 승인 여부 판단 → 관련부서 협의","—")))))))))))))</f>
        <v/>
      </c>
    </row>
    <row r="118">
      <c r="A118" s="5">
        <f>IF(B118="","",ROW()-4)</f>
        <v/>
      </c>
      <c r="B118" s="13" t="n"/>
      <c r="C118" s="14" t="n"/>
      <c r="D118" s="15">
        <f>IF(B118="","",IFERROR(VLOOKUP(C118,'Reference Data 기준데이터'!$E$8:$F$30,2,FALSE),""))</f>
        <v/>
      </c>
      <c r="E118" s="14" t="n"/>
      <c r="F118" s="15">
        <f>IF(B118="","",IFERROR(VLOOKUP(E118,'Reference Data 기준데이터'!$A$8:$F$30,2,FALSE),""))</f>
        <v/>
      </c>
      <c r="G118" s="15">
        <f>IF(B118="","",IFERROR(VLOOKUP(B118&amp;"_"&amp;C118,'Reference Data 기준데이터'!$A$33:$B$51,2,FALSE),""))</f>
        <v/>
      </c>
      <c r="H118" s="16">
        <f>IF(B118="","",IFERROR(VLOOKUP(B118,'Reference Data 기준데이터'!$A$2:$J$5,3,FALSE),""))</f>
        <v/>
      </c>
      <c r="I118" s="16">
        <f>IF(B118="","",IFERROR(H118+VLOOKUP(B118,'Reference Data 기준데이터'!$A$2:$J$5,7,FALSE),""))</f>
        <v/>
      </c>
      <c r="J118" s="20" t="n"/>
      <c r="K118" s="13" t="n"/>
      <c r="L118" s="16">
        <f>IF(B118="","",IFERROR(H118+VLOOKUP(B118,'Reference Data 기준데이터'!$A$2:$J$5,8,FALSE),""))</f>
        <v/>
      </c>
      <c r="M118" s="20" t="n"/>
      <c r="N118" s="16">
        <f>IF(B118="","",IFERROR(IF(ISNUMBER(SEARCH("Vehicle",F118)),MAX(H118+VLOOKUP(B118,'Reference Data 기준데이터'!$A$2:$J$5,9,FALSE),VLOOKUP(B118,'Reference Data 기준데이터'!$A$2:$J$5,4,FALSE)),H118+VLOOKUP(B118,'Reference Data 기준데이터'!$A$2:$J$5,9,FALSE)),""))</f>
        <v/>
      </c>
      <c r="O118" s="20" t="n"/>
      <c r="P118" s="16">
        <f>IF(B118="","",IFERROR(N118+VLOOKUP(E118,'Reference Data 기준데이터'!$A$8:$F$30,4,FALSE),""))</f>
        <v/>
      </c>
      <c r="Q118" s="20" t="n"/>
      <c r="R118" s="16">
        <f>IF(B118="","",IFERROR(MIN(H118+VLOOKUP(B118,'Reference Data 기준데이터'!$A$2:$J$5,10,FALSE),VLOOKUP(B118,'Reference Data 기준데이터'!$A$2:$J$5,6,FALSE)),""))</f>
        <v/>
      </c>
      <c r="S118" s="20" t="n"/>
      <c r="T118" s="13" t="n"/>
      <c r="U118" s="17">
        <f>IF(B118="","",IF(T118&lt;&gt;"",T118,IF(AND(S118&lt;&gt;"",Q118&lt;&gt;""),"11-결과등록완료",IF(AND(Q118&lt;&gt;"",S118=""),"10-시험완료",IF(AND(O118&lt;&gt;"",Q118=""),"09-시험준비중",IF(AND(M118&lt;&gt;"",O118=""),"08-단품준비완료",IF(K118="Approved","05-계획서승인",IF(K118="Revision Needed","04-검토중_조건불만족",IF(K118="Under Review","03-검토중_조건충족",IF(AND(J118&lt;&gt;"",K118=""),"02-계획서제출_미검토","01-계획서미제출"))))))))))</f>
        <v/>
      </c>
      <c r="V118" s="18">
        <f>IF(B118="","",IFS(U118="01-계획서미제출",0,U118="02-계획서제출_미검토",0.05,U118="03-검토중_조건충족",0.1,U118="04-검토중_조건불만족",0.05,U118="05-계획서승인",0.2,U118="06-BIW생산중단",0.15,U118="07-생산완료_미인수",0.3,U118="08-단품준비완료",0.4,U118="09-시험준비중",0.55,U118="10-시험완료",0.85,U118="11-결과등록완료",1,U118="12-조건부승인검토",0.9,TRUE,0))</f>
        <v/>
      </c>
      <c r="W118" s="5">
        <f>IF(B118="","",IF(S118&lt;&gt;"","-",IF(R118="","N/A",R118-TODAY())))</f>
        <v/>
      </c>
      <c r="X118" s="17">
        <f>IF(B118="","",IF(U118="11-결과등록완료","DONE",IF(OR(U118="06-BIW생산중단",AND(U118="01-계획서미제출",I118&lt;TODAY())),"CRITICAL",IF(OR(U118="04-검토중_조건불만족",U118="07-생산완료_미인수",U118="12-조건부승인검토"),"ACTION",IF(AND(ISNUMBER(W118),W118&lt;=0),"OVERDUE",IF(AND(ISNUMBER(W118),W118&lt;=14),"WARNING","ON TRACK"))))))</f>
        <v/>
      </c>
      <c r="Y118" s="19">
        <f>IF(B118="","",IF(U118="11-결과등록완료","— 완료",IF(U118="01-계획서미제출",IF(I118&lt;TODAY(),"계획서 제출 독촉 (OVERDUE)","계획서 제출 대기"),IF(U118="02-계획서제출_미검토","설계자: 계획서 검토 착수",IF(U118="03-검토중_조건충족","설계자: 승인 처리",IF(U118="04-검토중_조건불만족","보완 요청 → 협력사 재제출 독촉",IF(U118="05-계획서승인","시험편 준비 현황 확인",IF(U118="06-BIW생산중단","BIW 생산팀 확인 → 일정 재수립",IF(U118="07-생산완료_미인수","협력사 인수 독촉",IF(U118="08-단품준비완료","시험 일정 확인",IF(U118="09-시험준비중","시험 진행 모니터링",IF(U118="10-시험완료","결과 보고서 전산 등록 독촉",IF(U118="12-조건부승인검토","조건부 승인 여부 판단 → 관련부서 협의","—")))))))))))))</f>
        <v/>
      </c>
    </row>
    <row r="119">
      <c r="A119" s="5">
        <f>IF(B119="","",ROW()-4)</f>
        <v/>
      </c>
      <c r="B119" s="13" t="n"/>
      <c r="C119" s="14" t="n"/>
      <c r="D119" s="15">
        <f>IF(B119="","",IFERROR(VLOOKUP(C119,'Reference Data 기준데이터'!$E$8:$F$30,2,FALSE),""))</f>
        <v/>
      </c>
      <c r="E119" s="14" t="n"/>
      <c r="F119" s="15">
        <f>IF(B119="","",IFERROR(VLOOKUP(E119,'Reference Data 기준데이터'!$A$8:$F$30,2,FALSE),""))</f>
        <v/>
      </c>
      <c r="G119" s="15">
        <f>IF(B119="","",IFERROR(VLOOKUP(B119&amp;"_"&amp;C119,'Reference Data 기준데이터'!$A$33:$B$51,2,FALSE),""))</f>
        <v/>
      </c>
      <c r="H119" s="16">
        <f>IF(B119="","",IFERROR(VLOOKUP(B119,'Reference Data 기준데이터'!$A$2:$J$5,3,FALSE),""))</f>
        <v/>
      </c>
      <c r="I119" s="16">
        <f>IF(B119="","",IFERROR(H119+VLOOKUP(B119,'Reference Data 기준데이터'!$A$2:$J$5,7,FALSE),""))</f>
        <v/>
      </c>
      <c r="J119" s="20" t="n"/>
      <c r="K119" s="13" t="n"/>
      <c r="L119" s="16">
        <f>IF(B119="","",IFERROR(H119+VLOOKUP(B119,'Reference Data 기준데이터'!$A$2:$J$5,8,FALSE),""))</f>
        <v/>
      </c>
      <c r="M119" s="20" t="n"/>
      <c r="N119" s="16">
        <f>IF(B119="","",IFERROR(IF(ISNUMBER(SEARCH("Vehicle",F119)),MAX(H119+VLOOKUP(B119,'Reference Data 기준데이터'!$A$2:$J$5,9,FALSE),VLOOKUP(B119,'Reference Data 기준데이터'!$A$2:$J$5,4,FALSE)),H119+VLOOKUP(B119,'Reference Data 기준데이터'!$A$2:$J$5,9,FALSE)),""))</f>
        <v/>
      </c>
      <c r="O119" s="20" t="n"/>
      <c r="P119" s="16">
        <f>IF(B119="","",IFERROR(N119+VLOOKUP(E119,'Reference Data 기준데이터'!$A$8:$F$30,4,FALSE),""))</f>
        <v/>
      </c>
      <c r="Q119" s="20" t="n"/>
      <c r="R119" s="16">
        <f>IF(B119="","",IFERROR(MIN(H119+VLOOKUP(B119,'Reference Data 기준데이터'!$A$2:$J$5,10,FALSE),VLOOKUP(B119,'Reference Data 기준데이터'!$A$2:$J$5,6,FALSE)),""))</f>
        <v/>
      </c>
      <c r="S119" s="20" t="n"/>
      <c r="T119" s="13" t="n"/>
      <c r="U119" s="17">
        <f>IF(B119="","",IF(T119&lt;&gt;"",T119,IF(AND(S119&lt;&gt;"",Q119&lt;&gt;""),"11-결과등록완료",IF(AND(Q119&lt;&gt;"",S119=""),"10-시험완료",IF(AND(O119&lt;&gt;"",Q119=""),"09-시험준비중",IF(AND(M119&lt;&gt;"",O119=""),"08-단품준비완료",IF(K119="Approved","05-계획서승인",IF(K119="Revision Needed","04-검토중_조건불만족",IF(K119="Under Review","03-검토중_조건충족",IF(AND(J119&lt;&gt;"",K119=""),"02-계획서제출_미검토","01-계획서미제출"))))))))))</f>
        <v/>
      </c>
      <c r="V119" s="18">
        <f>IF(B119="","",IFS(U119="01-계획서미제출",0,U119="02-계획서제출_미검토",0.05,U119="03-검토중_조건충족",0.1,U119="04-검토중_조건불만족",0.05,U119="05-계획서승인",0.2,U119="06-BIW생산중단",0.15,U119="07-생산완료_미인수",0.3,U119="08-단품준비완료",0.4,U119="09-시험준비중",0.55,U119="10-시험완료",0.85,U119="11-결과등록완료",1,U119="12-조건부승인검토",0.9,TRUE,0))</f>
        <v/>
      </c>
      <c r="W119" s="5">
        <f>IF(B119="","",IF(S119&lt;&gt;"","-",IF(R119="","N/A",R119-TODAY())))</f>
        <v/>
      </c>
      <c r="X119" s="17">
        <f>IF(B119="","",IF(U119="11-결과등록완료","DONE",IF(OR(U119="06-BIW생산중단",AND(U119="01-계획서미제출",I119&lt;TODAY())),"CRITICAL",IF(OR(U119="04-검토중_조건불만족",U119="07-생산완료_미인수",U119="12-조건부승인검토"),"ACTION",IF(AND(ISNUMBER(W119),W119&lt;=0),"OVERDUE",IF(AND(ISNUMBER(W119),W119&lt;=14),"WARNING","ON TRACK"))))))</f>
        <v/>
      </c>
      <c r="Y119" s="19">
        <f>IF(B119="","",IF(U119="11-결과등록완료","— 완료",IF(U119="01-계획서미제출",IF(I119&lt;TODAY(),"계획서 제출 독촉 (OVERDUE)","계획서 제출 대기"),IF(U119="02-계획서제출_미검토","설계자: 계획서 검토 착수",IF(U119="03-검토중_조건충족","설계자: 승인 처리",IF(U119="04-검토중_조건불만족","보완 요청 → 협력사 재제출 독촉",IF(U119="05-계획서승인","시험편 준비 현황 확인",IF(U119="06-BIW생산중단","BIW 생산팀 확인 → 일정 재수립",IF(U119="07-생산완료_미인수","협력사 인수 독촉",IF(U119="08-단품준비완료","시험 일정 확인",IF(U119="09-시험준비중","시험 진행 모니터링",IF(U119="10-시험완료","결과 보고서 전산 등록 독촉",IF(U119="12-조건부승인검토","조건부 승인 여부 판단 → 관련부서 협의","—")))))))))))))</f>
        <v/>
      </c>
    </row>
    <row r="120">
      <c r="A120" s="5">
        <f>IF(B120="","",ROW()-4)</f>
        <v/>
      </c>
      <c r="B120" s="13" t="n"/>
      <c r="C120" s="14" t="n"/>
      <c r="D120" s="15">
        <f>IF(B120="","",IFERROR(VLOOKUP(C120,'Reference Data 기준데이터'!$E$8:$F$30,2,FALSE),""))</f>
        <v/>
      </c>
      <c r="E120" s="14" t="n"/>
      <c r="F120" s="15">
        <f>IF(B120="","",IFERROR(VLOOKUP(E120,'Reference Data 기준데이터'!$A$8:$F$30,2,FALSE),""))</f>
        <v/>
      </c>
      <c r="G120" s="15">
        <f>IF(B120="","",IFERROR(VLOOKUP(B120&amp;"_"&amp;C120,'Reference Data 기준데이터'!$A$33:$B$51,2,FALSE),""))</f>
        <v/>
      </c>
      <c r="H120" s="16">
        <f>IF(B120="","",IFERROR(VLOOKUP(B120,'Reference Data 기준데이터'!$A$2:$J$5,3,FALSE),""))</f>
        <v/>
      </c>
      <c r="I120" s="16">
        <f>IF(B120="","",IFERROR(H120+VLOOKUP(B120,'Reference Data 기준데이터'!$A$2:$J$5,7,FALSE),""))</f>
        <v/>
      </c>
      <c r="J120" s="20" t="n"/>
      <c r="K120" s="13" t="n"/>
      <c r="L120" s="16">
        <f>IF(B120="","",IFERROR(H120+VLOOKUP(B120,'Reference Data 기준데이터'!$A$2:$J$5,8,FALSE),""))</f>
        <v/>
      </c>
      <c r="M120" s="20" t="n"/>
      <c r="N120" s="16">
        <f>IF(B120="","",IFERROR(IF(ISNUMBER(SEARCH("Vehicle",F120)),MAX(H120+VLOOKUP(B120,'Reference Data 기준데이터'!$A$2:$J$5,9,FALSE),VLOOKUP(B120,'Reference Data 기준데이터'!$A$2:$J$5,4,FALSE)),H120+VLOOKUP(B120,'Reference Data 기준데이터'!$A$2:$J$5,9,FALSE)),""))</f>
        <v/>
      </c>
      <c r="O120" s="20" t="n"/>
      <c r="P120" s="16">
        <f>IF(B120="","",IFERROR(N120+VLOOKUP(E120,'Reference Data 기준데이터'!$A$8:$F$30,4,FALSE),""))</f>
        <v/>
      </c>
      <c r="Q120" s="20" t="n"/>
      <c r="R120" s="16">
        <f>IF(B120="","",IFERROR(MIN(H120+VLOOKUP(B120,'Reference Data 기준데이터'!$A$2:$J$5,10,FALSE),VLOOKUP(B120,'Reference Data 기준데이터'!$A$2:$J$5,6,FALSE)),""))</f>
        <v/>
      </c>
      <c r="S120" s="20" t="n"/>
      <c r="T120" s="13" t="n"/>
      <c r="U120" s="17">
        <f>IF(B120="","",IF(T120&lt;&gt;"",T120,IF(AND(S120&lt;&gt;"",Q120&lt;&gt;""),"11-결과등록완료",IF(AND(Q120&lt;&gt;"",S120=""),"10-시험완료",IF(AND(O120&lt;&gt;"",Q120=""),"09-시험준비중",IF(AND(M120&lt;&gt;"",O120=""),"08-단품준비완료",IF(K120="Approved","05-계획서승인",IF(K120="Revision Needed","04-검토중_조건불만족",IF(K120="Under Review","03-검토중_조건충족",IF(AND(J120&lt;&gt;"",K120=""),"02-계획서제출_미검토","01-계획서미제출"))))))))))</f>
        <v/>
      </c>
      <c r="V120" s="18">
        <f>IF(B120="","",IFS(U120="01-계획서미제출",0,U120="02-계획서제출_미검토",0.05,U120="03-검토중_조건충족",0.1,U120="04-검토중_조건불만족",0.05,U120="05-계획서승인",0.2,U120="06-BIW생산중단",0.15,U120="07-생산완료_미인수",0.3,U120="08-단품준비완료",0.4,U120="09-시험준비중",0.55,U120="10-시험완료",0.85,U120="11-결과등록완료",1,U120="12-조건부승인검토",0.9,TRUE,0))</f>
        <v/>
      </c>
      <c r="W120" s="5">
        <f>IF(B120="","",IF(S120&lt;&gt;"","-",IF(R120="","N/A",R120-TODAY())))</f>
        <v/>
      </c>
      <c r="X120" s="17">
        <f>IF(B120="","",IF(U120="11-결과등록완료","DONE",IF(OR(U120="06-BIW생산중단",AND(U120="01-계획서미제출",I120&lt;TODAY())),"CRITICAL",IF(OR(U120="04-검토중_조건불만족",U120="07-생산완료_미인수",U120="12-조건부승인검토"),"ACTION",IF(AND(ISNUMBER(W120),W120&lt;=0),"OVERDUE",IF(AND(ISNUMBER(W120),W120&lt;=14),"WARNING","ON TRACK"))))))</f>
        <v/>
      </c>
      <c r="Y120" s="19">
        <f>IF(B120="","",IF(U120="11-결과등록완료","— 완료",IF(U120="01-계획서미제출",IF(I120&lt;TODAY(),"계획서 제출 독촉 (OVERDUE)","계획서 제출 대기"),IF(U120="02-계획서제출_미검토","설계자: 계획서 검토 착수",IF(U120="03-검토중_조건충족","설계자: 승인 처리",IF(U120="04-검토중_조건불만족","보완 요청 → 협력사 재제출 독촉",IF(U120="05-계획서승인","시험편 준비 현황 확인",IF(U120="06-BIW생산중단","BIW 생산팀 확인 → 일정 재수립",IF(U120="07-생산완료_미인수","협력사 인수 독촉",IF(U120="08-단품준비완료","시험 일정 확인",IF(U120="09-시험준비중","시험 진행 모니터링",IF(U120="10-시험완료","결과 보고서 전산 등록 독촉",IF(U120="12-조건부승인검토","조건부 승인 여부 판단 → 관련부서 협의","—")))))))))))))</f>
        <v/>
      </c>
    </row>
    <row r="121">
      <c r="A121" s="5">
        <f>IF(B121="","",ROW()-4)</f>
        <v/>
      </c>
      <c r="B121" s="13" t="n"/>
      <c r="C121" s="14" t="n"/>
      <c r="D121" s="15">
        <f>IF(B121="","",IFERROR(VLOOKUP(C121,'Reference Data 기준데이터'!$E$8:$F$30,2,FALSE),""))</f>
        <v/>
      </c>
      <c r="E121" s="14" t="n"/>
      <c r="F121" s="15">
        <f>IF(B121="","",IFERROR(VLOOKUP(E121,'Reference Data 기준데이터'!$A$8:$F$30,2,FALSE),""))</f>
        <v/>
      </c>
      <c r="G121" s="15">
        <f>IF(B121="","",IFERROR(VLOOKUP(B121&amp;"_"&amp;C121,'Reference Data 기준데이터'!$A$33:$B$51,2,FALSE),""))</f>
        <v/>
      </c>
      <c r="H121" s="16">
        <f>IF(B121="","",IFERROR(VLOOKUP(B121,'Reference Data 기준데이터'!$A$2:$J$5,3,FALSE),""))</f>
        <v/>
      </c>
      <c r="I121" s="16">
        <f>IF(B121="","",IFERROR(H121+VLOOKUP(B121,'Reference Data 기준데이터'!$A$2:$J$5,7,FALSE),""))</f>
        <v/>
      </c>
      <c r="J121" s="20" t="n"/>
      <c r="K121" s="13" t="n"/>
      <c r="L121" s="16">
        <f>IF(B121="","",IFERROR(H121+VLOOKUP(B121,'Reference Data 기준데이터'!$A$2:$J$5,8,FALSE),""))</f>
        <v/>
      </c>
      <c r="M121" s="20" t="n"/>
      <c r="N121" s="16">
        <f>IF(B121="","",IFERROR(IF(ISNUMBER(SEARCH("Vehicle",F121)),MAX(H121+VLOOKUP(B121,'Reference Data 기준데이터'!$A$2:$J$5,9,FALSE),VLOOKUP(B121,'Reference Data 기준데이터'!$A$2:$J$5,4,FALSE)),H121+VLOOKUP(B121,'Reference Data 기준데이터'!$A$2:$J$5,9,FALSE)),""))</f>
        <v/>
      </c>
      <c r="O121" s="20" t="n"/>
      <c r="P121" s="16">
        <f>IF(B121="","",IFERROR(N121+VLOOKUP(E121,'Reference Data 기준데이터'!$A$8:$F$30,4,FALSE),""))</f>
        <v/>
      </c>
      <c r="Q121" s="20" t="n"/>
      <c r="R121" s="16">
        <f>IF(B121="","",IFERROR(MIN(H121+VLOOKUP(B121,'Reference Data 기준데이터'!$A$2:$J$5,10,FALSE),VLOOKUP(B121,'Reference Data 기준데이터'!$A$2:$J$5,6,FALSE)),""))</f>
        <v/>
      </c>
      <c r="S121" s="20" t="n"/>
      <c r="T121" s="13" t="n"/>
      <c r="U121" s="17">
        <f>IF(B121="","",IF(T121&lt;&gt;"",T121,IF(AND(S121&lt;&gt;"",Q121&lt;&gt;""),"11-결과등록완료",IF(AND(Q121&lt;&gt;"",S121=""),"10-시험완료",IF(AND(O121&lt;&gt;"",Q121=""),"09-시험준비중",IF(AND(M121&lt;&gt;"",O121=""),"08-단품준비완료",IF(K121="Approved","05-계획서승인",IF(K121="Revision Needed","04-검토중_조건불만족",IF(K121="Under Review","03-검토중_조건충족",IF(AND(J121&lt;&gt;"",K121=""),"02-계획서제출_미검토","01-계획서미제출"))))))))))</f>
        <v/>
      </c>
      <c r="V121" s="18">
        <f>IF(B121="","",IFS(U121="01-계획서미제출",0,U121="02-계획서제출_미검토",0.05,U121="03-검토중_조건충족",0.1,U121="04-검토중_조건불만족",0.05,U121="05-계획서승인",0.2,U121="06-BIW생산중단",0.15,U121="07-생산완료_미인수",0.3,U121="08-단품준비완료",0.4,U121="09-시험준비중",0.55,U121="10-시험완료",0.85,U121="11-결과등록완료",1,U121="12-조건부승인검토",0.9,TRUE,0))</f>
        <v/>
      </c>
      <c r="W121" s="5">
        <f>IF(B121="","",IF(S121&lt;&gt;"","-",IF(R121="","N/A",R121-TODAY())))</f>
        <v/>
      </c>
      <c r="X121" s="17">
        <f>IF(B121="","",IF(U121="11-결과등록완료","DONE",IF(OR(U121="06-BIW생산중단",AND(U121="01-계획서미제출",I121&lt;TODAY())),"CRITICAL",IF(OR(U121="04-검토중_조건불만족",U121="07-생산완료_미인수",U121="12-조건부승인검토"),"ACTION",IF(AND(ISNUMBER(W121),W121&lt;=0),"OVERDUE",IF(AND(ISNUMBER(W121),W121&lt;=14),"WARNING","ON TRACK"))))))</f>
        <v/>
      </c>
      <c r="Y121" s="19">
        <f>IF(B121="","",IF(U121="11-결과등록완료","— 완료",IF(U121="01-계획서미제출",IF(I121&lt;TODAY(),"계획서 제출 독촉 (OVERDUE)","계획서 제출 대기"),IF(U121="02-계획서제출_미검토","설계자: 계획서 검토 착수",IF(U121="03-검토중_조건충족","설계자: 승인 처리",IF(U121="04-검토중_조건불만족","보완 요청 → 협력사 재제출 독촉",IF(U121="05-계획서승인","시험편 준비 현황 확인",IF(U121="06-BIW생산중단","BIW 생산팀 확인 → 일정 재수립",IF(U121="07-생산완료_미인수","협력사 인수 독촉",IF(U121="08-단품준비완료","시험 일정 확인",IF(U121="09-시험준비중","시험 진행 모니터링",IF(U121="10-시험완료","결과 보고서 전산 등록 독촉",IF(U121="12-조건부승인검토","조건부 승인 여부 판단 → 관련부서 협의","—")))))))))))))</f>
        <v/>
      </c>
    </row>
    <row r="122">
      <c r="A122" s="5">
        <f>IF(B122="","",ROW()-4)</f>
        <v/>
      </c>
      <c r="B122" s="13" t="n"/>
      <c r="C122" s="14" t="n"/>
      <c r="D122" s="15">
        <f>IF(B122="","",IFERROR(VLOOKUP(C122,'Reference Data 기준데이터'!$E$8:$F$30,2,FALSE),""))</f>
        <v/>
      </c>
      <c r="E122" s="14" t="n"/>
      <c r="F122" s="15">
        <f>IF(B122="","",IFERROR(VLOOKUP(E122,'Reference Data 기준데이터'!$A$8:$F$30,2,FALSE),""))</f>
        <v/>
      </c>
      <c r="G122" s="15">
        <f>IF(B122="","",IFERROR(VLOOKUP(B122&amp;"_"&amp;C122,'Reference Data 기준데이터'!$A$33:$B$51,2,FALSE),""))</f>
        <v/>
      </c>
      <c r="H122" s="16">
        <f>IF(B122="","",IFERROR(VLOOKUP(B122,'Reference Data 기준데이터'!$A$2:$J$5,3,FALSE),""))</f>
        <v/>
      </c>
      <c r="I122" s="16">
        <f>IF(B122="","",IFERROR(H122+VLOOKUP(B122,'Reference Data 기준데이터'!$A$2:$J$5,7,FALSE),""))</f>
        <v/>
      </c>
      <c r="J122" s="20" t="n"/>
      <c r="K122" s="13" t="n"/>
      <c r="L122" s="16">
        <f>IF(B122="","",IFERROR(H122+VLOOKUP(B122,'Reference Data 기준데이터'!$A$2:$J$5,8,FALSE),""))</f>
        <v/>
      </c>
      <c r="M122" s="20" t="n"/>
      <c r="N122" s="16">
        <f>IF(B122="","",IFERROR(IF(ISNUMBER(SEARCH("Vehicle",F122)),MAX(H122+VLOOKUP(B122,'Reference Data 기준데이터'!$A$2:$J$5,9,FALSE),VLOOKUP(B122,'Reference Data 기준데이터'!$A$2:$J$5,4,FALSE)),H122+VLOOKUP(B122,'Reference Data 기준데이터'!$A$2:$J$5,9,FALSE)),""))</f>
        <v/>
      </c>
      <c r="O122" s="20" t="n"/>
      <c r="P122" s="16">
        <f>IF(B122="","",IFERROR(N122+VLOOKUP(E122,'Reference Data 기준데이터'!$A$8:$F$30,4,FALSE),""))</f>
        <v/>
      </c>
      <c r="Q122" s="20" t="n"/>
      <c r="R122" s="16">
        <f>IF(B122="","",IFERROR(MIN(H122+VLOOKUP(B122,'Reference Data 기준데이터'!$A$2:$J$5,10,FALSE),VLOOKUP(B122,'Reference Data 기준데이터'!$A$2:$J$5,6,FALSE)),""))</f>
        <v/>
      </c>
      <c r="S122" s="20" t="n"/>
      <c r="T122" s="13" t="n"/>
      <c r="U122" s="17">
        <f>IF(B122="","",IF(T122&lt;&gt;"",T122,IF(AND(S122&lt;&gt;"",Q122&lt;&gt;""),"11-결과등록완료",IF(AND(Q122&lt;&gt;"",S122=""),"10-시험완료",IF(AND(O122&lt;&gt;"",Q122=""),"09-시험준비중",IF(AND(M122&lt;&gt;"",O122=""),"08-단품준비완료",IF(K122="Approved","05-계획서승인",IF(K122="Revision Needed","04-검토중_조건불만족",IF(K122="Under Review","03-검토중_조건충족",IF(AND(J122&lt;&gt;"",K122=""),"02-계획서제출_미검토","01-계획서미제출"))))))))))</f>
        <v/>
      </c>
      <c r="V122" s="18">
        <f>IF(B122="","",IFS(U122="01-계획서미제출",0,U122="02-계획서제출_미검토",0.05,U122="03-검토중_조건충족",0.1,U122="04-검토중_조건불만족",0.05,U122="05-계획서승인",0.2,U122="06-BIW생산중단",0.15,U122="07-생산완료_미인수",0.3,U122="08-단품준비완료",0.4,U122="09-시험준비중",0.55,U122="10-시험완료",0.85,U122="11-결과등록완료",1,U122="12-조건부승인검토",0.9,TRUE,0))</f>
        <v/>
      </c>
      <c r="W122" s="5">
        <f>IF(B122="","",IF(S122&lt;&gt;"","-",IF(R122="","N/A",R122-TODAY())))</f>
        <v/>
      </c>
      <c r="X122" s="17">
        <f>IF(B122="","",IF(U122="11-결과등록완료","DONE",IF(OR(U122="06-BIW생산중단",AND(U122="01-계획서미제출",I122&lt;TODAY())),"CRITICAL",IF(OR(U122="04-검토중_조건불만족",U122="07-생산완료_미인수",U122="12-조건부승인검토"),"ACTION",IF(AND(ISNUMBER(W122),W122&lt;=0),"OVERDUE",IF(AND(ISNUMBER(W122),W122&lt;=14),"WARNING","ON TRACK"))))))</f>
        <v/>
      </c>
      <c r="Y122" s="19">
        <f>IF(B122="","",IF(U122="11-결과등록완료","— 완료",IF(U122="01-계획서미제출",IF(I122&lt;TODAY(),"계획서 제출 독촉 (OVERDUE)","계획서 제출 대기"),IF(U122="02-계획서제출_미검토","설계자: 계획서 검토 착수",IF(U122="03-검토중_조건충족","설계자: 승인 처리",IF(U122="04-검토중_조건불만족","보완 요청 → 협력사 재제출 독촉",IF(U122="05-계획서승인","시험편 준비 현황 확인",IF(U122="06-BIW생산중단","BIW 생산팀 확인 → 일정 재수립",IF(U122="07-생산완료_미인수","협력사 인수 독촉",IF(U122="08-단품준비완료","시험 일정 확인",IF(U122="09-시험준비중","시험 진행 모니터링",IF(U122="10-시험완료","결과 보고서 전산 등록 독촉",IF(U122="12-조건부승인검토","조건부 승인 여부 판단 → 관련부서 협의","—")))))))))))))</f>
        <v/>
      </c>
    </row>
    <row r="123">
      <c r="A123" s="5">
        <f>IF(B123="","",ROW()-4)</f>
        <v/>
      </c>
      <c r="B123" s="13" t="n"/>
      <c r="C123" s="14" t="n"/>
      <c r="D123" s="15">
        <f>IF(B123="","",IFERROR(VLOOKUP(C123,'Reference Data 기준데이터'!$E$8:$F$30,2,FALSE),""))</f>
        <v/>
      </c>
      <c r="E123" s="14" t="n"/>
      <c r="F123" s="15">
        <f>IF(B123="","",IFERROR(VLOOKUP(E123,'Reference Data 기준데이터'!$A$8:$F$30,2,FALSE),""))</f>
        <v/>
      </c>
      <c r="G123" s="15">
        <f>IF(B123="","",IFERROR(VLOOKUP(B123&amp;"_"&amp;C123,'Reference Data 기준데이터'!$A$33:$B$51,2,FALSE),""))</f>
        <v/>
      </c>
      <c r="H123" s="16">
        <f>IF(B123="","",IFERROR(VLOOKUP(B123,'Reference Data 기준데이터'!$A$2:$J$5,3,FALSE),""))</f>
        <v/>
      </c>
      <c r="I123" s="16">
        <f>IF(B123="","",IFERROR(H123+VLOOKUP(B123,'Reference Data 기준데이터'!$A$2:$J$5,7,FALSE),""))</f>
        <v/>
      </c>
      <c r="J123" s="20" t="n"/>
      <c r="K123" s="13" t="n"/>
      <c r="L123" s="16">
        <f>IF(B123="","",IFERROR(H123+VLOOKUP(B123,'Reference Data 기준데이터'!$A$2:$J$5,8,FALSE),""))</f>
        <v/>
      </c>
      <c r="M123" s="20" t="n"/>
      <c r="N123" s="16">
        <f>IF(B123="","",IFERROR(IF(ISNUMBER(SEARCH("Vehicle",F123)),MAX(H123+VLOOKUP(B123,'Reference Data 기준데이터'!$A$2:$J$5,9,FALSE),VLOOKUP(B123,'Reference Data 기준데이터'!$A$2:$J$5,4,FALSE)),H123+VLOOKUP(B123,'Reference Data 기준데이터'!$A$2:$J$5,9,FALSE)),""))</f>
        <v/>
      </c>
      <c r="O123" s="20" t="n"/>
      <c r="P123" s="16">
        <f>IF(B123="","",IFERROR(N123+VLOOKUP(E123,'Reference Data 기준데이터'!$A$8:$F$30,4,FALSE),""))</f>
        <v/>
      </c>
      <c r="Q123" s="20" t="n"/>
      <c r="R123" s="16">
        <f>IF(B123="","",IFERROR(MIN(H123+VLOOKUP(B123,'Reference Data 기준데이터'!$A$2:$J$5,10,FALSE),VLOOKUP(B123,'Reference Data 기준데이터'!$A$2:$J$5,6,FALSE)),""))</f>
        <v/>
      </c>
      <c r="S123" s="20" t="n"/>
      <c r="T123" s="13" t="n"/>
      <c r="U123" s="17">
        <f>IF(B123="","",IF(T123&lt;&gt;"",T123,IF(AND(S123&lt;&gt;"",Q123&lt;&gt;""),"11-결과등록완료",IF(AND(Q123&lt;&gt;"",S123=""),"10-시험완료",IF(AND(O123&lt;&gt;"",Q123=""),"09-시험준비중",IF(AND(M123&lt;&gt;"",O123=""),"08-단품준비완료",IF(K123="Approved","05-계획서승인",IF(K123="Revision Needed","04-검토중_조건불만족",IF(K123="Under Review","03-검토중_조건충족",IF(AND(J123&lt;&gt;"",K123=""),"02-계획서제출_미검토","01-계획서미제출"))))))))))</f>
        <v/>
      </c>
      <c r="V123" s="18">
        <f>IF(B123="","",IFS(U123="01-계획서미제출",0,U123="02-계획서제출_미검토",0.05,U123="03-검토중_조건충족",0.1,U123="04-검토중_조건불만족",0.05,U123="05-계획서승인",0.2,U123="06-BIW생산중단",0.15,U123="07-생산완료_미인수",0.3,U123="08-단품준비완료",0.4,U123="09-시험준비중",0.55,U123="10-시험완료",0.85,U123="11-결과등록완료",1,U123="12-조건부승인검토",0.9,TRUE,0))</f>
        <v/>
      </c>
      <c r="W123" s="5">
        <f>IF(B123="","",IF(S123&lt;&gt;"","-",IF(R123="","N/A",R123-TODAY())))</f>
        <v/>
      </c>
      <c r="X123" s="17">
        <f>IF(B123="","",IF(U123="11-결과등록완료","DONE",IF(OR(U123="06-BIW생산중단",AND(U123="01-계획서미제출",I123&lt;TODAY())),"CRITICAL",IF(OR(U123="04-검토중_조건불만족",U123="07-생산완료_미인수",U123="12-조건부승인검토"),"ACTION",IF(AND(ISNUMBER(W123),W123&lt;=0),"OVERDUE",IF(AND(ISNUMBER(W123),W123&lt;=14),"WARNING","ON TRACK"))))))</f>
        <v/>
      </c>
      <c r="Y123" s="19">
        <f>IF(B123="","",IF(U123="11-결과등록완료","— 완료",IF(U123="01-계획서미제출",IF(I123&lt;TODAY(),"계획서 제출 독촉 (OVERDUE)","계획서 제출 대기"),IF(U123="02-계획서제출_미검토","설계자: 계획서 검토 착수",IF(U123="03-검토중_조건충족","설계자: 승인 처리",IF(U123="04-검토중_조건불만족","보완 요청 → 협력사 재제출 독촉",IF(U123="05-계획서승인","시험편 준비 현황 확인",IF(U123="06-BIW생산중단","BIW 생산팀 확인 → 일정 재수립",IF(U123="07-생산완료_미인수","협력사 인수 독촉",IF(U123="08-단품준비완료","시험 일정 확인",IF(U123="09-시험준비중","시험 진행 모니터링",IF(U123="10-시험완료","결과 보고서 전산 등록 독촉",IF(U123="12-조건부승인검토","조건부 승인 여부 판단 → 관련부서 협의","—")))))))))))))</f>
        <v/>
      </c>
    </row>
    <row r="124">
      <c r="A124" s="5">
        <f>IF(B124="","",ROW()-4)</f>
        <v/>
      </c>
      <c r="B124" s="13" t="n"/>
      <c r="C124" s="14" t="n"/>
      <c r="D124" s="15">
        <f>IF(B124="","",IFERROR(VLOOKUP(C124,'Reference Data 기준데이터'!$E$8:$F$30,2,FALSE),""))</f>
        <v/>
      </c>
      <c r="E124" s="14" t="n"/>
      <c r="F124" s="15">
        <f>IF(B124="","",IFERROR(VLOOKUP(E124,'Reference Data 기준데이터'!$A$8:$F$30,2,FALSE),""))</f>
        <v/>
      </c>
      <c r="G124" s="15">
        <f>IF(B124="","",IFERROR(VLOOKUP(B124&amp;"_"&amp;C124,'Reference Data 기준데이터'!$A$33:$B$51,2,FALSE),""))</f>
        <v/>
      </c>
      <c r="H124" s="16">
        <f>IF(B124="","",IFERROR(VLOOKUP(B124,'Reference Data 기준데이터'!$A$2:$J$5,3,FALSE),""))</f>
        <v/>
      </c>
      <c r="I124" s="16">
        <f>IF(B124="","",IFERROR(H124+VLOOKUP(B124,'Reference Data 기준데이터'!$A$2:$J$5,7,FALSE),""))</f>
        <v/>
      </c>
      <c r="J124" s="20" t="n"/>
      <c r="K124" s="13" t="n"/>
      <c r="L124" s="16">
        <f>IF(B124="","",IFERROR(H124+VLOOKUP(B124,'Reference Data 기준데이터'!$A$2:$J$5,8,FALSE),""))</f>
        <v/>
      </c>
      <c r="M124" s="20" t="n"/>
      <c r="N124" s="16">
        <f>IF(B124="","",IFERROR(IF(ISNUMBER(SEARCH("Vehicle",F124)),MAX(H124+VLOOKUP(B124,'Reference Data 기준데이터'!$A$2:$J$5,9,FALSE),VLOOKUP(B124,'Reference Data 기준데이터'!$A$2:$J$5,4,FALSE)),H124+VLOOKUP(B124,'Reference Data 기준데이터'!$A$2:$J$5,9,FALSE)),""))</f>
        <v/>
      </c>
      <c r="O124" s="20" t="n"/>
      <c r="P124" s="16">
        <f>IF(B124="","",IFERROR(N124+VLOOKUP(E124,'Reference Data 기준데이터'!$A$8:$F$30,4,FALSE),""))</f>
        <v/>
      </c>
      <c r="Q124" s="20" t="n"/>
      <c r="R124" s="16">
        <f>IF(B124="","",IFERROR(MIN(H124+VLOOKUP(B124,'Reference Data 기준데이터'!$A$2:$J$5,10,FALSE),VLOOKUP(B124,'Reference Data 기준데이터'!$A$2:$J$5,6,FALSE)),""))</f>
        <v/>
      </c>
      <c r="S124" s="20" t="n"/>
      <c r="T124" s="13" t="n"/>
      <c r="U124" s="17">
        <f>IF(B124="","",IF(T124&lt;&gt;"",T124,IF(AND(S124&lt;&gt;"",Q124&lt;&gt;""),"11-결과등록완료",IF(AND(Q124&lt;&gt;"",S124=""),"10-시험완료",IF(AND(O124&lt;&gt;"",Q124=""),"09-시험준비중",IF(AND(M124&lt;&gt;"",O124=""),"08-단품준비완료",IF(K124="Approved","05-계획서승인",IF(K124="Revision Needed","04-검토중_조건불만족",IF(K124="Under Review","03-검토중_조건충족",IF(AND(J124&lt;&gt;"",K124=""),"02-계획서제출_미검토","01-계획서미제출"))))))))))</f>
        <v/>
      </c>
      <c r="V124" s="18">
        <f>IF(B124="","",IFS(U124="01-계획서미제출",0,U124="02-계획서제출_미검토",0.05,U124="03-검토중_조건충족",0.1,U124="04-검토중_조건불만족",0.05,U124="05-계획서승인",0.2,U124="06-BIW생산중단",0.15,U124="07-생산완료_미인수",0.3,U124="08-단품준비완료",0.4,U124="09-시험준비중",0.55,U124="10-시험완료",0.85,U124="11-결과등록완료",1,U124="12-조건부승인검토",0.9,TRUE,0))</f>
        <v/>
      </c>
      <c r="W124" s="5">
        <f>IF(B124="","",IF(S124&lt;&gt;"","-",IF(R124="","N/A",R124-TODAY())))</f>
        <v/>
      </c>
      <c r="X124" s="17">
        <f>IF(B124="","",IF(U124="11-결과등록완료","DONE",IF(OR(U124="06-BIW생산중단",AND(U124="01-계획서미제출",I124&lt;TODAY())),"CRITICAL",IF(OR(U124="04-검토중_조건불만족",U124="07-생산완료_미인수",U124="12-조건부승인검토"),"ACTION",IF(AND(ISNUMBER(W124),W124&lt;=0),"OVERDUE",IF(AND(ISNUMBER(W124),W124&lt;=14),"WARNING","ON TRACK"))))))</f>
        <v/>
      </c>
      <c r="Y124" s="19">
        <f>IF(B124="","",IF(U124="11-결과등록완료","— 완료",IF(U124="01-계획서미제출",IF(I124&lt;TODAY(),"계획서 제출 독촉 (OVERDUE)","계획서 제출 대기"),IF(U124="02-계획서제출_미검토","설계자: 계획서 검토 착수",IF(U124="03-검토중_조건충족","설계자: 승인 처리",IF(U124="04-검토중_조건불만족","보완 요청 → 협력사 재제출 독촉",IF(U124="05-계획서승인","시험편 준비 현황 확인",IF(U124="06-BIW생산중단","BIW 생산팀 확인 → 일정 재수립",IF(U124="07-생산완료_미인수","협력사 인수 독촉",IF(U124="08-단품준비완료","시험 일정 확인",IF(U124="09-시험준비중","시험 진행 모니터링",IF(U124="10-시험완료","결과 보고서 전산 등록 독촉",IF(U124="12-조건부승인검토","조건부 승인 여부 판단 → 관련부서 협의","—")))))))))))))</f>
        <v/>
      </c>
    </row>
    <row r="125">
      <c r="A125" s="5">
        <f>IF(B125="","",ROW()-4)</f>
        <v/>
      </c>
      <c r="B125" s="13" t="n"/>
      <c r="C125" s="14" t="n"/>
      <c r="D125" s="15">
        <f>IF(B125="","",IFERROR(VLOOKUP(C125,'Reference Data 기준데이터'!$E$8:$F$30,2,FALSE),""))</f>
        <v/>
      </c>
      <c r="E125" s="14" t="n"/>
      <c r="F125" s="15">
        <f>IF(B125="","",IFERROR(VLOOKUP(E125,'Reference Data 기준데이터'!$A$8:$F$30,2,FALSE),""))</f>
        <v/>
      </c>
      <c r="G125" s="15">
        <f>IF(B125="","",IFERROR(VLOOKUP(B125&amp;"_"&amp;C125,'Reference Data 기준데이터'!$A$33:$B$51,2,FALSE),""))</f>
        <v/>
      </c>
      <c r="H125" s="16">
        <f>IF(B125="","",IFERROR(VLOOKUP(B125,'Reference Data 기준데이터'!$A$2:$J$5,3,FALSE),""))</f>
        <v/>
      </c>
      <c r="I125" s="16">
        <f>IF(B125="","",IFERROR(H125+VLOOKUP(B125,'Reference Data 기준데이터'!$A$2:$J$5,7,FALSE),""))</f>
        <v/>
      </c>
      <c r="J125" s="20" t="n"/>
      <c r="K125" s="13" t="n"/>
      <c r="L125" s="16">
        <f>IF(B125="","",IFERROR(H125+VLOOKUP(B125,'Reference Data 기준데이터'!$A$2:$J$5,8,FALSE),""))</f>
        <v/>
      </c>
      <c r="M125" s="20" t="n"/>
      <c r="N125" s="16">
        <f>IF(B125="","",IFERROR(IF(ISNUMBER(SEARCH("Vehicle",F125)),MAX(H125+VLOOKUP(B125,'Reference Data 기준데이터'!$A$2:$J$5,9,FALSE),VLOOKUP(B125,'Reference Data 기준데이터'!$A$2:$J$5,4,FALSE)),H125+VLOOKUP(B125,'Reference Data 기준데이터'!$A$2:$J$5,9,FALSE)),""))</f>
        <v/>
      </c>
      <c r="O125" s="20" t="n"/>
      <c r="P125" s="16">
        <f>IF(B125="","",IFERROR(N125+VLOOKUP(E125,'Reference Data 기준데이터'!$A$8:$F$30,4,FALSE),""))</f>
        <v/>
      </c>
      <c r="Q125" s="20" t="n"/>
      <c r="R125" s="16">
        <f>IF(B125="","",IFERROR(MIN(H125+VLOOKUP(B125,'Reference Data 기준데이터'!$A$2:$J$5,10,FALSE),VLOOKUP(B125,'Reference Data 기준데이터'!$A$2:$J$5,6,FALSE)),""))</f>
        <v/>
      </c>
      <c r="S125" s="20" t="n"/>
      <c r="T125" s="13" t="n"/>
      <c r="U125" s="17">
        <f>IF(B125="","",IF(T125&lt;&gt;"",T125,IF(AND(S125&lt;&gt;"",Q125&lt;&gt;""),"11-결과등록완료",IF(AND(Q125&lt;&gt;"",S125=""),"10-시험완료",IF(AND(O125&lt;&gt;"",Q125=""),"09-시험준비중",IF(AND(M125&lt;&gt;"",O125=""),"08-단품준비완료",IF(K125="Approved","05-계획서승인",IF(K125="Revision Needed","04-검토중_조건불만족",IF(K125="Under Review","03-검토중_조건충족",IF(AND(J125&lt;&gt;"",K125=""),"02-계획서제출_미검토","01-계획서미제출"))))))))))</f>
        <v/>
      </c>
      <c r="V125" s="18">
        <f>IF(B125="","",IFS(U125="01-계획서미제출",0,U125="02-계획서제출_미검토",0.05,U125="03-검토중_조건충족",0.1,U125="04-검토중_조건불만족",0.05,U125="05-계획서승인",0.2,U125="06-BIW생산중단",0.15,U125="07-생산완료_미인수",0.3,U125="08-단품준비완료",0.4,U125="09-시험준비중",0.55,U125="10-시험완료",0.85,U125="11-결과등록완료",1,U125="12-조건부승인검토",0.9,TRUE,0))</f>
        <v/>
      </c>
      <c r="W125" s="5">
        <f>IF(B125="","",IF(S125&lt;&gt;"","-",IF(R125="","N/A",R125-TODAY())))</f>
        <v/>
      </c>
      <c r="X125" s="17">
        <f>IF(B125="","",IF(U125="11-결과등록완료","DONE",IF(OR(U125="06-BIW생산중단",AND(U125="01-계획서미제출",I125&lt;TODAY())),"CRITICAL",IF(OR(U125="04-검토중_조건불만족",U125="07-생산완료_미인수",U125="12-조건부승인검토"),"ACTION",IF(AND(ISNUMBER(W125),W125&lt;=0),"OVERDUE",IF(AND(ISNUMBER(W125),W125&lt;=14),"WARNING","ON TRACK"))))))</f>
        <v/>
      </c>
      <c r="Y125" s="19">
        <f>IF(B125="","",IF(U125="11-결과등록완료","— 완료",IF(U125="01-계획서미제출",IF(I125&lt;TODAY(),"계획서 제출 독촉 (OVERDUE)","계획서 제출 대기"),IF(U125="02-계획서제출_미검토","설계자: 계획서 검토 착수",IF(U125="03-검토중_조건충족","설계자: 승인 처리",IF(U125="04-검토중_조건불만족","보완 요청 → 협력사 재제출 독촉",IF(U125="05-계획서승인","시험편 준비 현황 확인",IF(U125="06-BIW생산중단","BIW 생산팀 확인 → 일정 재수립",IF(U125="07-생산완료_미인수","협력사 인수 독촉",IF(U125="08-단품준비완료","시험 일정 확인",IF(U125="09-시험준비중","시험 진행 모니터링",IF(U125="10-시험완료","결과 보고서 전산 등록 독촉",IF(U125="12-조건부승인검토","조건부 승인 여부 판단 → 관련부서 협의","—")))))))))))))</f>
        <v/>
      </c>
    </row>
    <row r="126">
      <c r="A126" s="5">
        <f>IF(B126="","",ROW()-4)</f>
        <v/>
      </c>
      <c r="B126" s="13" t="n"/>
      <c r="C126" s="14" t="n"/>
      <c r="D126" s="15">
        <f>IF(B126="","",IFERROR(VLOOKUP(C126,'Reference Data 기준데이터'!$E$8:$F$30,2,FALSE),""))</f>
        <v/>
      </c>
      <c r="E126" s="14" t="n"/>
      <c r="F126" s="15">
        <f>IF(B126="","",IFERROR(VLOOKUP(E126,'Reference Data 기준데이터'!$A$8:$F$30,2,FALSE),""))</f>
        <v/>
      </c>
      <c r="G126" s="15">
        <f>IF(B126="","",IFERROR(VLOOKUP(B126&amp;"_"&amp;C126,'Reference Data 기준데이터'!$A$33:$B$51,2,FALSE),""))</f>
        <v/>
      </c>
      <c r="H126" s="16">
        <f>IF(B126="","",IFERROR(VLOOKUP(B126,'Reference Data 기준데이터'!$A$2:$J$5,3,FALSE),""))</f>
        <v/>
      </c>
      <c r="I126" s="16">
        <f>IF(B126="","",IFERROR(H126+VLOOKUP(B126,'Reference Data 기준데이터'!$A$2:$J$5,7,FALSE),""))</f>
        <v/>
      </c>
      <c r="J126" s="20" t="n"/>
      <c r="K126" s="13" t="n"/>
      <c r="L126" s="16">
        <f>IF(B126="","",IFERROR(H126+VLOOKUP(B126,'Reference Data 기준데이터'!$A$2:$J$5,8,FALSE),""))</f>
        <v/>
      </c>
      <c r="M126" s="20" t="n"/>
      <c r="N126" s="16">
        <f>IF(B126="","",IFERROR(IF(ISNUMBER(SEARCH("Vehicle",F126)),MAX(H126+VLOOKUP(B126,'Reference Data 기준데이터'!$A$2:$J$5,9,FALSE),VLOOKUP(B126,'Reference Data 기준데이터'!$A$2:$J$5,4,FALSE)),H126+VLOOKUP(B126,'Reference Data 기준데이터'!$A$2:$J$5,9,FALSE)),""))</f>
        <v/>
      </c>
      <c r="O126" s="20" t="n"/>
      <c r="P126" s="16">
        <f>IF(B126="","",IFERROR(N126+VLOOKUP(E126,'Reference Data 기준데이터'!$A$8:$F$30,4,FALSE),""))</f>
        <v/>
      </c>
      <c r="Q126" s="20" t="n"/>
      <c r="R126" s="16">
        <f>IF(B126="","",IFERROR(MIN(H126+VLOOKUP(B126,'Reference Data 기준데이터'!$A$2:$J$5,10,FALSE),VLOOKUP(B126,'Reference Data 기준데이터'!$A$2:$J$5,6,FALSE)),""))</f>
        <v/>
      </c>
      <c r="S126" s="20" t="n"/>
      <c r="T126" s="13" t="n"/>
      <c r="U126" s="17">
        <f>IF(B126="","",IF(T126&lt;&gt;"",T126,IF(AND(S126&lt;&gt;"",Q126&lt;&gt;""),"11-결과등록완료",IF(AND(Q126&lt;&gt;"",S126=""),"10-시험완료",IF(AND(O126&lt;&gt;"",Q126=""),"09-시험준비중",IF(AND(M126&lt;&gt;"",O126=""),"08-단품준비완료",IF(K126="Approved","05-계획서승인",IF(K126="Revision Needed","04-검토중_조건불만족",IF(K126="Under Review","03-검토중_조건충족",IF(AND(J126&lt;&gt;"",K126=""),"02-계획서제출_미검토","01-계획서미제출"))))))))))</f>
        <v/>
      </c>
      <c r="V126" s="18">
        <f>IF(B126="","",IFS(U126="01-계획서미제출",0,U126="02-계획서제출_미검토",0.05,U126="03-검토중_조건충족",0.1,U126="04-검토중_조건불만족",0.05,U126="05-계획서승인",0.2,U126="06-BIW생산중단",0.15,U126="07-생산완료_미인수",0.3,U126="08-단품준비완료",0.4,U126="09-시험준비중",0.55,U126="10-시험완료",0.85,U126="11-결과등록완료",1,U126="12-조건부승인검토",0.9,TRUE,0))</f>
        <v/>
      </c>
      <c r="W126" s="5">
        <f>IF(B126="","",IF(S126&lt;&gt;"","-",IF(R126="","N/A",R126-TODAY())))</f>
        <v/>
      </c>
      <c r="X126" s="17">
        <f>IF(B126="","",IF(U126="11-결과등록완료","DONE",IF(OR(U126="06-BIW생산중단",AND(U126="01-계획서미제출",I126&lt;TODAY())),"CRITICAL",IF(OR(U126="04-검토중_조건불만족",U126="07-생산완료_미인수",U126="12-조건부승인검토"),"ACTION",IF(AND(ISNUMBER(W126),W126&lt;=0),"OVERDUE",IF(AND(ISNUMBER(W126),W126&lt;=14),"WARNING","ON TRACK"))))))</f>
        <v/>
      </c>
      <c r="Y126" s="19">
        <f>IF(B126="","",IF(U126="11-결과등록완료","— 완료",IF(U126="01-계획서미제출",IF(I126&lt;TODAY(),"계획서 제출 독촉 (OVERDUE)","계획서 제출 대기"),IF(U126="02-계획서제출_미검토","설계자: 계획서 검토 착수",IF(U126="03-검토중_조건충족","설계자: 승인 처리",IF(U126="04-검토중_조건불만족","보완 요청 → 협력사 재제출 독촉",IF(U126="05-계획서승인","시험편 준비 현황 확인",IF(U126="06-BIW생산중단","BIW 생산팀 확인 → 일정 재수립",IF(U126="07-생산완료_미인수","협력사 인수 독촉",IF(U126="08-단품준비완료","시험 일정 확인",IF(U126="09-시험준비중","시험 진행 모니터링",IF(U126="10-시험완료","결과 보고서 전산 등록 독촉",IF(U126="12-조건부승인검토","조건부 승인 여부 판단 → 관련부서 협의","—")))))))))))))</f>
        <v/>
      </c>
    </row>
    <row r="127">
      <c r="A127" s="5">
        <f>IF(B127="","",ROW()-4)</f>
        <v/>
      </c>
      <c r="B127" s="13" t="n"/>
      <c r="C127" s="14" t="n"/>
      <c r="D127" s="15">
        <f>IF(B127="","",IFERROR(VLOOKUP(C127,'Reference Data 기준데이터'!$E$8:$F$30,2,FALSE),""))</f>
        <v/>
      </c>
      <c r="E127" s="14" t="n"/>
      <c r="F127" s="15">
        <f>IF(B127="","",IFERROR(VLOOKUP(E127,'Reference Data 기준데이터'!$A$8:$F$30,2,FALSE),""))</f>
        <v/>
      </c>
      <c r="G127" s="15">
        <f>IF(B127="","",IFERROR(VLOOKUP(B127&amp;"_"&amp;C127,'Reference Data 기준데이터'!$A$33:$B$51,2,FALSE),""))</f>
        <v/>
      </c>
      <c r="H127" s="16">
        <f>IF(B127="","",IFERROR(VLOOKUP(B127,'Reference Data 기준데이터'!$A$2:$J$5,3,FALSE),""))</f>
        <v/>
      </c>
      <c r="I127" s="16">
        <f>IF(B127="","",IFERROR(H127+VLOOKUP(B127,'Reference Data 기준데이터'!$A$2:$J$5,7,FALSE),""))</f>
        <v/>
      </c>
      <c r="J127" s="20" t="n"/>
      <c r="K127" s="13" t="n"/>
      <c r="L127" s="16">
        <f>IF(B127="","",IFERROR(H127+VLOOKUP(B127,'Reference Data 기준데이터'!$A$2:$J$5,8,FALSE),""))</f>
        <v/>
      </c>
      <c r="M127" s="20" t="n"/>
      <c r="N127" s="16">
        <f>IF(B127="","",IFERROR(IF(ISNUMBER(SEARCH("Vehicle",F127)),MAX(H127+VLOOKUP(B127,'Reference Data 기준데이터'!$A$2:$J$5,9,FALSE),VLOOKUP(B127,'Reference Data 기준데이터'!$A$2:$J$5,4,FALSE)),H127+VLOOKUP(B127,'Reference Data 기준데이터'!$A$2:$J$5,9,FALSE)),""))</f>
        <v/>
      </c>
      <c r="O127" s="20" t="n"/>
      <c r="P127" s="16">
        <f>IF(B127="","",IFERROR(N127+VLOOKUP(E127,'Reference Data 기준데이터'!$A$8:$F$30,4,FALSE),""))</f>
        <v/>
      </c>
      <c r="Q127" s="20" t="n"/>
      <c r="R127" s="16">
        <f>IF(B127="","",IFERROR(MIN(H127+VLOOKUP(B127,'Reference Data 기준데이터'!$A$2:$J$5,10,FALSE),VLOOKUP(B127,'Reference Data 기준데이터'!$A$2:$J$5,6,FALSE)),""))</f>
        <v/>
      </c>
      <c r="S127" s="20" t="n"/>
      <c r="T127" s="13" t="n"/>
      <c r="U127" s="17">
        <f>IF(B127="","",IF(T127&lt;&gt;"",T127,IF(AND(S127&lt;&gt;"",Q127&lt;&gt;""),"11-결과등록완료",IF(AND(Q127&lt;&gt;"",S127=""),"10-시험완료",IF(AND(O127&lt;&gt;"",Q127=""),"09-시험준비중",IF(AND(M127&lt;&gt;"",O127=""),"08-단품준비완료",IF(K127="Approved","05-계획서승인",IF(K127="Revision Needed","04-검토중_조건불만족",IF(K127="Under Review","03-검토중_조건충족",IF(AND(J127&lt;&gt;"",K127=""),"02-계획서제출_미검토","01-계획서미제출"))))))))))</f>
        <v/>
      </c>
      <c r="V127" s="18">
        <f>IF(B127="","",IFS(U127="01-계획서미제출",0,U127="02-계획서제출_미검토",0.05,U127="03-검토중_조건충족",0.1,U127="04-검토중_조건불만족",0.05,U127="05-계획서승인",0.2,U127="06-BIW생산중단",0.15,U127="07-생산완료_미인수",0.3,U127="08-단품준비완료",0.4,U127="09-시험준비중",0.55,U127="10-시험완료",0.85,U127="11-결과등록완료",1,U127="12-조건부승인검토",0.9,TRUE,0))</f>
        <v/>
      </c>
      <c r="W127" s="5">
        <f>IF(B127="","",IF(S127&lt;&gt;"","-",IF(R127="","N/A",R127-TODAY())))</f>
        <v/>
      </c>
      <c r="X127" s="17">
        <f>IF(B127="","",IF(U127="11-결과등록완료","DONE",IF(OR(U127="06-BIW생산중단",AND(U127="01-계획서미제출",I127&lt;TODAY())),"CRITICAL",IF(OR(U127="04-검토중_조건불만족",U127="07-생산완료_미인수",U127="12-조건부승인검토"),"ACTION",IF(AND(ISNUMBER(W127),W127&lt;=0),"OVERDUE",IF(AND(ISNUMBER(W127),W127&lt;=14),"WARNING","ON TRACK"))))))</f>
        <v/>
      </c>
      <c r="Y127" s="19">
        <f>IF(B127="","",IF(U127="11-결과등록완료","— 완료",IF(U127="01-계획서미제출",IF(I127&lt;TODAY(),"계획서 제출 독촉 (OVERDUE)","계획서 제출 대기"),IF(U127="02-계획서제출_미검토","설계자: 계획서 검토 착수",IF(U127="03-검토중_조건충족","설계자: 승인 처리",IF(U127="04-검토중_조건불만족","보완 요청 → 협력사 재제출 독촉",IF(U127="05-계획서승인","시험편 준비 현황 확인",IF(U127="06-BIW생산중단","BIW 생산팀 확인 → 일정 재수립",IF(U127="07-생산완료_미인수","협력사 인수 독촉",IF(U127="08-단품준비완료","시험 일정 확인",IF(U127="09-시험준비중","시험 진행 모니터링",IF(U127="10-시험완료","결과 보고서 전산 등록 독촉",IF(U127="12-조건부승인검토","조건부 승인 여부 판단 → 관련부서 협의","—")))))))))))))</f>
        <v/>
      </c>
    </row>
    <row r="128">
      <c r="A128" s="5">
        <f>IF(B128="","",ROW()-4)</f>
        <v/>
      </c>
      <c r="B128" s="13" t="n"/>
      <c r="C128" s="14" t="n"/>
      <c r="D128" s="15">
        <f>IF(B128="","",IFERROR(VLOOKUP(C128,'Reference Data 기준데이터'!$E$8:$F$30,2,FALSE),""))</f>
        <v/>
      </c>
      <c r="E128" s="14" t="n"/>
      <c r="F128" s="15">
        <f>IF(B128="","",IFERROR(VLOOKUP(E128,'Reference Data 기준데이터'!$A$8:$F$30,2,FALSE),""))</f>
        <v/>
      </c>
      <c r="G128" s="15">
        <f>IF(B128="","",IFERROR(VLOOKUP(B128&amp;"_"&amp;C128,'Reference Data 기준데이터'!$A$33:$B$51,2,FALSE),""))</f>
        <v/>
      </c>
      <c r="H128" s="16">
        <f>IF(B128="","",IFERROR(VLOOKUP(B128,'Reference Data 기준데이터'!$A$2:$J$5,3,FALSE),""))</f>
        <v/>
      </c>
      <c r="I128" s="16">
        <f>IF(B128="","",IFERROR(H128+VLOOKUP(B128,'Reference Data 기준데이터'!$A$2:$J$5,7,FALSE),""))</f>
        <v/>
      </c>
      <c r="J128" s="20" t="n"/>
      <c r="K128" s="13" t="n"/>
      <c r="L128" s="16">
        <f>IF(B128="","",IFERROR(H128+VLOOKUP(B128,'Reference Data 기준데이터'!$A$2:$J$5,8,FALSE),""))</f>
        <v/>
      </c>
      <c r="M128" s="20" t="n"/>
      <c r="N128" s="16">
        <f>IF(B128="","",IFERROR(IF(ISNUMBER(SEARCH("Vehicle",F128)),MAX(H128+VLOOKUP(B128,'Reference Data 기준데이터'!$A$2:$J$5,9,FALSE),VLOOKUP(B128,'Reference Data 기준데이터'!$A$2:$J$5,4,FALSE)),H128+VLOOKUP(B128,'Reference Data 기준데이터'!$A$2:$J$5,9,FALSE)),""))</f>
        <v/>
      </c>
      <c r="O128" s="20" t="n"/>
      <c r="P128" s="16">
        <f>IF(B128="","",IFERROR(N128+VLOOKUP(E128,'Reference Data 기준데이터'!$A$8:$F$30,4,FALSE),""))</f>
        <v/>
      </c>
      <c r="Q128" s="20" t="n"/>
      <c r="R128" s="16">
        <f>IF(B128="","",IFERROR(MIN(H128+VLOOKUP(B128,'Reference Data 기준데이터'!$A$2:$J$5,10,FALSE),VLOOKUP(B128,'Reference Data 기준데이터'!$A$2:$J$5,6,FALSE)),""))</f>
        <v/>
      </c>
      <c r="S128" s="20" t="n"/>
      <c r="T128" s="13" t="n"/>
      <c r="U128" s="17">
        <f>IF(B128="","",IF(T128&lt;&gt;"",T128,IF(AND(S128&lt;&gt;"",Q128&lt;&gt;""),"11-결과등록완료",IF(AND(Q128&lt;&gt;"",S128=""),"10-시험완료",IF(AND(O128&lt;&gt;"",Q128=""),"09-시험준비중",IF(AND(M128&lt;&gt;"",O128=""),"08-단품준비완료",IF(K128="Approved","05-계획서승인",IF(K128="Revision Needed","04-검토중_조건불만족",IF(K128="Under Review","03-검토중_조건충족",IF(AND(J128&lt;&gt;"",K128=""),"02-계획서제출_미검토","01-계획서미제출"))))))))))</f>
        <v/>
      </c>
      <c r="V128" s="18">
        <f>IF(B128="","",IFS(U128="01-계획서미제출",0,U128="02-계획서제출_미검토",0.05,U128="03-검토중_조건충족",0.1,U128="04-검토중_조건불만족",0.05,U128="05-계획서승인",0.2,U128="06-BIW생산중단",0.15,U128="07-생산완료_미인수",0.3,U128="08-단품준비완료",0.4,U128="09-시험준비중",0.55,U128="10-시험완료",0.85,U128="11-결과등록완료",1,U128="12-조건부승인검토",0.9,TRUE,0))</f>
        <v/>
      </c>
      <c r="W128" s="5">
        <f>IF(B128="","",IF(S128&lt;&gt;"","-",IF(R128="","N/A",R128-TODAY())))</f>
        <v/>
      </c>
      <c r="X128" s="17">
        <f>IF(B128="","",IF(U128="11-결과등록완료","DONE",IF(OR(U128="06-BIW생산중단",AND(U128="01-계획서미제출",I128&lt;TODAY())),"CRITICAL",IF(OR(U128="04-검토중_조건불만족",U128="07-생산완료_미인수",U128="12-조건부승인검토"),"ACTION",IF(AND(ISNUMBER(W128),W128&lt;=0),"OVERDUE",IF(AND(ISNUMBER(W128),W128&lt;=14),"WARNING","ON TRACK"))))))</f>
        <v/>
      </c>
      <c r="Y128" s="19">
        <f>IF(B128="","",IF(U128="11-결과등록완료","— 완료",IF(U128="01-계획서미제출",IF(I128&lt;TODAY(),"계획서 제출 독촉 (OVERDUE)","계획서 제출 대기"),IF(U128="02-계획서제출_미검토","설계자: 계획서 검토 착수",IF(U128="03-검토중_조건충족","설계자: 승인 처리",IF(U128="04-검토중_조건불만족","보완 요청 → 협력사 재제출 독촉",IF(U128="05-계획서승인","시험편 준비 현황 확인",IF(U128="06-BIW생산중단","BIW 생산팀 확인 → 일정 재수립",IF(U128="07-생산완료_미인수","협력사 인수 독촉",IF(U128="08-단품준비완료","시험 일정 확인",IF(U128="09-시험준비중","시험 진행 모니터링",IF(U128="10-시험완료","결과 보고서 전산 등록 독촉",IF(U128="12-조건부승인검토","조건부 승인 여부 판단 → 관련부서 협의","—")))))))))))))</f>
        <v/>
      </c>
    </row>
    <row r="129">
      <c r="A129" s="5">
        <f>IF(B129="","",ROW()-4)</f>
        <v/>
      </c>
      <c r="B129" s="13" t="n"/>
      <c r="C129" s="14" t="n"/>
      <c r="D129" s="15">
        <f>IF(B129="","",IFERROR(VLOOKUP(C129,'Reference Data 기준데이터'!$E$8:$F$30,2,FALSE),""))</f>
        <v/>
      </c>
      <c r="E129" s="14" t="n"/>
      <c r="F129" s="15">
        <f>IF(B129="","",IFERROR(VLOOKUP(E129,'Reference Data 기준데이터'!$A$8:$F$30,2,FALSE),""))</f>
        <v/>
      </c>
      <c r="G129" s="15">
        <f>IF(B129="","",IFERROR(VLOOKUP(B129&amp;"_"&amp;C129,'Reference Data 기준데이터'!$A$33:$B$51,2,FALSE),""))</f>
        <v/>
      </c>
      <c r="H129" s="16">
        <f>IF(B129="","",IFERROR(VLOOKUP(B129,'Reference Data 기준데이터'!$A$2:$J$5,3,FALSE),""))</f>
        <v/>
      </c>
      <c r="I129" s="16">
        <f>IF(B129="","",IFERROR(H129+VLOOKUP(B129,'Reference Data 기준데이터'!$A$2:$J$5,7,FALSE),""))</f>
        <v/>
      </c>
      <c r="J129" s="20" t="n"/>
      <c r="K129" s="13" t="n"/>
      <c r="L129" s="16">
        <f>IF(B129="","",IFERROR(H129+VLOOKUP(B129,'Reference Data 기준데이터'!$A$2:$J$5,8,FALSE),""))</f>
        <v/>
      </c>
      <c r="M129" s="20" t="n"/>
      <c r="N129" s="16">
        <f>IF(B129="","",IFERROR(IF(ISNUMBER(SEARCH("Vehicle",F129)),MAX(H129+VLOOKUP(B129,'Reference Data 기준데이터'!$A$2:$J$5,9,FALSE),VLOOKUP(B129,'Reference Data 기준데이터'!$A$2:$J$5,4,FALSE)),H129+VLOOKUP(B129,'Reference Data 기준데이터'!$A$2:$J$5,9,FALSE)),""))</f>
        <v/>
      </c>
      <c r="O129" s="20" t="n"/>
      <c r="P129" s="16">
        <f>IF(B129="","",IFERROR(N129+VLOOKUP(E129,'Reference Data 기준데이터'!$A$8:$F$30,4,FALSE),""))</f>
        <v/>
      </c>
      <c r="Q129" s="20" t="n"/>
      <c r="R129" s="16">
        <f>IF(B129="","",IFERROR(MIN(H129+VLOOKUP(B129,'Reference Data 기준데이터'!$A$2:$J$5,10,FALSE),VLOOKUP(B129,'Reference Data 기준데이터'!$A$2:$J$5,6,FALSE)),""))</f>
        <v/>
      </c>
      <c r="S129" s="20" t="n"/>
      <c r="T129" s="13" t="n"/>
      <c r="U129" s="17">
        <f>IF(B129="","",IF(T129&lt;&gt;"",T129,IF(AND(S129&lt;&gt;"",Q129&lt;&gt;""),"11-결과등록완료",IF(AND(Q129&lt;&gt;"",S129=""),"10-시험완료",IF(AND(O129&lt;&gt;"",Q129=""),"09-시험준비중",IF(AND(M129&lt;&gt;"",O129=""),"08-단품준비완료",IF(K129="Approved","05-계획서승인",IF(K129="Revision Needed","04-검토중_조건불만족",IF(K129="Under Review","03-검토중_조건충족",IF(AND(J129&lt;&gt;"",K129=""),"02-계획서제출_미검토","01-계획서미제출"))))))))))</f>
        <v/>
      </c>
      <c r="V129" s="18">
        <f>IF(B129="","",IFS(U129="01-계획서미제출",0,U129="02-계획서제출_미검토",0.05,U129="03-검토중_조건충족",0.1,U129="04-검토중_조건불만족",0.05,U129="05-계획서승인",0.2,U129="06-BIW생산중단",0.15,U129="07-생산완료_미인수",0.3,U129="08-단품준비완료",0.4,U129="09-시험준비중",0.55,U129="10-시험완료",0.85,U129="11-결과등록완료",1,U129="12-조건부승인검토",0.9,TRUE,0))</f>
        <v/>
      </c>
      <c r="W129" s="5">
        <f>IF(B129="","",IF(S129&lt;&gt;"","-",IF(R129="","N/A",R129-TODAY())))</f>
        <v/>
      </c>
      <c r="X129" s="17">
        <f>IF(B129="","",IF(U129="11-결과등록완료","DONE",IF(OR(U129="06-BIW생산중단",AND(U129="01-계획서미제출",I129&lt;TODAY())),"CRITICAL",IF(OR(U129="04-검토중_조건불만족",U129="07-생산완료_미인수",U129="12-조건부승인검토"),"ACTION",IF(AND(ISNUMBER(W129),W129&lt;=0),"OVERDUE",IF(AND(ISNUMBER(W129),W129&lt;=14),"WARNING","ON TRACK"))))))</f>
        <v/>
      </c>
      <c r="Y129" s="19">
        <f>IF(B129="","",IF(U129="11-결과등록완료","— 완료",IF(U129="01-계획서미제출",IF(I129&lt;TODAY(),"계획서 제출 독촉 (OVERDUE)","계획서 제출 대기"),IF(U129="02-계획서제출_미검토","설계자: 계획서 검토 착수",IF(U129="03-검토중_조건충족","설계자: 승인 처리",IF(U129="04-검토중_조건불만족","보완 요청 → 협력사 재제출 독촉",IF(U129="05-계획서승인","시험편 준비 현황 확인",IF(U129="06-BIW생산중단","BIW 생산팀 확인 → 일정 재수립",IF(U129="07-생산완료_미인수","협력사 인수 독촉",IF(U129="08-단품준비완료","시험 일정 확인",IF(U129="09-시험준비중","시험 진행 모니터링",IF(U129="10-시험완료","결과 보고서 전산 등록 독촉",IF(U129="12-조건부승인검토","조건부 승인 여부 판단 → 관련부서 협의","—")))))))))))))</f>
        <v/>
      </c>
    </row>
    <row r="130">
      <c r="A130" s="5">
        <f>IF(B130="","",ROW()-4)</f>
        <v/>
      </c>
      <c r="B130" s="13" t="n"/>
      <c r="C130" s="14" t="n"/>
      <c r="D130" s="15">
        <f>IF(B130="","",IFERROR(VLOOKUP(C130,'Reference Data 기준데이터'!$E$8:$F$30,2,FALSE),""))</f>
        <v/>
      </c>
      <c r="E130" s="14" t="n"/>
      <c r="F130" s="15">
        <f>IF(B130="","",IFERROR(VLOOKUP(E130,'Reference Data 기준데이터'!$A$8:$F$30,2,FALSE),""))</f>
        <v/>
      </c>
      <c r="G130" s="15">
        <f>IF(B130="","",IFERROR(VLOOKUP(B130&amp;"_"&amp;C130,'Reference Data 기준데이터'!$A$33:$B$51,2,FALSE),""))</f>
        <v/>
      </c>
      <c r="H130" s="16">
        <f>IF(B130="","",IFERROR(VLOOKUP(B130,'Reference Data 기준데이터'!$A$2:$J$5,3,FALSE),""))</f>
        <v/>
      </c>
      <c r="I130" s="16">
        <f>IF(B130="","",IFERROR(H130+VLOOKUP(B130,'Reference Data 기준데이터'!$A$2:$J$5,7,FALSE),""))</f>
        <v/>
      </c>
      <c r="J130" s="20" t="n"/>
      <c r="K130" s="13" t="n"/>
      <c r="L130" s="16">
        <f>IF(B130="","",IFERROR(H130+VLOOKUP(B130,'Reference Data 기준데이터'!$A$2:$J$5,8,FALSE),""))</f>
        <v/>
      </c>
      <c r="M130" s="20" t="n"/>
      <c r="N130" s="16">
        <f>IF(B130="","",IFERROR(IF(ISNUMBER(SEARCH("Vehicle",F130)),MAX(H130+VLOOKUP(B130,'Reference Data 기준데이터'!$A$2:$J$5,9,FALSE),VLOOKUP(B130,'Reference Data 기준데이터'!$A$2:$J$5,4,FALSE)),H130+VLOOKUP(B130,'Reference Data 기준데이터'!$A$2:$J$5,9,FALSE)),""))</f>
        <v/>
      </c>
      <c r="O130" s="20" t="n"/>
      <c r="P130" s="16">
        <f>IF(B130="","",IFERROR(N130+VLOOKUP(E130,'Reference Data 기준데이터'!$A$8:$F$30,4,FALSE),""))</f>
        <v/>
      </c>
      <c r="Q130" s="20" t="n"/>
      <c r="R130" s="16">
        <f>IF(B130="","",IFERROR(MIN(H130+VLOOKUP(B130,'Reference Data 기준데이터'!$A$2:$J$5,10,FALSE),VLOOKUP(B130,'Reference Data 기준데이터'!$A$2:$J$5,6,FALSE)),""))</f>
        <v/>
      </c>
      <c r="S130" s="20" t="n"/>
      <c r="T130" s="13" t="n"/>
      <c r="U130" s="17">
        <f>IF(B130="","",IF(T130&lt;&gt;"",T130,IF(AND(S130&lt;&gt;"",Q130&lt;&gt;""),"11-결과등록완료",IF(AND(Q130&lt;&gt;"",S130=""),"10-시험완료",IF(AND(O130&lt;&gt;"",Q130=""),"09-시험준비중",IF(AND(M130&lt;&gt;"",O130=""),"08-단품준비완료",IF(K130="Approved","05-계획서승인",IF(K130="Revision Needed","04-검토중_조건불만족",IF(K130="Under Review","03-검토중_조건충족",IF(AND(J130&lt;&gt;"",K130=""),"02-계획서제출_미검토","01-계획서미제출"))))))))))</f>
        <v/>
      </c>
      <c r="V130" s="18">
        <f>IF(B130="","",IFS(U130="01-계획서미제출",0,U130="02-계획서제출_미검토",0.05,U130="03-검토중_조건충족",0.1,U130="04-검토중_조건불만족",0.05,U130="05-계획서승인",0.2,U130="06-BIW생산중단",0.15,U130="07-생산완료_미인수",0.3,U130="08-단품준비완료",0.4,U130="09-시험준비중",0.55,U130="10-시험완료",0.85,U130="11-결과등록완료",1,U130="12-조건부승인검토",0.9,TRUE,0))</f>
        <v/>
      </c>
      <c r="W130" s="5">
        <f>IF(B130="","",IF(S130&lt;&gt;"","-",IF(R130="","N/A",R130-TODAY())))</f>
        <v/>
      </c>
      <c r="X130" s="17">
        <f>IF(B130="","",IF(U130="11-결과등록완료","DONE",IF(OR(U130="06-BIW생산중단",AND(U130="01-계획서미제출",I130&lt;TODAY())),"CRITICAL",IF(OR(U130="04-검토중_조건불만족",U130="07-생산완료_미인수",U130="12-조건부승인검토"),"ACTION",IF(AND(ISNUMBER(W130),W130&lt;=0),"OVERDUE",IF(AND(ISNUMBER(W130),W130&lt;=14),"WARNING","ON TRACK"))))))</f>
        <v/>
      </c>
      <c r="Y130" s="19">
        <f>IF(B130="","",IF(U130="11-결과등록완료","— 완료",IF(U130="01-계획서미제출",IF(I130&lt;TODAY(),"계획서 제출 독촉 (OVERDUE)","계획서 제출 대기"),IF(U130="02-계획서제출_미검토","설계자: 계획서 검토 착수",IF(U130="03-검토중_조건충족","설계자: 승인 처리",IF(U130="04-검토중_조건불만족","보완 요청 → 협력사 재제출 독촉",IF(U130="05-계획서승인","시험편 준비 현황 확인",IF(U130="06-BIW생산중단","BIW 생산팀 확인 → 일정 재수립",IF(U130="07-생산완료_미인수","협력사 인수 독촉",IF(U130="08-단품준비완료","시험 일정 확인",IF(U130="09-시험준비중","시험 진행 모니터링",IF(U130="10-시험완료","결과 보고서 전산 등록 독촉",IF(U130="12-조건부승인검토","조건부 승인 여부 판단 → 관련부서 협의","—")))))))))))))</f>
        <v/>
      </c>
    </row>
    <row r="131">
      <c r="A131" s="5">
        <f>IF(B131="","",ROW()-4)</f>
        <v/>
      </c>
      <c r="B131" s="13" t="n"/>
      <c r="C131" s="14" t="n"/>
      <c r="D131" s="15">
        <f>IF(B131="","",IFERROR(VLOOKUP(C131,'Reference Data 기준데이터'!$E$8:$F$30,2,FALSE),""))</f>
        <v/>
      </c>
      <c r="E131" s="14" t="n"/>
      <c r="F131" s="15">
        <f>IF(B131="","",IFERROR(VLOOKUP(E131,'Reference Data 기준데이터'!$A$8:$F$30,2,FALSE),""))</f>
        <v/>
      </c>
      <c r="G131" s="15">
        <f>IF(B131="","",IFERROR(VLOOKUP(B131&amp;"_"&amp;C131,'Reference Data 기준데이터'!$A$33:$B$51,2,FALSE),""))</f>
        <v/>
      </c>
      <c r="H131" s="16">
        <f>IF(B131="","",IFERROR(VLOOKUP(B131,'Reference Data 기준데이터'!$A$2:$J$5,3,FALSE),""))</f>
        <v/>
      </c>
      <c r="I131" s="16">
        <f>IF(B131="","",IFERROR(H131+VLOOKUP(B131,'Reference Data 기준데이터'!$A$2:$J$5,7,FALSE),""))</f>
        <v/>
      </c>
      <c r="J131" s="20" t="n"/>
      <c r="K131" s="13" t="n"/>
      <c r="L131" s="16">
        <f>IF(B131="","",IFERROR(H131+VLOOKUP(B131,'Reference Data 기준데이터'!$A$2:$J$5,8,FALSE),""))</f>
        <v/>
      </c>
      <c r="M131" s="20" t="n"/>
      <c r="N131" s="16">
        <f>IF(B131="","",IFERROR(IF(ISNUMBER(SEARCH("Vehicle",F131)),MAX(H131+VLOOKUP(B131,'Reference Data 기준데이터'!$A$2:$J$5,9,FALSE),VLOOKUP(B131,'Reference Data 기준데이터'!$A$2:$J$5,4,FALSE)),H131+VLOOKUP(B131,'Reference Data 기준데이터'!$A$2:$J$5,9,FALSE)),""))</f>
        <v/>
      </c>
      <c r="O131" s="20" t="n"/>
      <c r="P131" s="16">
        <f>IF(B131="","",IFERROR(N131+VLOOKUP(E131,'Reference Data 기준데이터'!$A$8:$F$30,4,FALSE),""))</f>
        <v/>
      </c>
      <c r="Q131" s="20" t="n"/>
      <c r="R131" s="16">
        <f>IF(B131="","",IFERROR(MIN(H131+VLOOKUP(B131,'Reference Data 기준데이터'!$A$2:$J$5,10,FALSE),VLOOKUP(B131,'Reference Data 기준데이터'!$A$2:$J$5,6,FALSE)),""))</f>
        <v/>
      </c>
      <c r="S131" s="20" t="n"/>
      <c r="T131" s="13" t="n"/>
      <c r="U131" s="17">
        <f>IF(B131="","",IF(T131&lt;&gt;"",T131,IF(AND(S131&lt;&gt;"",Q131&lt;&gt;""),"11-결과등록완료",IF(AND(Q131&lt;&gt;"",S131=""),"10-시험완료",IF(AND(O131&lt;&gt;"",Q131=""),"09-시험준비중",IF(AND(M131&lt;&gt;"",O131=""),"08-단품준비완료",IF(K131="Approved","05-계획서승인",IF(K131="Revision Needed","04-검토중_조건불만족",IF(K131="Under Review","03-검토중_조건충족",IF(AND(J131&lt;&gt;"",K131=""),"02-계획서제출_미검토","01-계획서미제출"))))))))))</f>
        <v/>
      </c>
      <c r="V131" s="18">
        <f>IF(B131="","",IFS(U131="01-계획서미제출",0,U131="02-계획서제출_미검토",0.05,U131="03-검토중_조건충족",0.1,U131="04-검토중_조건불만족",0.05,U131="05-계획서승인",0.2,U131="06-BIW생산중단",0.15,U131="07-생산완료_미인수",0.3,U131="08-단품준비완료",0.4,U131="09-시험준비중",0.55,U131="10-시험완료",0.85,U131="11-결과등록완료",1,U131="12-조건부승인검토",0.9,TRUE,0))</f>
        <v/>
      </c>
      <c r="W131" s="5">
        <f>IF(B131="","",IF(S131&lt;&gt;"","-",IF(R131="","N/A",R131-TODAY())))</f>
        <v/>
      </c>
      <c r="X131" s="17">
        <f>IF(B131="","",IF(U131="11-결과등록완료","DONE",IF(OR(U131="06-BIW생산중단",AND(U131="01-계획서미제출",I131&lt;TODAY())),"CRITICAL",IF(OR(U131="04-검토중_조건불만족",U131="07-생산완료_미인수",U131="12-조건부승인검토"),"ACTION",IF(AND(ISNUMBER(W131),W131&lt;=0),"OVERDUE",IF(AND(ISNUMBER(W131),W131&lt;=14),"WARNING","ON TRACK"))))))</f>
        <v/>
      </c>
      <c r="Y131" s="19">
        <f>IF(B131="","",IF(U131="11-결과등록완료","— 완료",IF(U131="01-계획서미제출",IF(I131&lt;TODAY(),"계획서 제출 독촉 (OVERDUE)","계획서 제출 대기"),IF(U131="02-계획서제출_미검토","설계자: 계획서 검토 착수",IF(U131="03-검토중_조건충족","설계자: 승인 처리",IF(U131="04-검토중_조건불만족","보완 요청 → 협력사 재제출 독촉",IF(U131="05-계획서승인","시험편 준비 현황 확인",IF(U131="06-BIW생산중단","BIW 생산팀 확인 → 일정 재수립",IF(U131="07-생산완료_미인수","협력사 인수 독촉",IF(U131="08-단품준비완료","시험 일정 확인",IF(U131="09-시험준비중","시험 진행 모니터링",IF(U131="10-시험완료","결과 보고서 전산 등록 독촉",IF(U131="12-조건부승인검토","조건부 승인 여부 판단 → 관련부서 협의","—")))))))))))))</f>
        <v/>
      </c>
    </row>
    <row r="132">
      <c r="A132" s="5">
        <f>IF(B132="","",ROW()-4)</f>
        <v/>
      </c>
      <c r="B132" s="13" t="n"/>
      <c r="C132" s="14" t="n"/>
      <c r="D132" s="15">
        <f>IF(B132="","",IFERROR(VLOOKUP(C132,'Reference Data 기준데이터'!$E$8:$F$30,2,FALSE),""))</f>
        <v/>
      </c>
      <c r="E132" s="14" t="n"/>
      <c r="F132" s="15">
        <f>IF(B132="","",IFERROR(VLOOKUP(E132,'Reference Data 기준데이터'!$A$8:$F$30,2,FALSE),""))</f>
        <v/>
      </c>
      <c r="G132" s="15">
        <f>IF(B132="","",IFERROR(VLOOKUP(B132&amp;"_"&amp;C132,'Reference Data 기준데이터'!$A$33:$B$51,2,FALSE),""))</f>
        <v/>
      </c>
      <c r="H132" s="16">
        <f>IF(B132="","",IFERROR(VLOOKUP(B132,'Reference Data 기준데이터'!$A$2:$J$5,3,FALSE),""))</f>
        <v/>
      </c>
      <c r="I132" s="16">
        <f>IF(B132="","",IFERROR(H132+VLOOKUP(B132,'Reference Data 기준데이터'!$A$2:$J$5,7,FALSE),""))</f>
        <v/>
      </c>
      <c r="J132" s="20" t="n"/>
      <c r="K132" s="13" t="n"/>
      <c r="L132" s="16">
        <f>IF(B132="","",IFERROR(H132+VLOOKUP(B132,'Reference Data 기준데이터'!$A$2:$J$5,8,FALSE),""))</f>
        <v/>
      </c>
      <c r="M132" s="20" t="n"/>
      <c r="N132" s="16">
        <f>IF(B132="","",IFERROR(IF(ISNUMBER(SEARCH("Vehicle",F132)),MAX(H132+VLOOKUP(B132,'Reference Data 기준데이터'!$A$2:$J$5,9,FALSE),VLOOKUP(B132,'Reference Data 기준데이터'!$A$2:$J$5,4,FALSE)),H132+VLOOKUP(B132,'Reference Data 기준데이터'!$A$2:$J$5,9,FALSE)),""))</f>
        <v/>
      </c>
      <c r="O132" s="20" t="n"/>
      <c r="P132" s="16">
        <f>IF(B132="","",IFERROR(N132+VLOOKUP(E132,'Reference Data 기준데이터'!$A$8:$F$30,4,FALSE),""))</f>
        <v/>
      </c>
      <c r="Q132" s="20" t="n"/>
      <c r="R132" s="16">
        <f>IF(B132="","",IFERROR(MIN(H132+VLOOKUP(B132,'Reference Data 기준데이터'!$A$2:$J$5,10,FALSE),VLOOKUP(B132,'Reference Data 기준데이터'!$A$2:$J$5,6,FALSE)),""))</f>
        <v/>
      </c>
      <c r="S132" s="20" t="n"/>
      <c r="T132" s="13" t="n"/>
      <c r="U132" s="17">
        <f>IF(B132="","",IF(T132&lt;&gt;"",T132,IF(AND(S132&lt;&gt;"",Q132&lt;&gt;""),"11-결과등록완료",IF(AND(Q132&lt;&gt;"",S132=""),"10-시험완료",IF(AND(O132&lt;&gt;"",Q132=""),"09-시험준비중",IF(AND(M132&lt;&gt;"",O132=""),"08-단품준비완료",IF(K132="Approved","05-계획서승인",IF(K132="Revision Needed","04-검토중_조건불만족",IF(K132="Under Review","03-검토중_조건충족",IF(AND(J132&lt;&gt;"",K132=""),"02-계획서제출_미검토","01-계획서미제출"))))))))))</f>
        <v/>
      </c>
      <c r="V132" s="18">
        <f>IF(B132="","",IFS(U132="01-계획서미제출",0,U132="02-계획서제출_미검토",0.05,U132="03-검토중_조건충족",0.1,U132="04-검토중_조건불만족",0.05,U132="05-계획서승인",0.2,U132="06-BIW생산중단",0.15,U132="07-생산완료_미인수",0.3,U132="08-단품준비완료",0.4,U132="09-시험준비중",0.55,U132="10-시험완료",0.85,U132="11-결과등록완료",1,U132="12-조건부승인검토",0.9,TRUE,0))</f>
        <v/>
      </c>
      <c r="W132" s="5">
        <f>IF(B132="","",IF(S132&lt;&gt;"","-",IF(R132="","N/A",R132-TODAY())))</f>
        <v/>
      </c>
      <c r="X132" s="17">
        <f>IF(B132="","",IF(U132="11-결과등록완료","DONE",IF(OR(U132="06-BIW생산중단",AND(U132="01-계획서미제출",I132&lt;TODAY())),"CRITICAL",IF(OR(U132="04-검토중_조건불만족",U132="07-생산완료_미인수",U132="12-조건부승인검토"),"ACTION",IF(AND(ISNUMBER(W132),W132&lt;=0),"OVERDUE",IF(AND(ISNUMBER(W132),W132&lt;=14),"WARNING","ON TRACK"))))))</f>
        <v/>
      </c>
      <c r="Y132" s="19">
        <f>IF(B132="","",IF(U132="11-결과등록완료","— 완료",IF(U132="01-계획서미제출",IF(I132&lt;TODAY(),"계획서 제출 독촉 (OVERDUE)","계획서 제출 대기"),IF(U132="02-계획서제출_미검토","설계자: 계획서 검토 착수",IF(U132="03-검토중_조건충족","설계자: 승인 처리",IF(U132="04-검토중_조건불만족","보완 요청 → 협력사 재제출 독촉",IF(U132="05-계획서승인","시험편 준비 현황 확인",IF(U132="06-BIW생산중단","BIW 생산팀 확인 → 일정 재수립",IF(U132="07-생산완료_미인수","협력사 인수 독촉",IF(U132="08-단품준비완료","시험 일정 확인",IF(U132="09-시험준비중","시험 진행 모니터링",IF(U132="10-시험완료","결과 보고서 전산 등록 독촉",IF(U132="12-조건부승인검토","조건부 승인 여부 판단 → 관련부서 협의","—")))))))))))))</f>
        <v/>
      </c>
    </row>
    <row r="133">
      <c r="A133" s="5">
        <f>IF(B133="","",ROW()-4)</f>
        <v/>
      </c>
      <c r="B133" s="13" t="n"/>
      <c r="C133" s="14" t="n"/>
      <c r="D133" s="15">
        <f>IF(B133="","",IFERROR(VLOOKUP(C133,'Reference Data 기준데이터'!$E$8:$F$30,2,FALSE),""))</f>
        <v/>
      </c>
      <c r="E133" s="14" t="n"/>
      <c r="F133" s="15">
        <f>IF(B133="","",IFERROR(VLOOKUP(E133,'Reference Data 기준데이터'!$A$8:$F$30,2,FALSE),""))</f>
        <v/>
      </c>
      <c r="G133" s="15">
        <f>IF(B133="","",IFERROR(VLOOKUP(B133&amp;"_"&amp;C133,'Reference Data 기준데이터'!$A$33:$B$51,2,FALSE),""))</f>
        <v/>
      </c>
      <c r="H133" s="16">
        <f>IF(B133="","",IFERROR(VLOOKUP(B133,'Reference Data 기준데이터'!$A$2:$J$5,3,FALSE),""))</f>
        <v/>
      </c>
      <c r="I133" s="16">
        <f>IF(B133="","",IFERROR(H133+VLOOKUP(B133,'Reference Data 기준데이터'!$A$2:$J$5,7,FALSE),""))</f>
        <v/>
      </c>
      <c r="J133" s="20" t="n"/>
      <c r="K133" s="13" t="n"/>
      <c r="L133" s="16">
        <f>IF(B133="","",IFERROR(H133+VLOOKUP(B133,'Reference Data 기준데이터'!$A$2:$J$5,8,FALSE),""))</f>
        <v/>
      </c>
      <c r="M133" s="20" t="n"/>
      <c r="N133" s="16">
        <f>IF(B133="","",IFERROR(IF(ISNUMBER(SEARCH("Vehicle",F133)),MAX(H133+VLOOKUP(B133,'Reference Data 기준데이터'!$A$2:$J$5,9,FALSE),VLOOKUP(B133,'Reference Data 기준데이터'!$A$2:$J$5,4,FALSE)),H133+VLOOKUP(B133,'Reference Data 기준데이터'!$A$2:$J$5,9,FALSE)),""))</f>
        <v/>
      </c>
      <c r="O133" s="20" t="n"/>
      <c r="P133" s="16">
        <f>IF(B133="","",IFERROR(N133+VLOOKUP(E133,'Reference Data 기준데이터'!$A$8:$F$30,4,FALSE),""))</f>
        <v/>
      </c>
      <c r="Q133" s="20" t="n"/>
      <c r="R133" s="16">
        <f>IF(B133="","",IFERROR(MIN(H133+VLOOKUP(B133,'Reference Data 기준데이터'!$A$2:$J$5,10,FALSE),VLOOKUP(B133,'Reference Data 기준데이터'!$A$2:$J$5,6,FALSE)),""))</f>
        <v/>
      </c>
      <c r="S133" s="20" t="n"/>
      <c r="T133" s="13" t="n"/>
      <c r="U133" s="17">
        <f>IF(B133="","",IF(T133&lt;&gt;"",T133,IF(AND(S133&lt;&gt;"",Q133&lt;&gt;""),"11-결과등록완료",IF(AND(Q133&lt;&gt;"",S133=""),"10-시험완료",IF(AND(O133&lt;&gt;"",Q133=""),"09-시험준비중",IF(AND(M133&lt;&gt;"",O133=""),"08-단품준비완료",IF(K133="Approved","05-계획서승인",IF(K133="Revision Needed","04-검토중_조건불만족",IF(K133="Under Review","03-검토중_조건충족",IF(AND(J133&lt;&gt;"",K133=""),"02-계획서제출_미검토","01-계획서미제출"))))))))))</f>
        <v/>
      </c>
      <c r="V133" s="18">
        <f>IF(B133="","",IFS(U133="01-계획서미제출",0,U133="02-계획서제출_미검토",0.05,U133="03-검토중_조건충족",0.1,U133="04-검토중_조건불만족",0.05,U133="05-계획서승인",0.2,U133="06-BIW생산중단",0.15,U133="07-생산완료_미인수",0.3,U133="08-단품준비완료",0.4,U133="09-시험준비중",0.55,U133="10-시험완료",0.85,U133="11-결과등록완료",1,U133="12-조건부승인검토",0.9,TRUE,0))</f>
        <v/>
      </c>
      <c r="W133" s="5">
        <f>IF(B133="","",IF(S133&lt;&gt;"","-",IF(R133="","N/A",R133-TODAY())))</f>
        <v/>
      </c>
      <c r="X133" s="17">
        <f>IF(B133="","",IF(U133="11-결과등록완료","DONE",IF(OR(U133="06-BIW생산중단",AND(U133="01-계획서미제출",I133&lt;TODAY())),"CRITICAL",IF(OR(U133="04-검토중_조건불만족",U133="07-생산완료_미인수",U133="12-조건부승인검토"),"ACTION",IF(AND(ISNUMBER(W133),W133&lt;=0),"OVERDUE",IF(AND(ISNUMBER(W133),W133&lt;=14),"WARNING","ON TRACK"))))))</f>
        <v/>
      </c>
      <c r="Y133" s="19">
        <f>IF(B133="","",IF(U133="11-결과등록완료","— 완료",IF(U133="01-계획서미제출",IF(I133&lt;TODAY(),"계획서 제출 독촉 (OVERDUE)","계획서 제출 대기"),IF(U133="02-계획서제출_미검토","설계자: 계획서 검토 착수",IF(U133="03-검토중_조건충족","설계자: 승인 처리",IF(U133="04-검토중_조건불만족","보완 요청 → 협력사 재제출 독촉",IF(U133="05-계획서승인","시험편 준비 현황 확인",IF(U133="06-BIW생산중단","BIW 생산팀 확인 → 일정 재수립",IF(U133="07-생산완료_미인수","협력사 인수 독촉",IF(U133="08-단품준비완료","시험 일정 확인",IF(U133="09-시험준비중","시험 진행 모니터링",IF(U133="10-시험완료","결과 보고서 전산 등록 독촉",IF(U133="12-조건부승인검토","조건부 승인 여부 판단 → 관련부서 협의","—")))))))))))))</f>
        <v/>
      </c>
    </row>
    <row r="134">
      <c r="A134" s="5">
        <f>IF(B134="","",ROW()-4)</f>
        <v/>
      </c>
      <c r="B134" s="13" t="n"/>
      <c r="C134" s="14" t="n"/>
      <c r="D134" s="15">
        <f>IF(B134="","",IFERROR(VLOOKUP(C134,'Reference Data 기준데이터'!$E$8:$F$30,2,FALSE),""))</f>
        <v/>
      </c>
      <c r="E134" s="14" t="n"/>
      <c r="F134" s="15">
        <f>IF(B134="","",IFERROR(VLOOKUP(E134,'Reference Data 기준데이터'!$A$8:$F$30,2,FALSE),""))</f>
        <v/>
      </c>
      <c r="G134" s="15">
        <f>IF(B134="","",IFERROR(VLOOKUP(B134&amp;"_"&amp;C134,'Reference Data 기준데이터'!$A$33:$B$51,2,FALSE),""))</f>
        <v/>
      </c>
      <c r="H134" s="16">
        <f>IF(B134="","",IFERROR(VLOOKUP(B134,'Reference Data 기준데이터'!$A$2:$J$5,3,FALSE),""))</f>
        <v/>
      </c>
      <c r="I134" s="16">
        <f>IF(B134="","",IFERROR(H134+VLOOKUP(B134,'Reference Data 기준데이터'!$A$2:$J$5,7,FALSE),""))</f>
        <v/>
      </c>
      <c r="J134" s="20" t="n"/>
      <c r="K134" s="13" t="n"/>
      <c r="L134" s="16">
        <f>IF(B134="","",IFERROR(H134+VLOOKUP(B134,'Reference Data 기준데이터'!$A$2:$J$5,8,FALSE),""))</f>
        <v/>
      </c>
      <c r="M134" s="20" t="n"/>
      <c r="N134" s="16">
        <f>IF(B134="","",IFERROR(IF(ISNUMBER(SEARCH("Vehicle",F134)),MAX(H134+VLOOKUP(B134,'Reference Data 기준데이터'!$A$2:$J$5,9,FALSE),VLOOKUP(B134,'Reference Data 기준데이터'!$A$2:$J$5,4,FALSE)),H134+VLOOKUP(B134,'Reference Data 기준데이터'!$A$2:$J$5,9,FALSE)),""))</f>
        <v/>
      </c>
      <c r="O134" s="20" t="n"/>
      <c r="P134" s="16">
        <f>IF(B134="","",IFERROR(N134+VLOOKUP(E134,'Reference Data 기준데이터'!$A$8:$F$30,4,FALSE),""))</f>
        <v/>
      </c>
      <c r="Q134" s="20" t="n"/>
      <c r="R134" s="16">
        <f>IF(B134="","",IFERROR(MIN(H134+VLOOKUP(B134,'Reference Data 기준데이터'!$A$2:$J$5,10,FALSE),VLOOKUP(B134,'Reference Data 기준데이터'!$A$2:$J$5,6,FALSE)),""))</f>
        <v/>
      </c>
      <c r="S134" s="20" t="n"/>
      <c r="T134" s="13" t="n"/>
      <c r="U134" s="17">
        <f>IF(B134="","",IF(T134&lt;&gt;"",T134,IF(AND(S134&lt;&gt;"",Q134&lt;&gt;""),"11-결과등록완료",IF(AND(Q134&lt;&gt;"",S134=""),"10-시험완료",IF(AND(O134&lt;&gt;"",Q134=""),"09-시험준비중",IF(AND(M134&lt;&gt;"",O134=""),"08-단품준비완료",IF(K134="Approved","05-계획서승인",IF(K134="Revision Needed","04-검토중_조건불만족",IF(K134="Under Review","03-검토중_조건충족",IF(AND(J134&lt;&gt;"",K134=""),"02-계획서제출_미검토","01-계획서미제출"))))))))))</f>
        <v/>
      </c>
      <c r="V134" s="18">
        <f>IF(B134="","",IFS(U134="01-계획서미제출",0,U134="02-계획서제출_미검토",0.05,U134="03-검토중_조건충족",0.1,U134="04-검토중_조건불만족",0.05,U134="05-계획서승인",0.2,U134="06-BIW생산중단",0.15,U134="07-생산완료_미인수",0.3,U134="08-단품준비완료",0.4,U134="09-시험준비중",0.55,U134="10-시험완료",0.85,U134="11-결과등록완료",1,U134="12-조건부승인검토",0.9,TRUE,0))</f>
        <v/>
      </c>
      <c r="W134" s="5">
        <f>IF(B134="","",IF(S134&lt;&gt;"","-",IF(R134="","N/A",R134-TODAY())))</f>
        <v/>
      </c>
      <c r="X134" s="17">
        <f>IF(B134="","",IF(U134="11-결과등록완료","DONE",IF(OR(U134="06-BIW생산중단",AND(U134="01-계획서미제출",I134&lt;TODAY())),"CRITICAL",IF(OR(U134="04-검토중_조건불만족",U134="07-생산완료_미인수",U134="12-조건부승인검토"),"ACTION",IF(AND(ISNUMBER(W134),W134&lt;=0),"OVERDUE",IF(AND(ISNUMBER(W134),W134&lt;=14),"WARNING","ON TRACK"))))))</f>
        <v/>
      </c>
      <c r="Y134" s="19">
        <f>IF(B134="","",IF(U134="11-결과등록완료","— 완료",IF(U134="01-계획서미제출",IF(I134&lt;TODAY(),"계획서 제출 독촉 (OVERDUE)","계획서 제출 대기"),IF(U134="02-계획서제출_미검토","설계자: 계획서 검토 착수",IF(U134="03-검토중_조건충족","설계자: 승인 처리",IF(U134="04-검토중_조건불만족","보완 요청 → 협력사 재제출 독촉",IF(U134="05-계획서승인","시험편 준비 현황 확인",IF(U134="06-BIW생산중단","BIW 생산팀 확인 → 일정 재수립",IF(U134="07-생산완료_미인수","협력사 인수 독촉",IF(U134="08-단품준비완료","시험 일정 확인",IF(U134="09-시험준비중","시험 진행 모니터링",IF(U134="10-시험완료","결과 보고서 전산 등록 독촉",IF(U134="12-조건부승인검토","조건부 승인 여부 판단 → 관련부서 협의","—")))))))))))))</f>
        <v/>
      </c>
    </row>
    <row r="135">
      <c r="A135" s="5">
        <f>IF(B135="","",ROW()-4)</f>
        <v/>
      </c>
      <c r="B135" s="13" t="n"/>
      <c r="C135" s="14" t="n"/>
      <c r="D135" s="15">
        <f>IF(B135="","",IFERROR(VLOOKUP(C135,'Reference Data 기준데이터'!$E$8:$F$30,2,FALSE),""))</f>
        <v/>
      </c>
      <c r="E135" s="14" t="n"/>
      <c r="F135" s="15">
        <f>IF(B135="","",IFERROR(VLOOKUP(E135,'Reference Data 기준데이터'!$A$8:$F$30,2,FALSE),""))</f>
        <v/>
      </c>
      <c r="G135" s="15">
        <f>IF(B135="","",IFERROR(VLOOKUP(B135&amp;"_"&amp;C135,'Reference Data 기준데이터'!$A$33:$B$51,2,FALSE),""))</f>
        <v/>
      </c>
      <c r="H135" s="16">
        <f>IF(B135="","",IFERROR(VLOOKUP(B135,'Reference Data 기준데이터'!$A$2:$J$5,3,FALSE),""))</f>
        <v/>
      </c>
      <c r="I135" s="16">
        <f>IF(B135="","",IFERROR(H135+VLOOKUP(B135,'Reference Data 기준데이터'!$A$2:$J$5,7,FALSE),""))</f>
        <v/>
      </c>
      <c r="J135" s="20" t="n"/>
      <c r="K135" s="13" t="n"/>
      <c r="L135" s="16">
        <f>IF(B135="","",IFERROR(H135+VLOOKUP(B135,'Reference Data 기준데이터'!$A$2:$J$5,8,FALSE),""))</f>
        <v/>
      </c>
      <c r="M135" s="20" t="n"/>
      <c r="N135" s="16">
        <f>IF(B135="","",IFERROR(IF(ISNUMBER(SEARCH("Vehicle",F135)),MAX(H135+VLOOKUP(B135,'Reference Data 기준데이터'!$A$2:$J$5,9,FALSE),VLOOKUP(B135,'Reference Data 기준데이터'!$A$2:$J$5,4,FALSE)),H135+VLOOKUP(B135,'Reference Data 기준데이터'!$A$2:$J$5,9,FALSE)),""))</f>
        <v/>
      </c>
      <c r="O135" s="20" t="n"/>
      <c r="P135" s="16">
        <f>IF(B135="","",IFERROR(N135+VLOOKUP(E135,'Reference Data 기준데이터'!$A$8:$F$30,4,FALSE),""))</f>
        <v/>
      </c>
      <c r="Q135" s="20" t="n"/>
      <c r="R135" s="16">
        <f>IF(B135="","",IFERROR(MIN(H135+VLOOKUP(B135,'Reference Data 기준데이터'!$A$2:$J$5,10,FALSE),VLOOKUP(B135,'Reference Data 기준데이터'!$A$2:$J$5,6,FALSE)),""))</f>
        <v/>
      </c>
      <c r="S135" s="20" t="n"/>
      <c r="T135" s="13" t="n"/>
      <c r="U135" s="17">
        <f>IF(B135="","",IF(T135&lt;&gt;"",T135,IF(AND(S135&lt;&gt;"",Q135&lt;&gt;""),"11-결과등록완료",IF(AND(Q135&lt;&gt;"",S135=""),"10-시험완료",IF(AND(O135&lt;&gt;"",Q135=""),"09-시험준비중",IF(AND(M135&lt;&gt;"",O135=""),"08-단품준비완료",IF(K135="Approved","05-계획서승인",IF(K135="Revision Needed","04-검토중_조건불만족",IF(K135="Under Review","03-검토중_조건충족",IF(AND(J135&lt;&gt;"",K135=""),"02-계획서제출_미검토","01-계획서미제출"))))))))))</f>
        <v/>
      </c>
      <c r="V135" s="18">
        <f>IF(B135="","",IFS(U135="01-계획서미제출",0,U135="02-계획서제출_미검토",0.05,U135="03-검토중_조건충족",0.1,U135="04-검토중_조건불만족",0.05,U135="05-계획서승인",0.2,U135="06-BIW생산중단",0.15,U135="07-생산완료_미인수",0.3,U135="08-단품준비완료",0.4,U135="09-시험준비중",0.55,U135="10-시험완료",0.85,U135="11-결과등록완료",1,U135="12-조건부승인검토",0.9,TRUE,0))</f>
        <v/>
      </c>
      <c r="W135" s="5">
        <f>IF(B135="","",IF(S135&lt;&gt;"","-",IF(R135="","N/A",R135-TODAY())))</f>
        <v/>
      </c>
      <c r="X135" s="17">
        <f>IF(B135="","",IF(U135="11-결과등록완료","DONE",IF(OR(U135="06-BIW생산중단",AND(U135="01-계획서미제출",I135&lt;TODAY())),"CRITICAL",IF(OR(U135="04-검토중_조건불만족",U135="07-생산완료_미인수",U135="12-조건부승인검토"),"ACTION",IF(AND(ISNUMBER(W135),W135&lt;=0),"OVERDUE",IF(AND(ISNUMBER(W135),W135&lt;=14),"WARNING","ON TRACK"))))))</f>
        <v/>
      </c>
      <c r="Y135" s="19">
        <f>IF(B135="","",IF(U135="11-결과등록완료","— 완료",IF(U135="01-계획서미제출",IF(I135&lt;TODAY(),"계획서 제출 독촉 (OVERDUE)","계획서 제출 대기"),IF(U135="02-계획서제출_미검토","설계자: 계획서 검토 착수",IF(U135="03-검토중_조건충족","설계자: 승인 처리",IF(U135="04-검토중_조건불만족","보완 요청 → 협력사 재제출 독촉",IF(U135="05-계획서승인","시험편 준비 현황 확인",IF(U135="06-BIW생산중단","BIW 생산팀 확인 → 일정 재수립",IF(U135="07-생산완료_미인수","협력사 인수 독촉",IF(U135="08-단품준비완료","시험 일정 확인",IF(U135="09-시험준비중","시험 진행 모니터링",IF(U135="10-시험완료","결과 보고서 전산 등록 독촉",IF(U135="12-조건부승인검토","조건부 승인 여부 판단 → 관련부서 협의","—")))))))))))))</f>
        <v/>
      </c>
    </row>
    <row r="136">
      <c r="A136" s="5">
        <f>IF(B136="","",ROW()-4)</f>
        <v/>
      </c>
      <c r="B136" s="13" t="n"/>
      <c r="C136" s="14" t="n"/>
      <c r="D136" s="15">
        <f>IF(B136="","",IFERROR(VLOOKUP(C136,'Reference Data 기준데이터'!$E$8:$F$30,2,FALSE),""))</f>
        <v/>
      </c>
      <c r="E136" s="14" t="n"/>
      <c r="F136" s="15">
        <f>IF(B136="","",IFERROR(VLOOKUP(E136,'Reference Data 기준데이터'!$A$8:$F$30,2,FALSE),""))</f>
        <v/>
      </c>
      <c r="G136" s="15">
        <f>IF(B136="","",IFERROR(VLOOKUP(B136&amp;"_"&amp;C136,'Reference Data 기준데이터'!$A$33:$B$51,2,FALSE),""))</f>
        <v/>
      </c>
      <c r="H136" s="16">
        <f>IF(B136="","",IFERROR(VLOOKUP(B136,'Reference Data 기준데이터'!$A$2:$J$5,3,FALSE),""))</f>
        <v/>
      </c>
      <c r="I136" s="16">
        <f>IF(B136="","",IFERROR(H136+VLOOKUP(B136,'Reference Data 기준데이터'!$A$2:$J$5,7,FALSE),""))</f>
        <v/>
      </c>
      <c r="J136" s="20" t="n"/>
      <c r="K136" s="13" t="n"/>
      <c r="L136" s="16">
        <f>IF(B136="","",IFERROR(H136+VLOOKUP(B136,'Reference Data 기준데이터'!$A$2:$J$5,8,FALSE),""))</f>
        <v/>
      </c>
      <c r="M136" s="20" t="n"/>
      <c r="N136" s="16">
        <f>IF(B136="","",IFERROR(IF(ISNUMBER(SEARCH("Vehicle",F136)),MAX(H136+VLOOKUP(B136,'Reference Data 기준데이터'!$A$2:$J$5,9,FALSE),VLOOKUP(B136,'Reference Data 기준데이터'!$A$2:$J$5,4,FALSE)),H136+VLOOKUP(B136,'Reference Data 기준데이터'!$A$2:$J$5,9,FALSE)),""))</f>
        <v/>
      </c>
      <c r="O136" s="20" t="n"/>
      <c r="P136" s="16">
        <f>IF(B136="","",IFERROR(N136+VLOOKUP(E136,'Reference Data 기준데이터'!$A$8:$F$30,4,FALSE),""))</f>
        <v/>
      </c>
      <c r="Q136" s="20" t="n"/>
      <c r="R136" s="16">
        <f>IF(B136="","",IFERROR(MIN(H136+VLOOKUP(B136,'Reference Data 기준데이터'!$A$2:$J$5,10,FALSE),VLOOKUP(B136,'Reference Data 기준데이터'!$A$2:$J$5,6,FALSE)),""))</f>
        <v/>
      </c>
      <c r="S136" s="20" t="n"/>
      <c r="T136" s="13" t="n"/>
      <c r="U136" s="17">
        <f>IF(B136="","",IF(T136&lt;&gt;"",T136,IF(AND(S136&lt;&gt;"",Q136&lt;&gt;""),"11-결과등록완료",IF(AND(Q136&lt;&gt;"",S136=""),"10-시험완료",IF(AND(O136&lt;&gt;"",Q136=""),"09-시험준비중",IF(AND(M136&lt;&gt;"",O136=""),"08-단품준비완료",IF(K136="Approved","05-계획서승인",IF(K136="Revision Needed","04-검토중_조건불만족",IF(K136="Under Review","03-검토중_조건충족",IF(AND(J136&lt;&gt;"",K136=""),"02-계획서제출_미검토","01-계획서미제출"))))))))))</f>
        <v/>
      </c>
      <c r="V136" s="18">
        <f>IF(B136="","",IFS(U136="01-계획서미제출",0,U136="02-계획서제출_미검토",0.05,U136="03-검토중_조건충족",0.1,U136="04-검토중_조건불만족",0.05,U136="05-계획서승인",0.2,U136="06-BIW생산중단",0.15,U136="07-생산완료_미인수",0.3,U136="08-단품준비완료",0.4,U136="09-시험준비중",0.55,U136="10-시험완료",0.85,U136="11-결과등록완료",1,U136="12-조건부승인검토",0.9,TRUE,0))</f>
        <v/>
      </c>
      <c r="W136" s="5">
        <f>IF(B136="","",IF(S136&lt;&gt;"","-",IF(R136="","N/A",R136-TODAY())))</f>
        <v/>
      </c>
      <c r="X136" s="17">
        <f>IF(B136="","",IF(U136="11-결과등록완료","DONE",IF(OR(U136="06-BIW생산중단",AND(U136="01-계획서미제출",I136&lt;TODAY())),"CRITICAL",IF(OR(U136="04-검토중_조건불만족",U136="07-생산완료_미인수",U136="12-조건부승인검토"),"ACTION",IF(AND(ISNUMBER(W136),W136&lt;=0),"OVERDUE",IF(AND(ISNUMBER(W136),W136&lt;=14),"WARNING","ON TRACK"))))))</f>
        <v/>
      </c>
      <c r="Y136" s="19">
        <f>IF(B136="","",IF(U136="11-결과등록완료","— 완료",IF(U136="01-계획서미제출",IF(I136&lt;TODAY(),"계획서 제출 독촉 (OVERDUE)","계획서 제출 대기"),IF(U136="02-계획서제출_미검토","설계자: 계획서 검토 착수",IF(U136="03-검토중_조건충족","설계자: 승인 처리",IF(U136="04-검토중_조건불만족","보완 요청 → 협력사 재제출 독촉",IF(U136="05-계획서승인","시험편 준비 현황 확인",IF(U136="06-BIW생산중단","BIW 생산팀 확인 → 일정 재수립",IF(U136="07-생산완료_미인수","협력사 인수 독촉",IF(U136="08-단품준비완료","시험 일정 확인",IF(U136="09-시험준비중","시험 진행 모니터링",IF(U136="10-시험완료","결과 보고서 전산 등록 독촉",IF(U136="12-조건부승인검토","조건부 승인 여부 판단 → 관련부서 협의","—")))))))))))))</f>
        <v/>
      </c>
    </row>
    <row r="137">
      <c r="A137" s="5">
        <f>IF(B137="","",ROW()-4)</f>
        <v/>
      </c>
      <c r="B137" s="13" t="n"/>
      <c r="C137" s="14" t="n"/>
      <c r="D137" s="15">
        <f>IF(B137="","",IFERROR(VLOOKUP(C137,'Reference Data 기준데이터'!$E$8:$F$30,2,FALSE),""))</f>
        <v/>
      </c>
      <c r="E137" s="14" t="n"/>
      <c r="F137" s="15">
        <f>IF(B137="","",IFERROR(VLOOKUP(E137,'Reference Data 기준데이터'!$A$8:$F$30,2,FALSE),""))</f>
        <v/>
      </c>
      <c r="G137" s="15">
        <f>IF(B137="","",IFERROR(VLOOKUP(B137&amp;"_"&amp;C137,'Reference Data 기준데이터'!$A$33:$B$51,2,FALSE),""))</f>
        <v/>
      </c>
      <c r="H137" s="16">
        <f>IF(B137="","",IFERROR(VLOOKUP(B137,'Reference Data 기준데이터'!$A$2:$J$5,3,FALSE),""))</f>
        <v/>
      </c>
      <c r="I137" s="16">
        <f>IF(B137="","",IFERROR(H137+VLOOKUP(B137,'Reference Data 기준데이터'!$A$2:$J$5,7,FALSE),""))</f>
        <v/>
      </c>
      <c r="J137" s="20" t="n"/>
      <c r="K137" s="13" t="n"/>
      <c r="L137" s="16">
        <f>IF(B137="","",IFERROR(H137+VLOOKUP(B137,'Reference Data 기준데이터'!$A$2:$J$5,8,FALSE),""))</f>
        <v/>
      </c>
      <c r="M137" s="20" t="n"/>
      <c r="N137" s="16">
        <f>IF(B137="","",IFERROR(IF(ISNUMBER(SEARCH("Vehicle",F137)),MAX(H137+VLOOKUP(B137,'Reference Data 기준데이터'!$A$2:$J$5,9,FALSE),VLOOKUP(B137,'Reference Data 기준데이터'!$A$2:$J$5,4,FALSE)),H137+VLOOKUP(B137,'Reference Data 기준데이터'!$A$2:$J$5,9,FALSE)),""))</f>
        <v/>
      </c>
      <c r="O137" s="20" t="n"/>
      <c r="P137" s="16">
        <f>IF(B137="","",IFERROR(N137+VLOOKUP(E137,'Reference Data 기준데이터'!$A$8:$F$30,4,FALSE),""))</f>
        <v/>
      </c>
      <c r="Q137" s="20" t="n"/>
      <c r="R137" s="16">
        <f>IF(B137="","",IFERROR(MIN(H137+VLOOKUP(B137,'Reference Data 기준데이터'!$A$2:$J$5,10,FALSE),VLOOKUP(B137,'Reference Data 기준데이터'!$A$2:$J$5,6,FALSE)),""))</f>
        <v/>
      </c>
      <c r="S137" s="20" t="n"/>
      <c r="T137" s="13" t="n"/>
      <c r="U137" s="17">
        <f>IF(B137="","",IF(T137&lt;&gt;"",T137,IF(AND(S137&lt;&gt;"",Q137&lt;&gt;""),"11-결과등록완료",IF(AND(Q137&lt;&gt;"",S137=""),"10-시험완료",IF(AND(O137&lt;&gt;"",Q137=""),"09-시험준비중",IF(AND(M137&lt;&gt;"",O137=""),"08-단품준비완료",IF(K137="Approved","05-계획서승인",IF(K137="Revision Needed","04-검토중_조건불만족",IF(K137="Under Review","03-검토중_조건충족",IF(AND(J137&lt;&gt;"",K137=""),"02-계획서제출_미검토","01-계획서미제출"))))))))))</f>
        <v/>
      </c>
      <c r="V137" s="18">
        <f>IF(B137="","",IFS(U137="01-계획서미제출",0,U137="02-계획서제출_미검토",0.05,U137="03-검토중_조건충족",0.1,U137="04-검토중_조건불만족",0.05,U137="05-계획서승인",0.2,U137="06-BIW생산중단",0.15,U137="07-생산완료_미인수",0.3,U137="08-단품준비완료",0.4,U137="09-시험준비중",0.55,U137="10-시험완료",0.85,U137="11-결과등록완료",1,U137="12-조건부승인검토",0.9,TRUE,0))</f>
        <v/>
      </c>
      <c r="W137" s="5">
        <f>IF(B137="","",IF(S137&lt;&gt;"","-",IF(R137="","N/A",R137-TODAY())))</f>
        <v/>
      </c>
      <c r="X137" s="17">
        <f>IF(B137="","",IF(U137="11-결과등록완료","DONE",IF(OR(U137="06-BIW생산중단",AND(U137="01-계획서미제출",I137&lt;TODAY())),"CRITICAL",IF(OR(U137="04-검토중_조건불만족",U137="07-생산완료_미인수",U137="12-조건부승인검토"),"ACTION",IF(AND(ISNUMBER(W137),W137&lt;=0),"OVERDUE",IF(AND(ISNUMBER(W137),W137&lt;=14),"WARNING","ON TRACK"))))))</f>
        <v/>
      </c>
      <c r="Y137" s="19">
        <f>IF(B137="","",IF(U137="11-결과등록완료","— 완료",IF(U137="01-계획서미제출",IF(I137&lt;TODAY(),"계획서 제출 독촉 (OVERDUE)","계획서 제출 대기"),IF(U137="02-계획서제출_미검토","설계자: 계획서 검토 착수",IF(U137="03-검토중_조건충족","설계자: 승인 처리",IF(U137="04-검토중_조건불만족","보완 요청 → 협력사 재제출 독촉",IF(U137="05-계획서승인","시험편 준비 현황 확인",IF(U137="06-BIW생산중단","BIW 생산팀 확인 → 일정 재수립",IF(U137="07-생산완료_미인수","협력사 인수 독촉",IF(U137="08-단품준비완료","시험 일정 확인",IF(U137="09-시험준비중","시험 진행 모니터링",IF(U137="10-시험완료","결과 보고서 전산 등록 독촉",IF(U137="12-조건부승인검토","조건부 승인 여부 판단 → 관련부서 협의","—")))))))))))))</f>
        <v/>
      </c>
    </row>
    <row r="138">
      <c r="A138" s="5">
        <f>IF(B138="","",ROW()-4)</f>
        <v/>
      </c>
      <c r="B138" s="13" t="n"/>
      <c r="C138" s="14" t="n"/>
      <c r="D138" s="15">
        <f>IF(B138="","",IFERROR(VLOOKUP(C138,'Reference Data 기준데이터'!$E$8:$F$30,2,FALSE),""))</f>
        <v/>
      </c>
      <c r="E138" s="14" t="n"/>
      <c r="F138" s="15">
        <f>IF(B138="","",IFERROR(VLOOKUP(E138,'Reference Data 기준데이터'!$A$8:$F$30,2,FALSE),""))</f>
        <v/>
      </c>
      <c r="G138" s="15">
        <f>IF(B138="","",IFERROR(VLOOKUP(B138&amp;"_"&amp;C138,'Reference Data 기준데이터'!$A$33:$B$51,2,FALSE),""))</f>
        <v/>
      </c>
      <c r="H138" s="16">
        <f>IF(B138="","",IFERROR(VLOOKUP(B138,'Reference Data 기준데이터'!$A$2:$J$5,3,FALSE),""))</f>
        <v/>
      </c>
      <c r="I138" s="16">
        <f>IF(B138="","",IFERROR(H138+VLOOKUP(B138,'Reference Data 기준데이터'!$A$2:$J$5,7,FALSE),""))</f>
        <v/>
      </c>
      <c r="J138" s="20" t="n"/>
      <c r="K138" s="13" t="n"/>
      <c r="L138" s="16">
        <f>IF(B138="","",IFERROR(H138+VLOOKUP(B138,'Reference Data 기준데이터'!$A$2:$J$5,8,FALSE),""))</f>
        <v/>
      </c>
      <c r="M138" s="20" t="n"/>
      <c r="N138" s="16">
        <f>IF(B138="","",IFERROR(IF(ISNUMBER(SEARCH("Vehicle",F138)),MAX(H138+VLOOKUP(B138,'Reference Data 기준데이터'!$A$2:$J$5,9,FALSE),VLOOKUP(B138,'Reference Data 기준데이터'!$A$2:$J$5,4,FALSE)),H138+VLOOKUP(B138,'Reference Data 기준데이터'!$A$2:$J$5,9,FALSE)),""))</f>
        <v/>
      </c>
      <c r="O138" s="20" t="n"/>
      <c r="P138" s="16">
        <f>IF(B138="","",IFERROR(N138+VLOOKUP(E138,'Reference Data 기준데이터'!$A$8:$F$30,4,FALSE),""))</f>
        <v/>
      </c>
      <c r="Q138" s="20" t="n"/>
      <c r="R138" s="16">
        <f>IF(B138="","",IFERROR(MIN(H138+VLOOKUP(B138,'Reference Data 기준데이터'!$A$2:$J$5,10,FALSE),VLOOKUP(B138,'Reference Data 기준데이터'!$A$2:$J$5,6,FALSE)),""))</f>
        <v/>
      </c>
      <c r="S138" s="20" t="n"/>
      <c r="T138" s="13" t="n"/>
      <c r="U138" s="17">
        <f>IF(B138="","",IF(T138&lt;&gt;"",T138,IF(AND(S138&lt;&gt;"",Q138&lt;&gt;""),"11-결과등록완료",IF(AND(Q138&lt;&gt;"",S138=""),"10-시험완료",IF(AND(O138&lt;&gt;"",Q138=""),"09-시험준비중",IF(AND(M138&lt;&gt;"",O138=""),"08-단품준비완료",IF(K138="Approved","05-계획서승인",IF(K138="Revision Needed","04-검토중_조건불만족",IF(K138="Under Review","03-검토중_조건충족",IF(AND(J138&lt;&gt;"",K138=""),"02-계획서제출_미검토","01-계획서미제출"))))))))))</f>
        <v/>
      </c>
      <c r="V138" s="18">
        <f>IF(B138="","",IFS(U138="01-계획서미제출",0,U138="02-계획서제출_미검토",0.05,U138="03-검토중_조건충족",0.1,U138="04-검토중_조건불만족",0.05,U138="05-계획서승인",0.2,U138="06-BIW생산중단",0.15,U138="07-생산완료_미인수",0.3,U138="08-단품준비완료",0.4,U138="09-시험준비중",0.55,U138="10-시험완료",0.85,U138="11-결과등록완료",1,U138="12-조건부승인검토",0.9,TRUE,0))</f>
        <v/>
      </c>
      <c r="W138" s="5">
        <f>IF(B138="","",IF(S138&lt;&gt;"","-",IF(R138="","N/A",R138-TODAY())))</f>
        <v/>
      </c>
      <c r="X138" s="17">
        <f>IF(B138="","",IF(U138="11-결과등록완료","DONE",IF(OR(U138="06-BIW생산중단",AND(U138="01-계획서미제출",I138&lt;TODAY())),"CRITICAL",IF(OR(U138="04-검토중_조건불만족",U138="07-생산완료_미인수",U138="12-조건부승인검토"),"ACTION",IF(AND(ISNUMBER(W138),W138&lt;=0),"OVERDUE",IF(AND(ISNUMBER(W138),W138&lt;=14),"WARNING","ON TRACK"))))))</f>
        <v/>
      </c>
      <c r="Y138" s="19">
        <f>IF(B138="","",IF(U138="11-결과등록완료","— 완료",IF(U138="01-계획서미제출",IF(I138&lt;TODAY(),"계획서 제출 독촉 (OVERDUE)","계획서 제출 대기"),IF(U138="02-계획서제출_미검토","설계자: 계획서 검토 착수",IF(U138="03-검토중_조건충족","설계자: 승인 처리",IF(U138="04-검토중_조건불만족","보완 요청 → 협력사 재제출 독촉",IF(U138="05-계획서승인","시험편 준비 현황 확인",IF(U138="06-BIW생산중단","BIW 생산팀 확인 → 일정 재수립",IF(U138="07-생산완료_미인수","협력사 인수 독촉",IF(U138="08-단품준비완료","시험 일정 확인",IF(U138="09-시험준비중","시험 진행 모니터링",IF(U138="10-시험완료","결과 보고서 전산 등록 독촉",IF(U138="12-조건부승인검토","조건부 승인 여부 판단 → 관련부서 협의","—")))))))))))))</f>
        <v/>
      </c>
    </row>
    <row r="139">
      <c r="A139" s="5">
        <f>IF(B139="","",ROW()-4)</f>
        <v/>
      </c>
      <c r="B139" s="13" t="n"/>
      <c r="C139" s="14" t="n"/>
      <c r="D139" s="15">
        <f>IF(B139="","",IFERROR(VLOOKUP(C139,'Reference Data 기준데이터'!$E$8:$F$30,2,FALSE),""))</f>
        <v/>
      </c>
      <c r="E139" s="14" t="n"/>
      <c r="F139" s="15">
        <f>IF(B139="","",IFERROR(VLOOKUP(E139,'Reference Data 기준데이터'!$A$8:$F$30,2,FALSE),""))</f>
        <v/>
      </c>
      <c r="G139" s="15">
        <f>IF(B139="","",IFERROR(VLOOKUP(B139&amp;"_"&amp;C139,'Reference Data 기준데이터'!$A$33:$B$51,2,FALSE),""))</f>
        <v/>
      </c>
      <c r="H139" s="16">
        <f>IF(B139="","",IFERROR(VLOOKUP(B139,'Reference Data 기준데이터'!$A$2:$J$5,3,FALSE),""))</f>
        <v/>
      </c>
      <c r="I139" s="16">
        <f>IF(B139="","",IFERROR(H139+VLOOKUP(B139,'Reference Data 기준데이터'!$A$2:$J$5,7,FALSE),""))</f>
        <v/>
      </c>
      <c r="J139" s="20" t="n"/>
      <c r="K139" s="13" t="n"/>
      <c r="L139" s="16">
        <f>IF(B139="","",IFERROR(H139+VLOOKUP(B139,'Reference Data 기준데이터'!$A$2:$J$5,8,FALSE),""))</f>
        <v/>
      </c>
      <c r="M139" s="20" t="n"/>
      <c r="N139" s="16">
        <f>IF(B139="","",IFERROR(IF(ISNUMBER(SEARCH("Vehicle",F139)),MAX(H139+VLOOKUP(B139,'Reference Data 기준데이터'!$A$2:$J$5,9,FALSE),VLOOKUP(B139,'Reference Data 기준데이터'!$A$2:$J$5,4,FALSE)),H139+VLOOKUP(B139,'Reference Data 기준데이터'!$A$2:$J$5,9,FALSE)),""))</f>
        <v/>
      </c>
      <c r="O139" s="20" t="n"/>
      <c r="P139" s="16">
        <f>IF(B139="","",IFERROR(N139+VLOOKUP(E139,'Reference Data 기준데이터'!$A$8:$F$30,4,FALSE),""))</f>
        <v/>
      </c>
      <c r="Q139" s="20" t="n"/>
      <c r="R139" s="16">
        <f>IF(B139="","",IFERROR(MIN(H139+VLOOKUP(B139,'Reference Data 기준데이터'!$A$2:$J$5,10,FALSE),VLOOKUP(B139,'Reference Data 기준데이터'!$A$2:$J$5,6,FALSE)),""))</f>
        <v/>
      </c>
      <c r="S139" s="20" t="n"/>
      <c r="T139" s="13" t="n"/>
      <c r="U139" s="17">
        <f>IF(B139="","",IF(T139&lt;&gt;"",T139,IF(AND(S139&lt;&gt;"",Q139&lt;&gt;""),"11-결과등록완료",IF(AND(Q139&lt;&gt;"",S139=""),"10-시험완료",IF(AND(O139&lt;&gt;"",Q139=""),"09-시험준비중",IF(AND(M139&lt;&gt;"",O139=""),"08-단품준비완료",IF(K139="Approved","05-계획서승인",IF(K139="Revision Needed","04-검토중_조건불만족",IF(K139="Under Review","03-검토중_조건충족",IF(AND(J139&lt;&gt;"",K139=""),"02-계획서제출_미검토","01-계획서미제출"))))))))))</f>
        <v/>
      </c>
      <c r="V139" s="18">
        <f>IF(B139="","",IFS(U139="01-계획서미제출",0,U139="02-계획서제출_미검토",0.05,U139="03-검토중_조건충족",0.1,U139="04-검토중_조건불만족",0.05,U139="05-계획서승인",0.2,U139="06-BIW생산중단",0.15,U139="07-생산완료_미인수",0.3,U139="08-단품준비완료",0.4,U139="09-시험준비중",0.55,U139="10-시험완료",0.85,U139="11-결과등록완료",1,U139="12-조건부승인검토",0.9,TRUE,0))</f>
        <v/>
      </c>
      <c r="W139" s="5">
        <f>IF(B139="","",IF(S139&lt;&gt;"","-",IF(R139="","N/A",R139-TODAY())))</f>
        <v/>
      </c>
      <c r="X139" s="17">
        <f>IF(B139="","",IF(U139="11-결과등록완료","DONE",IF(OR(U139="06-BIW생산중단",AND(U139="01-계획서미제출",I139&lt;TODAY())),"CRITICAL",IF(OR(U139="04-검토중_조건불만족",U139="07-생산완료_미인수",U139="12-조건부승인검토"),"ACTION",IF(AND(ISNUMBER(W139),W139&lt;=0),"OVERDUE",IF(AND(ISNUMBER(W139),W139&lt;=14),"WARNING","ON TRACK"))))))</f>
        <v/>
      </c>
      <c r="Y139" s="19">
        <f>IF(B139="","",IF(U139="11-결과등록완료","— 완료",IF(U139="01-계획서미제출",IF(I139&lt;TODAY(),"계획서 제출 독촉 (OVERDUE)","계획서 제출 대기"),IF(U139="02-계획서제출_미검토","설계자: 계획서 검토 착수",IF(U139="03-검토중_조건충족","설계자: 승인 처리",IF(U139="04-검토중_조건불만족","보완 요청 → 협력사 재제출 독촉",IF(U139="05-계획서승인","시험편 준비 현황 확인",IF(U139="06-BIW생산중단","BIW 생산팀 확인 → 일정 재수립",IF(U139="07-생산완료_미인수","협력사 인수 독촉",IF(U139="08-단품준비완료","시험 일정 확인",IF(U139="09-시험준비중","시험 진행 모니터링",IF(U139="10-시험완료","결과 보고서 전산 등록 독촉",IF(U139="12-조건부승인검토","조건부 승인 여부 판단 → 관련부서 협의","—")))))))))))))</f>
        <v/>
      </c>
    </row>
    <row r="140">
      <c r="A140" s="5">
        <f>IF(B140="","",ROW()-4)</f>
        <v/>
      </c>
      <c r="B140" s="13" t="n"/>
      <c r="C140" s="14" t="n"/>
      <c r="D140" s="15">
        <f>IF(B140="","",IFERROR(VLOOKUP(C140,'Reference Data 기준데이터'!$E$8:$F$30,2,FALSE),""))</f>
        <v/>
      </c>
      <c r="E140" s="14" t="n"/>
      <c r="F140" s="15">
        <f>IF(B140="","",IFERROR(VLOOKUP(E140,'Reference Data 기준데이터'!$A$8:$F$30,2,FALSE),""))</f>
        <v/>
      </c>
      <c r="G140" s="15">
        <f>IF(B140="","",IFERROR(VLOOKUP(B140&amp;"_"&amp;C140,'Reference Data 기준데이터'!$A$33:$B$51,2,FALSE),""))</f>
        <v/>
      </c>
      <c r="H140" s="16">
        <f>IF(B140="","",IFERROR(VLOOKUP(B140,'Reference Data 기준데이터'!$A$2:$J$5,3,FALSE),""))</f>
        <v/>
      </c>
      <c r="I140" s="16">
        <f>IF(B140="","",IFERROR(H140+VLOOKUP(B140,'Reference Data 기준데이터'!$A$2:$J$5,7,FALSE),""))</f>
        <v/>
      </c>
      <c r="J140" s="20" t="n"/>
      <c r="K140" s="13" t="n"/>
      <c r="L140" s="16">
        <f>IF(B140="","",IFERROR(H140+VLOOKUP(B140,'Reference Data 기준데이터'!$A$2:$J$5,8,FALSE),""))</f>
        <v/>
      </c>
      <c r="M140" s="20" t="n"/>
      <c r="N140" s="16">
        <f>IF(B140="","",IFERROR(IF(ISNUMBER(SEARCH("Vehicle",F140)),MAX(H140+VLOOKUP(B140,'Reference Data 기준데이터'!$A$2:$J$5,9,FALSE),VLOOKUP(B140,'Reference Data 기준데이터'!$A$2:$J$5,4,FALSE)),H140+VLOOKUP(B140,'Reference Data 기준데이터'!$A$2:$J$5,9,FALSE)),""))</f>
        <v/>
      </c>
      <c r="O140" s="20" t="n"/>
      <c r="P140" s="16">
        <f>IF(B140="","",IFERROR(N140+VLOOKUP(E140,'Reference Data 기준데이터'!$A$8:$F$30,4,FALSE),""))</f>
        <v/>
      </c>
      <c r="Q140" s="20" t="n"/>
      <c r="R140" s="16">
        <f>IF(B140="","",IFERROR(MIN(H140+VLOOKUP(B140,'Reference Data 기준데이터'!$A$2:$J$5,10,FALSE),VLOOKUP(B140,'Reference Data 기준데이터'!$A$2:$J$5,6,FALSE)),""))</f>
        <v/>
      </c>
      <c r="S140" s="20" t="n"/>
      <c r="T140" s="13" t="n"/>
      <c r="U140" s="17">
        <f>IF(B140="","",IF(T140&lt;&gt;"",T140,IF(AND(S140&lt;&gt;"",Q140&lt;&gt;""),"11-결과등록완료",IF(AND(Q140&lt;&gt;"",S140=""),"10-시험완료",IF(AND(O140&lt;&gt;"",Q140=""),"09-시험준비중",IF(AND(M140&lt;&gt;"",O140=""),"08-단품준비완료",IF(K140="Approved","05-계획서승인",IF(K140="Revision Needed","04-검토중_조건불만족",IF(K140="Under Review","03-검토중_조건충족",IF(AND(J140&lt;&gt;"",K140=""),"02-계획서제출_미검토","01-계획서미제출"))))))))))</f>
        <v/>
      </c>
      <c r="V140" s="18">
        <f>IF(B140="","",IFS(U140="01-계획서미제출",0,U140="02-계획서제출_미검토",0.05,U140="03-검토중_조건충족",0.1,U140="04-검토중_조건불만족",0.05,U140="05-계획서승인",0.2,U140="06-BIW생산중단",0.15,U140="07-생산완료_미인수",0.3,U140="08-단품준비완료",0.4,U140="09-시험준비중",0.55,U140="10-시험완료",0.85,U140="11-결과등록완료",1,U140="12-조건부승인검토",0.9,TRUE,0))</f>
        <v/>
      </c>
      <c r="W140" s="5">
        <f>IF(B140="","",IF(S140&lt;&gt;"","-",IF(R140="","N/A",R140-TODAY())))</f>
        <v/>
      </c>
      <c r="X140" s="17">
        <f>IF(B140="","",IF(U140="11-결과등록완료","DONE",IF(OR(U140="06-BIW생산중단",AND(U140="01-계획서미제출",I140&lt;TODAY())),"CRITICAL",IF(OR(U140="04-검토중_조건불만족",U140="07-생산완료_미인수",U140="12-조건부승인검토"),"ACTION",IF(AND(ISNUMBER(W140),W140&lt;=0),"OVERDUE",IF(AND(ISNUMBER(W140),W140&lt;=14),"WARNING","ON TRACK"))))))</f>
        <v/>
      </c>
      <c r="Y140" s="19">
        <f>IF(B140="","",IF(U140="11-결과등록완료","— 완료",IF(U140="01-계획서미제출",IF(I140&lt;TODAY(),"계획서 제출 독촉 (OVERDUE)","계획서 제출 대기"),IF(U140="02-계획서제출_미검토","설계자: 계획서 검토 착수",IF(U140="03-검토중_조건충족","설계자: 승인 처리",IF(U140="04-검토중_조건불만족","보완 요청 → 협력사 재제출 독촉",IF(U140="05-계획서승인","시험편 준비 현황 확인",IF(U140="06-BIW생산중단","BIW 생산팀 확인 → 일정 재수립",IF(U140="07-생산완료_미인수","협력사 인수 독촉",IF(U140="08-단품준비완료","시험 일정 확인",IF(U140="09-시험준비중","시험 진행 모니터링",IF(U140="10-시험완료","결과 보고서 전산 등록 독촉",IF(U140="12-조건부승인검토","조건부 승인 여부 판단 → 관련부서 협의","—")))))))))))))</f>
        <v/>
      </c>
    </row>
    <row r="141">
      <c r="A141" s="5">
        <f>IF(B141="","",ROW()-4)</f>
        <v/>
      </c>
      <c r="B141" s="13" t="n"/>
      <c r="C141" s="14" t="n"/>
      <c r="D141" s="15">
        <f>IF(B141="","",IFERROR(VLOOKUP(C141,'Reference Data 기준데이터'!$E$8:$F$30,2,FALSE),""))</f>
        <v/>
      </c>
      <c r="E141" s="14" t="n"/>
      <c r="F141" s="15">
        <f>IF(B141="","",IFERROR(VLOOKUP(E141,'Reference Data 기준데이터'!$A$8:$F$30,2,FALSE),""))</f>
        <v/>
      </c>
      <c r="G141" s="15">
        <f>IF(B141="","",IFERROR(VLOOKUP(B141&amp;"_"&amp;C141,'Reference Data 기준데이터'!$A$33:$B$51,2,FALSE),""))</f>
        <v/>
      </c>
      <c r="H141" s="16">
        <f>IF(B141="","",IFERROR(VLOOKUP(B141,'Reference Data 기준데이터'!$A$2:$J$5,3,FALSE),""))</f>
        <v/>
      </c>
      <c r="I141" s="16">
        <f>IF(B141="","",IFERROR(H141+VLOOKUP(B141,'Reference Data 기준데이터'!$A$2:$J$5,7,FALSE),""))</f>
        <v/>
      </c>
      <c r="J141" s="20" t="n"/>
      <c r="K141" s="13" t="n"/>
      <c r="L141" s="16">
        <f>IF(B141="","",IFERROR(H141+VLOOKUP(B141,'Reference Data 기준데이터'!$A$2:$J$5,8,FALSE),""))</f>
        <v/>
      </c>
      <c r="M141" s="20" t="n"/>
      <c r="N141" s="16">
        <f>IF(B141="","",IFERROR(IF(ISNUMBER(SEARCH("Vehicle",F141)),MAX(H141+VLOOKUP(B141,'Reference Data 기준데이터'!$A$2:$J$5,9,FALSE),VLOOKUP(B141,'Reference Data 기준데이터'!$A$2:$J$5,4,FALSE)),H141+VLOOKUP(B141,'Reference Data 기준데이터'!$A$2:$J$5,9,FALSE)),""))</f>
        <v/>
      </c>
      <c r="O141" s="20" t="n"/>
      <c r="P141" s="16">
        <f>IF(B141="","",IFERROR(N141+VLOOKUP(E141,'Reference Data 기준데이터'!$A$8:$F$30,4,FALSE),""))</f>
        <v/>
      </c>
      <c r="Q141" s="20" t="n"/>
      <c r="R141" s="16">
        <f>IF(B141="","",IFERROR(MIN(H141+VLOOKUP(B141,'Reference Data 기준데이터'!$A$2:$J$5,10,FALSE),VLOOKUP(B141,'Reference Data 기준데이터'!$A$2:$J$5,6,FALSE)),""))</f>
        <v/>
      </c>
      <c r="S141" s="20" t="n"/>
      <c r="T141" s="13" t="n"/>
      <c r="U141" s="17">
        <f>IF(B141="","",IF(T141&lt;&gt;"",T141,IF(AND(S141&lt;&gt;"",Q141&lt;&gt;""),"11-결과등록완료",IF(AND(Q141&lt;&gt;"",S141=""),"10-시험완료",IF(AND(O141&lt;&gt;"",Q141=""),"09-시험준비중",IF(AND(M141&lt;&gt;"",O141=""),"08-단품준비완료",IF(K141="Approved","05-계획서승인",IF(K141="Revision Needed","04-검토중_조건불만족",IF(K141="Under Review","03-검토중_조건충족",IF(AND(J141&lt;&gt;"",K141=""),"02-계획서제출_미검토","01-계획서미제출"))))))))))</f>
        <v/>
      </c>
      <c r="V141" s="18">
        <f>IF(B141="","",IFS(U141="01-계획서미제출",0,U141="02-계획서제출_미검토",0.05,U141="03-검토중_조건충족",0.1,U141="04-검토중_조건불만족",0.05,U141="05-계획서승인",0.2,U141="06-BIW생산중단",0.15,U141="07-생산완료_미인수",0.3,U141="08-단품준비완료",0.4,U141="09-시험준비중",0.55,U141="10-시험완료",0.85,U141="11-결과등록완료",1,U141="12-조건부승인검토",0.9,TRUE,0))</f>
        <v/>
      </c>
      <c r="W141" s="5">
        <f>IF(B141="","",IF(S141&lt;&gt;"","-",IF(R141="","N/A",R141-TODAY())))</f>
        <v/>
      </c>
      <c r="X141" s="17">
        <f>IF(B141="","",IF(U141="11-결과등록완료","DONE",IF(OR(U141="06-BIW생산중단",AND(U141="01-계획서미제출",I141&lt;TODAY())),"CRITICAL",IF(OR(U141="04-검토중_조건불만족",U141="07-생산완료_미인수",U141="12-조건부승인검토"),"ACTION",IF(AND(ISNUMBER(W141),W141&lt;=0),"OVERDUE",IF(AND(ISNUMBER(W141),W141&lt;=14),"WARNING","ON TRACK"))))))</f>
        <v/>
      </c>
      <c r="Y141" s="19">
        <f>IF(B141="","",IF(U141="11-결과등록완료","— 완료",IF(U141="01-계획서미제출",IF(I141&lt;TODAY(),"계획서 제출 독촉 (OVERDUE)","계획서 제출 대기"),IF(U141="02-계획서제출_미검토","설계자: 계획서 검토 착수",IF(U141="03-검토중_조건충족","설계자: 승인 처리",IF(U141="04-검토중_조건불만족","보완 요청 → 협력사 재제출 독촉",IF(U141="05-계획서승인","시험편 준비 현황 확인",IF(U141="06-BIW생산중단","BIW 생산팀 확인 → 일정 재수립",IF(U141="07-생산완료_미인수","협력사 인수 독촉",IF(U141="08-단품준비완료","시험 일정 확인",IF(U141="09-시험준비중","시험 진행 모니터링",IF(U141="10-시험완료","결과 보고서 전산 등록 독촉",IF(U141="12-조건부승인검토","조건부 승인 여부 판단 → 관련부서 협의","—")))))))))))))</f>
        <v/>
      </c>
    </row>
    <row r="142">
      <c r="A142" s="5">
        <f>IF(B142="","",ROW()-4)</f>
        <v/>
      </c>
      <c r="B142" s="13" t="n"/>
      <c r="C142" s="14" t="n"/>
      <c r="D142" s="15">
        <f>IF(B142="","",IFERROR(VLOOKUP(C142,'Reference Data 기준데이터'!$E$8:$F$30,2,FALSE),""))</f>
        <v/>
      </c>
      <c r="E142" s="14" t="n"/>
      <c r="F142" s="15">
        <f>IF(B142="","",IFERROR(VLOOKUP(E142,'Reference Data 기준데이터'!$A$8:$F$30,2,FALSE),""))</f>
        <v/>
      </c>
      <c r="G142" s="15">
        <f>IF(B142="","",IFERROR(VLOOKUP(B142&amp;"_"&amp;C142,'Reference Data 기준데이터'!$A$33:$B$51,2,FALSE),""))</f>
        <v/>
      </c>
      <c r="H142" s="16">
        <f>IF(B142="","",IFERROR(VLOOKUP(B142,'Reference Data 기준데이터'!$A$2:$J$5,3,FALSE),""))</f>
        <v/>
      </c>
      <c r="I142" s="16">
        <f>IF(B142="","",IFERROR(H142+VLOOKUP(B142,'Reference Data 기준데이터'!$A$2:$J$5,7,FALSE),""))</f>
        <v/>
      </c>
      <c r="J142" s="20" t="n"/>
      <c r="K142" s="13" t="n"/>
      <c r="L142" s="16">
        <f>IF(B142="","",IFERROR(H142+VLOOKUP(B142,'Reference Data 기준데이터'!$A$2:$J$5,8,FALSE),""))</f>
        <v/>
      </c>
      <c r="M142" s="20" t="n"/>
      <c r="N142" s="16">
        <f>IF(B142="","",IFERROR(IF(ISNUMBER(SEARCH("Vehicle",F142)),MAX(H142+VLOOKUP(B142,'Reference Data 기준데이터'!$A$2:$J$5,9,FALSE),VLOOKUP(B142,'Reference Data 기준데이터'!$A$2:$J$5,4,FALSE)),H142+VLOOKUP(B142,'Reference Data 기준데이터'!$A$2:$J$5,9,FALSE)),""))</f>
        <v/>
      </c>
      <c r="O142" s="20" t="n"/>
      <c r="P142" s="16">
        <f>IF(B142="","",IFERROR(N142+VLOOKUP(E142,'Reference Data 기준데이터'!$A$8:$F$30,4,FALSE),""))</f>
        <v/>
      </c>
      <c r="Q142" s="20" t="n"/>
      <c r="R142" s="16">
        <f>IF(B142="","",IFERROR(MIN(H142+VLOOKUP(B142,'Reference Data 기준데이터'!$A$2:$J$5,10,FALSE),VLOOKUP(B142,'Reference Data 기준데이터'!$A$2:$J$5,6,FALSE)),""))</f>
        <v/>
      </c>
      <c r="S142" s="20" t="n"/>
      <c r="T142" s="13" t="n"/>
      <c r="U142" s="17">
        <f>IF(B142="","",IF(T142&lt;&gt;"",T142,IF(AND(S142&lt;&gt;"",Q142&lt;&gt;""),"11-결과등록완료",IF(AND(Q142&lt;&gt;"",S142=""),"10-시험완료",IF(AND(O142&lt;&gt;"",Q142=""),"09-시험준비중",IF(AND(M142&lt;&gt;"",O142=""),"08-단품준비완료",IF(K142="Approved","05-계획서승인",IF(K142="Revision Needed","04-검토중_조건불만족",IF(K142="Under Review","03-검토중_조건충족",IF(AND(J142&lt;&gt;"",K142=""),"02-계획서제출_미검토","01-계획서미제출"))))))))))</f>
        <v/>
      </c>
      <c r="V142" s="18">
        <f>IF(B142="","",IFS(U142="01-계획서미제출",0,U142="02-계획서제출_미검토",0.05,U142="03-검토중_조건충족",0.1,U142="04-검토중_조건불만족",0.05,U142="05-계획서승인",0.2,U142="06-BIW생산중단",0.15,U142="07-생산완료_미인수",0.3,U142="08-단품준비완료",0.4,U142="09-시험준비중",0.55,U142="10-시험완료",0.85,U142="11-결과등록완료",1,U142="12-조건부승인검토",0.9,TRUE,0))</f>
        <v/>
      </c>
      <c r="W142" s="5">
        <f>IF(B142="","",IF(S142&lt;&gt;"","-",IF(R142="","N/A",R142-TODAY())))</f>
        <v/>
      </c>
      <c r="X142" s="17">
        <f>IF(B142="","",IF(U142="11-결과등록완료","DONE",IF(OR(U142="06-BIW생산중단",AND(U142="01-계획서미제출",I142&lt;TODAY())),"CRITICAL",IF(OR(U142="04-검토중_조건불만족",U142="07-생산완료_미인수",U142="12-조건부승인검토"),"ACTION",IF(AND(ISNUMBER(W142),W142&lt;=0),"OVERDUE",IF(AND(ISNUMBER(W142),W142&lt;=14),"WARNING","ON TRACK"))))))</f>
        <v/>
      </c>
      <c r="Y142" s="19">
        <f>IF(B142="","",IF(U142="11-결과등록완료","— 완료",IF(U142="01-계획서미제출",IF(I142&lt;TODAY(),"계획서 제출 독촉 (OVERDUE)","계획서 제출 대기"),IF(U142="02-계획서제출_미검토","설계자: 계획서 검토 착수",IF(U142="03-검토중_조건충족","설계자: 승인 처리",IF(U142="04-검토중_조건불만족","보완 요청 → 협력사 재제출 독촉",IF(U142="05-계획서승인","시험편 준비 현황 확인",IF(U142="06-BIW생산중단","BIW 생산팀 확인 → 일정 재수립",IF(U142="07-생산완료_미인수","협력사 인수 독촉",IF(U142="08-단품준비완료","시험 일정 확인",IF(U142="09-시험준비중","시험 진행 모니터링",IF(U142="10-시험완료","결과 보고서 전산 등록 독촉",IF(U142="12-조건부승인검토","조건부 승인 여부 판단 → 관련부서 협의","—")))))))))))))</f>
        <v/>
      </c>
    </row>
    <row r="143">
      <c r="A143" s="5">
        <f>IF(B143="","",ROW()-4)</f>
        <v/>
      </c>
      <c r="B143" s="13" t="n"/>
      <c r="C143" s="14" t="n"/>
      <c r="D143" s="15">
        <f>IF(B143="","",IFERROR(VLOOKUP(C143,'Reference Data 기준데이터'!$E$8:$F$30,2,FALSE),""))</f>
        <v/>
      </c>
      <c r="E143" s="14" t="n"/>
      <c r="F143" s="15">
        <f>IF(B143="","",IFERROR(VLOOKUP(E143,'Reference Data 기준데이터'!$A$8:$F$30,2,FALSE),""))</f>
        <v/>
      </c>
      <c r="G143" s="15">
        <f>IF(B143="","",IFERROR(VLOOKUP(B143&amp;"_"&amp;C143,'Reference Data 기준데이터'!$A$33:$B$51,2,FALSE),""))</f>
        <v/>
      </c>
      <c r="H143" s="16">
        <f>IF(B143="","",IFERROR(VLOOKUP(B143,'Reference Data 기준데이터'!$A$2:$J$5,3,FALSE),""))</f>
        <v/>
      </c>
      <c r="I143" s="16">
        <f>IF(B143="","",IFERROR(H143+VLOOKUP(B143,'Reference Data 기준데이터'!$A$2:$J$5,7,FALSE),""))</f>
        <v/>
      </c>
      <c r="J143" s="20" t="n"/>
      <c r="K143" s="13" t="n"/>
      <c r="L143" s="16">
        <f>IF(B143="","",IFERROR(H143+VLOOKUP(B143,'Reference Data 기준데이터'!$A$2:$J$5,8,FALSE),""))</f>
        <v/>
      </c>
      <c r="M143" s="20" t="n"/>
      <c r="N143" s="16">
        <f>IF(B143="","",IFERROR(IF(ISNUMBER(SEARCH("Vehicle",F143)),MAX(H143+VLOOKUP(B143,'Reference Data 기준데이터'!$A$2:$J$5,9,FALSE),VLOOKUP(B143,'Reference Data 기준데이터'!$A$2:$J$5,4,FALSE)),H143+VLOOKUP(B143,'Reference Data 기준데이터'!$A$2:$J$5,9,FALSE)),""))</f>
        <v/>
      </c>
      <c r="O143" s="20" t="n"/>
      <c r="P143" s="16">
        <f>IF(B143="","",IFERROR(N143+VLOOKUP(E143,'Reference Data 기준데이터'!$A$8:$F$30,4,FALSE),""))</f>
        <v/>
      </c>
      <c r="Q143" s="20" t="n"/>
      <c r="R143" s="16">
        <f>IF(B143="","",IFERROR(MIN(H143+VLOOKUP(B143,'Reference Data 기준데이터'!$A$2:$J$5,10,FALSE),VLOOKUP(B143,'Reference Data 기준데이터'!$A$2:$J$5,6,FALSE)),""))</f>
        <v/>
      </c>
      <c r="S143" s="20" t="n"/>
      <c r="T143" s="13" t="n"/>
      <c r="U143" s="17">
        <f>IF(B143="","",IF(T143&lt;&gt;"",T143,IF(AND(S143&lt;&gt;"",Q143&lt;&gt;""),"11-결과등록완료",IF(AND(Q143&lt;&gt;"",S143=""),"10-시험완료",IF(AND(O143&lt;&gt;"",Q143=""),"09-시험준비중",IF(AND(M143&lt;&gt;"",O143=""),"08-단품준비완료",IF(K143="Approved","05-계획서승인",IF(K143="Revision Needed","04-검토중_조건불만족",IF(K143="Under Review","03-검토중_조건충족",IF(AND(J143&lt;&gt;"",K143=""),"02-계획서제출_미검토","01-계획서미제출"))))))))))</f>
        <v/>
      </c>
      <c r="V143" s="18">
        <f>IF(B143="","",IFS(U143="01-계획서미제출",0,U143="02-계획서제출_미검토",0.05,U143="03-검토중_조건충족",0.1,U143="04-검토중_조건불만족",0.05,U143="05-계획서승인",0.2,U143="06-BIW생산중단",0.15,U143="07-생산완료_미인수",0.3,U143="08-단품준비완료",0.4,U143="09-시험준비중",0.55,U143="10-시험완료",0.85,U143="11-결과등록완료",1,U143="12-조건부승인검토",0.9,TRUE,0))</f>
        <v/>
      </c>
      <c r="W143" s="5">
        <f>IF(B143="","",IF(S143&lt;&gt;"","-",IF(R143="","N/A",R143-TODAY())))</f>
        <v/>
      </c>
      <c r="X143" s="17">
        <f>IF(B143="","",IF(U143="11-결과등록완료","DONE",IF(OR(U143="06-BIW생산중단",AND(U143="01-계획서미제출",I143&lt;TODAY())),"CRITICAL",IF(OR(U143="04-검토중_조건불만족",U143="07-생산완료_미인수",U143="12-조건부승인검토"),"ACTION",IF(AND(ISNUMBER(W143),W143&lt;=0),"OVERDUE",IF(AND(ISNUMBER(W143),W143&lt;=14),"WARNING","ON TRACK"))))))</f>
        <v/>
      </c>
      <c r="Y143" s="19">
        <f>IF(B143="","",IF(U143="11-결과등록완료","— 완료",IF(U143="01-계획서미제출",IF(I143&lt;TODAY(),"계획서 제출 독촉 (OVERDUE)","계획서 제출 대기"),IF(U143="02-계획서제출_미검토","설계자: 계획서 검토 착수",IF(U143="03-검토중_조건충족","설계자: 승인 처리",IF(U143="04-검토중_조건불만족","보완 요청 → 협력사 재제출 독촉",IF(U143="05-계획서승인","시험편 준비 현황 확인",IF(U143="06-BIW생산중단","BIW 생산팀 확인 → 일정 재수립",IF(U143="07-생산완료_미인수","협력사 인수 독촉",IF(U143="08-단품준비완료","시험 일정 확인",IF(U143="09-시험준비중","시험 진행 모니터링",IF(U143="10-시험완료","결과 보고서 전산 등록 독촉",IF(U143="12-조건부승인검토","조건부 승인 여부 판단 → 관련부서 협의","—")))))))))))))</f>
        <v/>
      </c>
    </row>
    <row r="144">
      <c r="A144" s="5">
        <f>IF(B144="","",ROW()-4)</f>
        <v/>
      </c>
      <c r="B144" s="13" t="n"/>
      <c r="C144" s="14" t="n"/>
      <c r="D144" s="15">
        <f>IF(B144="","",IFERROR(VLOOKUP(C144,'Reference Data 기준데이터'!$E$8:$F$30,2,FALSE),""))</f>
        <v/>
      </c>
      <c r="E144" s="14" t="n"/>
      <c r="F144" s="15">
        <f>IF(B144="","",IFERROR(VLOOKUP(E144,'Reference Data 기준데이터'!$A$8:$F$30,2,FALSE),""))</f>
        <v/>
      </c>
      <c r="G144" s="15">
        <f>IF(B144="","",IFERROR(VLOOKUP(B144&amp;"_"&amp;C144,'Reference Data 기준데이터'!$A$33:$B$51,2,FALSE),""))</f>
        <v/>
      </c>
      <c r="H144" s="16">
        <f>IF(B144="","",IFERROR(VLOOKUP(B144,'Reference Data 기준데이터'!$A$2:$J$5,3,FALSE),""))</f>
        <v/>
      </c>
      <c r="I144" s="16">
        <f>IF(B144="","",IFERROR(H144+VLOOKUP(B144,'Reference Data 기준데이터'!$A$2:$J$5,7,FALSE),""))</f>
        <v/>
      </c>
      <c r="J144" s="20" t="n"/>
      <c r="K144" s="13" t="n"/>
      <c r="L144" s="16">
        <f>IF(B144="","",IFERROR(H144+VLOOKUP(B144,'Reference Data 기준데이터'!$A$2:$J$5,8,FALSE),""))</f>
        <v/>
      </c>
      <c r="M144" s="20" t="n"/>
      <c r="N144" s="16">
        <f>IF(B144="","",IFERROR(IF(ISNUMBER(SEARCH("Vehicle",F144)),MAX(H144+VLOOKUP(B144,'Reference Data 기준데이터'!$A$2:$J$5,9,FALSE),VLOOKUP(B144,'Reference Data 기준데이터'!$A$2:$J$5,4,FALSE)),H144+VLOOKUP(B144,'Reference Data 기준데이터'!$A$2:$J$5,9,FALSE)),""))</f>
        <v/>
      </c>
      <c r="O144" s="20" t="n"/>
      <c r="P144" s="16">
        <f>IF(B144="","",IFERROR(N144+VLOOKUP(E144,'Reference Data 기준데이터'!$A$8:$F$30,4,FALSE),""))</f>
        <v/>
      </c>
      <c r="Q144" s="20" t="n"/>
      <c r="R144" s="16">
        <f>IF(B144="","",IFERROR(MIN(H144+VLOOKUP(B144,'Reference Data 기준데이터'!$A$2:$J$5,10,FALSE),VLOOKUP(B144,'Reference Data 기준데이터'!$A$2:$J$5,6,FALSE)),""))</f>
        <v/>
      </c>
      <c r="S144" s="20" t="n"/>
      <c r="T144" s="13" t="n"/>
      <c r="U144" s="17">
        <f>IF(B144="","",IF(T144&lt;&gt;"",T144,IF(AND(S144&lt;&gt;"",Q144&lt;&gt;""),"11-결과등록완료",IF(AND(Q144&lt;&gt;"",S144=""),"10-시험완료",IF(AND(O144&lt;&gt;"",Q144=""),"09-시험준비중",IF(AND(M144&lt;&gt;"",O144=""),"08-단품준비완료",IF(K144="Approved","05-계획서승인",IF(K144="Revision Needed","04-검토중_조건불만족",IF(K144="Under Review","03-검토중_조건충족",IF(AND(J144&lt;&gt;"",K144=""),"02-계획서제출_미검토","01-계획서미제출"))))))))))</f>
        <v/>
      </c>
      <c r="V144" s="18">
        <f>IF(B144="","",IFS(U144="01-계획서미제출",0,U144="02-계획서제출_미검토",0.05,U144="03-검토중_조건충족",0.1,U144="04-검토중_조건불만족",0.05,U144="05-계획서승인",0.2,U144="06-BIW생산중단",0.15,U144="07-생산완료_미인수",0.3,U144="08-단품준비완료",0.4,U144="09-시험준비중",0.55,U144="10-시험완료",0.85,U144="11-결과등록완료",1,U144="12-조건부승인검토",0.9,TRUE,0))</f>
        <v/>
      </c>
      <c r="W144" s="5">
        <f>IF(B144="","",IF(S144&lt;&gt;"","-",IF(R144="","N/A",R144-TODAY())))</f>
        <v/>
      </c>
      <c r="X144" s="17">
        <f>IF(B144="","",IF(U144="11-결과등록완료","DONE",IF(OR(U144="06-BIW생산중단",AND(U144="01-계획서미제출",I144&lt;TODAY())),"CRITICAL",IF(OR(U144="04-검토중_조건불만족",U144="07-생산완료_미인수",U144="12-조건부승인검토"),"ACTION",IF(AND(ISNUMBER(W144),W144&lt;=0),"OVERDUE",IF(AND(ISNUMBER(W144),W144&lt;=14),"WARNING","ON TRACK"))))))</f>
        <v/>
      </c>
      <c r="Y144" s="19">
        <f>IF(B144="","",IF(U144="11-결과등록완료","— 완료",IF(U144="01-계획서미제출",IF(I144&lt;TODAY(),"계획서 제출 독촉 (OVERDUE)","계획서 제출 대기"),IF(U144="02-계획서제출_미검토","설계자: 계획서 검토 착수",IF(U144="03-검토중_조건충족","설계자: 승인 처리",IF(U144="04-검토중_조건불만족","보완 요청 → 협력사 재제출 독촉",IF(U144="05-계획서승인","시험편 준비 현황 확인",IF(U144="06-BIW생산중단","BIW 생산팀 확인 → 일정 재수립",IF(U144="07-생산완료_미인수","협력사 인수 독촉",IF(U144="08-단품준비완료","시험 일정 확인",IF(U144="09-시험준비중","시험 진행 모니터링",IF(U144="10-시험완료","결과 보고서 전산 등록 독촉",IF(U144="12-조건부승인검토","조건부 승인 여부 판단 → 관련부서 협의","—")))))))))))))</f>
        <v/>
      </c>
    </row>
    <row r="145">
      <c r="A145" s="5">
        <f>IF(B145="","",ROW()-4)</f>
        <v/>
      </c>
      <c r="B145" s="13" t="n"/>
      <c r="C145" s="14" t="n"/>
      <c r="D145" s="15">
        <f>IF(B145="","",IFERROR(VLOOKUP(C145,'Reference Data 기준데이터'!$E$8:$F$30,2,FALSE),""))</f>
        <v/>
      </c>
      <c r="E145" s="14" t="n"/>
      <c r="F145" s="15">
        <f>IF(B145="","",IFERROR(VLOOKUP(E145,'Reference Data 기준데이터'!$A$8:$F$30,2,FALSE),""))</f>
        <v/>
      </c>
      <c r="G145" s="15">
        <f>IF(B145="","",IFERROR(VLOOKUP(B145&amp;"_"&amp;C145,'Reference Data 기준데이터'!$A$33:$B$51,2,FALSE),""))</f>
        <v/>
      </c>
      <c r="H145" s="16">
        <f>IF(B145="","",IFERROR(VLOOKUP(B145,'Reference Data 기준데이터'!$A$2:$J$5,3,FALSE),""))</f>
        <v/>
      </c>
      <c r="I145" s="16">
        <f>IF(B145="","",IFERROR(H145+VLOOKUP(B145,'Reference Data 기준데이터'!$A$2:$J$5,7,FALSE),""))</f>
        <v/>
      </c>
      <c r="J145" s="20" t="n"/>
      <c r="K145" s="13" t="n"/>
      <c r="L145" s="16">
        <f>IF(B145="","",IFERROR(H145+VLOOKUP(B145,'Reference Data 기준데이터'!$A$2:$J$5,8,FALSE),""))</f>
        <v/>
      </c>
      <c r="M145" s="20" t="n"/>
      <c r="N145" s="16">
        <f>IF(B145="","",IFERROR(IF(ISNUMBER(SEARCH("Vehicle",F145)),MAX(H145+VLOOKUP(B145,'Reference Data 기준데이터'!$A$2:$J$5,9,FALSE),VLOOKUP(B145,'Reference Data 기준데이터'!$A$2:$J$5,4,FALSE)),H145+VLOOKUP(B145,'Reference Data 기준데이터'!$A$2:$J$5,9,FALSE)),""))</f>
        <v/>
      </c>
      <c r="O145" s="20" t="n"/>
      <c r="P145" s="16">
        <f>IF(B145="","",IFERROR(N145+VLOOKUP(E145,'Reference Data 기준데이터'!$A$8:$F$30,4,FALSE),""))</f>
        <v/>
      </c>
      <c r="Q145" s="20" t="n"/>
      <c r="R145" s="16">
        <f>IF(B145="","",IFERROR(MIN(H145+VLOOKUP(B145,'Reference Data 기준데이터'!$A$2:$J$5,10,FALSE),VLOOKUP(B145,'Reference Data 기준데이터'!$A$2:$J$5,6,FALSE)),""))</f>
        <v/>
      </c>
      <c r="S145" s="20" t="n"/>
      <c r="T145" s="13" t="n"/>
      <c r="U145" s="17">
        <f>IF(B145="","",IF(T145&lt;&gt;"",T145,IF(AND(S145&lt;&gt;"",Q145&lt;&gt;""),"11-결과등록완료",IF(AND(Q145&lt;&gt;"",S145=""),"10-시험완료",IF(AND(O145&lt;&gt;"",Q145=""),"09-시험준비중",IF(AND(M145&lt;&gt;"",O145=""),"08-단품준비완료",IF(K145="Approved","05-계획서승인",IF(K145="Revision Needed","04-검토중_조건불만족",IF(K145="Under Review","03-검토중_조건충족",IF(AND(J145&lt;&gt;"",K145=""),"02-계획서제출_미검토","01-계획서미제출"))))))))))</f>
        <v/>
      </c>
      <c r="V145" s="18">
        <f>IF(B145="","",IFS(U145="01-계획서미제출",0,U145="02-계획서제출_미검토",0.05,U145="03-검토중_조건충족",0.1,U145="04-검토중_조건불만족",0.05,U145="05-계획서승인",0.2,U145="06-BIW생산중단",0.15,U145="07-생산완료_미인수",0.3,U145="08-단품준비완료",0.4,U145="09-시험준비중",0.55,U145="10-시험완료",0.85,U145="11-결과등록완료",1,U145="12-조건부승인검토",0.9,TRUE,0))</f>
        <v/>
      </c>
      <c r="W145" s="5">
        <f>IF(B145="","",IF(S145&lt;&gt;"","-",IF(R145="","N/A",R145-TODAY())))</f>
        <v/>
      </c>
      <c r="X145" s="17">
        <f>IF(B145="","",IF(U145="11-결과등록완료","DONE",IF(OR(U145="06-BIW생산중단",AND(U145="01-계획서미제출",I145&lt;TODAY())),"CRITICAL",IF(OR(U145="04-검토중_조건불만족",U145="07-생산완료_미인수",U145="12-조건부승인검토"),"ACTION",IF(AND(ISNUMBER(W145),W145&lt;=0),"OVERDUE",IF(AND(ISNUMBER(W145),W145&lt;=14),"WARNING","ON TRACK"))))))</f>
        <v/>
      </c>
      <c r="Y145" s="19">
        <f>IF(B145="","",IF(U145="11-결과등록완료","— 완료",IF(U145="01-계획서미제출",IF(I145&lt;TODAY(),"계획서 제출 독촉 (OVERDUE)","계획서 제출 대기"),IF(U145="02-계획서제출_미검토","설계자: 계획서 검토 착수",IF(U145="03-검토중_조건충족","설계자: 승인 처리",IF(U145="04-검토중_조건불만족","보완 요청 → 협력사 재제출 독촉",IF(U145="05-계획서승인","시험편 준비 현황 확인",IF(U145="06-BIW생산중단","BIW 생산팀 확인 → 일정 재수립",IF(U145="07-생산완료_미인수","협력사 인수 독촉",IF(U145="08-단품준비완료","시험 일정 확인",IF(U145="09-시험준비중","시험 진행 모니터링",IF(U145="10-시험완료","결과 보고서 전산 등록 독촉",IF(U145="12-조건부승인검토","조건부 승인 여부 판단 → 관련부서 협의","—")))))))))))))</f>
        <v/>
      </c>
    </row>
    <row r="146">
      <c r="A146" s="5">
        <f>IF(B146="","",ROW()-4)</f>
        <v/>
      </c>
      <c r="B146" s="13" t="n"/>
      <c r="C146" s="14" t="n"/>
      <c r="D146" s="15">
        <f>IF(B146="","",IFERROR(VLOOKUP(C146,'Reference Data 기준데이터'!$E$8:$F$30,2,FALSE),""))</f>
        <v/>
      </c>
      <c r="E146" s="14" t="n"/>
      <c r="F146" s="15">
        <f>IF(B146="","",IFERROR(VLOOKUP(E146,'Reference Data 기준데이터'!$A$8:$F$30,2,FALSE),""))</f>
        <v/>
      </c>
      <c r="G146" s="15">
        <f>IF(B146="","",IFERROR(VLOOKUP(B146&amp;"_"&amp;C146,'Reference Data 기준데이터'!$A$33:$B$51,2,FALSE),""))</f>
        <v/>
      </c>
      <c r="H146" s="16">
        <f>IF(B146="","",IFERROR(VLOOKUP(B146,'Reference Data 기준데이터'!$A$2:$J$5,3,FALSE),""))</f>
        <v/>
      </c>
      <c r="I146" s="16">
        <f>IF(B146="","",IFERROR(H146+VLOOKUP(B146,'Reference Data 기준데이터'!$A$2:$J$5,7,FALSE),""))</f>
        <v/>
      </c>
      <c r="J146" s="20" t="n"/>
      <c r="K146" s="13" t="n"/>
      <c r="L146" s="16">
        <f>IF(B146="","",IFERROR(H146+VLOOKUP(B146,'Reference Data 기준데이터'!$A$2:$J$5,8,FALSE),""))</f>
        <v/>
      </c>
      <c r="M146" s="20" t="n"/>
      <c r="N146" s="16">
        <f>IF(B146="","",IFERROR(IF(ISNUMBER(SEARCH("Vehicle",F146)),MAX(H146+VLOOKUP(B146,'Reference Data 기준데이터'!$A$2:$J$5,9,FALSE),VLOOKUP(B146,'Reference Data 기준데이터'!$A$2:$J$5,4,FALSE)),H146+VLOOKUP(B146,'Reference Data 기준데이터'!$A$2:$J$5,9,FALSE)),""))</f>
        <v/>
      </c>
      <c r="O146" s="20" t="n"/>
      <c r="P146" s="16">
        <f>IF(B146="","",IFERROR(N146+VLOOKUP(E146,'Reference Data 기준데이터'!$A$8:$F$30,4,FALSE),""))</f>
        <v/>
      </c>
      <c r="Q146" s="20" t="n"/>
      <c r="R146" s="16">
        <f>IF(B146="","",IFERROR(MIN(H146+VLOOKUP(B146,'Reference Data 기준데이터'!$A$2:$J$5,10,FALSE),VLOOKUP(B146,'Reference Data 기준데이터'!$A$2:$J$5,6,FALSE)),""))</f>
        <v/>
      </c>
      <c r="S146" s="20" t="n"/>
      <c r="T146" s="13" t="n"/>
      <c r="U146" s="17">
        <f>IF(B146="","",IF(T146&lt;&gt;"",T146,IF(AND(S146&lt;&gt;"",Q146&lt;&gt;""),"11-결과등록완료",IF(AND(Q146&lt;&gt;"",S146=""),"10-시험완료",IF(AND(O146&lt;&gt;"",Q146=""),"09-시험준비중",IF(AND(M146&lt;&gt;"",O146=""),"08-단품준비완료",IF(K146="Approved","05-계획서승인",IF(K146="Revision Needed","04-검토중_조건불만족",IF(K146="Under Review","03-검토중_조건충족",IF(AND(J146&lt;&gt;"",K146=""),"02-계획서제출_미검토","01-계획서미제출"))))))))))</f>
        <v/>
      </c>
      <c r="V146" s="18">
        <f>IF(B146="","",IFS(U146="01-계획서미제출",0,U146="02-계획서제출_미검토",0.05,U146="03-검토중_조건충족",0.1,U146="04-검토중_조건불만족",0.05,U146="05-계획서승인",0.2,U146="06-BIW생산중단",0.15,U146="07-생산완료_미인수",0.3,U146="08-단품준비완료",0.4,U146="09-시험준비중",0.55,U146="10-시험완료",0.85,U146="11-결과등록완료",1,U146="12-조건부승인검토",0.9,TRUE,0))</f>
        <v/>
      </c>
      <c r="W146" s="5">
        <f>IF(B146="","",IF(S146&lt;&gt;"","-",IF(R146="","N/A",R146-TODAY())))</f>
        <v/>
      </c>
      <c r="X146" s="17">
        <f>IF(B146="","",IF(U146="11-결과등록완료","DONE",IF(OR(U146="06-BIW생산중단",AND(U146="01-계획서미제출",I146&lt;TODAY())),"CRITICAL",IF(OR(U146="04-검토중_조건불만족",U146="07-생산완료_미인수",U146="12-조건부승인검토"),"ACTION",IF(AND(ISNUMBER(W146),W146&lt;=0),"OVERDUE",IF(AND(ISNUMBER(W146),W146&lt;=14),"WARNING","ON TRACK"))))))</f>
        <v/>
      </c>
      <c r="Y146" s="19">
        <f>IF(B146="","",IF(U146="11-결과등록완료","— 완료",IF(U146="01-계획서미제출",IF(I146&lt;TODAY(),"계획서 제출 독촉 (OVERDUE)","계획서 제출 대기"),IF(U146="02-계획서제출_미검토","설계자: 계획서 검토 착수",IF(U146="03-검토중_조건충족","설계자: 승인 처리",IF(U146="04-검토중_조건불만족","보완 요청 → 협력사 재제출 독촉",IF(U146="05-계획서승인","시험편 준비 현황 확인",IF(U146="06-BIW생산중단","BIW 생산팀 확인 → 일정 재수립",IF(U146="07-생산완료_미인수","협력사 인수 독촉",IF(U146="08-단품준비완료","시험 일정 확인",IF(U146="09-시험준비중","시험 진행 모니터링",IF(U146="10-시험완료","결과 보고서 전산 등록 독촉",IF(U146="12-조건부승인검토","조건부 승인 여부 판단 → 관련부서 협의","—")))))))))))))</f>
        <v/>
      </c>
    </row>
    <row r="147">
      <c r="A147" s="5">
        <f>IF(B147="","",ROW()-4)</f>
        <v/>
      </c>
      <c r="B147" s="13" t="n"/>
      <c r="C147" s="14" t="n"/>
      <c r="D147" s="15">
        <f>IF(B147="","",IFERROR(VLOOKUP(C147,'Reference Data 기준데이터'!$E$8:$F$30,2,FALSE),""))</f>
        <v/>
      </c>
      <c r="E147" s="14" t="n"/>
      <c r="F147" s="15">
        <f>IF(B147="","",IFERROR(VLOOKUP(E147,'Reference Data 기준데이터'!$A$8:$F$30,2,FALSE),""))</f>
        <v/>
      </c>
      <c r="G147" s="15">
        <f>IF(B147="","",IFERROR(VLOOKUP(B147&amp;"_"&amp;C147,'Reference Data 기준데이터'!$A$33:$B$51,2,FALSE),""))</f>
        <v/>
      </c>
      <c r="H147" s="16">
        <f>IF(B147="","",IFERROR(VLOOKUP(B147,'Reference Data 기준데이터'!$A$2:$J$5,3,FALSE),""))</f>
        <v/>
      </c>
      <c r="I147" s="16">
        <f>IF(B147="","",IFERROR(H147+VLOOKUP(B147,'Reference Data 기준데이터'!$A$2:$J$5,7,FALSE),""))</f>
        <v/>
      </c>
      <c r="J147" s="20" t="n"/>
      <c r="K147" s="13" t="n"/>
      <c r="L147" s="16">
        <f>IF(B147="","",IFERROR(H147+VLOOKUP(B147,'Reference Data 기준데이터'!$A$2:$J$5,8,FALSE),""))</f>
        <v/>
      </c>
      <c r="M147" s="20" t="n"/>
      <c r="N147" s="16">
        <f>IF(B147="","",IFERROR(IF(ISNUMBER(SEARCH("Vehicle",F147)),MAX(H147+VLOOKUP(B147,'Reference Data 기준데이터'!$A$2:$J$5,9,FALSE),VLOOKUP(B147,'Reference Data 기준데이터'!$A$2:$J$5,4,FALSE)),H147+VLOOKUP(B147,'Reference Data 기준데이터'!$A$2:$J$5,9,FALSE)),""))</f>
        <v/>
      </c>
      <c r="O147" s="20" t="n"/>
      <c r="P147" s="16">
        <f>IF(B147="","",IFERROR(N147+VLOOKUP(E147,'Reference Data 기준데이터'!$A$8:$F$30,4,FALSE),""))</f>
        <v/>
      </c>
      <c r="Q147" s="20" t="n"/>
      <c r="R147" s="16">
        <f>IF(B147="","",IFERROR(MIN(H147+VLOOKUP(B147,'Reference Data 기준데이터'!$A$2:$J$5,10,FALSE),VLOOKUP(B147,'Reference Data 기준데이터'!$A$2:$J$5,6,FALSE)),""))</f>
        <v/>
      </c>
      <c r="S147" s="20" t="n"/>
      <c r="T147" s="13" t="n"/>
      <c r="U147" s="17">
        <f>IF(B147="","",IF(T147&lt;&gt;"",T147,IF(AND(S147&lt;&gt;"",Q147&lt;&gt;""),"11-결과등록완료",IF(AND(Q147&lt;&gt;"",S147=""),"10-시험완료",IF(AND(O147&lt;&gt;"",Q147=""),"09-시험준비중",IF(AND(M147&lt;&gt;"",O147=""),"08-단품준비완료",IF(K147="Approved","05-계획서승인",IF(K147="Revision Needed","04-검토중_조건불만족",IF(K147="Under Review","03-검토중_조건충족",IF(AND(J147&lt;&gt;"",K147=""),"02-계획서제출_미검토","01-계획서미제출"))))))))))</f>
        <v/>
      </c>
      <c r="V147" s="18">
        <f>IF(B147="","",IFS(U147="01-계획서미제출",0,U147="02-계획서제출_미검토",0.05,U147="03-검토중_조건충족",0.1,U147="04-검토중_조건불만족",0.05,U147="05-계획서승인",0.2,U147="06-BIW생산중단",0.15,U147="07-생산완료_미인수",0.3,U147="08-단품준비완료",0.4,U147="09-시험준비중",0.55,U147="10-시험완료",0.85,U147="11-결과등록완료",1,U147="12-조건부승인검토",0.9,TRUE,0))</f>
        <v/>
      </c>
      <c r="W147" s="5">
        <f>IF(B147="","",IF(S147&lt;&gt;"","-",IF(R147="","N/A",R147-TODAY())))</f>
        <v/>
      </c>
      <c r="X147" s="17">
        <f>IF(B147="","",IF(U147="11-결과등록완료","DONE",IF(OR(U147="06-BIW생산중단",AND(U147="01-계획서미제출",I147&lt;TODAY())),"CRITICAL",IF(OR(U147="04-검토중_조건불만족",U147="07-생산완료_미인수",U147="12-조건부승인검토"),"ACTION",IF(AND(ISNUMBER(W147),W147&lt;=0),"OVERDUE",IF(AND(ISNUMBER(W147),W147&lt;=14),"WARNING","ON TRACK"))))))</f>
        <v/>
      </c>
      <c r="Y147" s="19">
        <f>IF(B147="","",IF(U147="11-결과등록완료","— 완료",IF(U147="01-계획서미제출",IF(I147&lt;TODAY(),"계획서 제출 독촉 (OVERDUE)","계획서 제출 대기"),IF(U147="02-계획서제출_미검토","설계자: 계획서 검토 착수",IF(U147="03-검토중_조건충족","설계자: 승인 처리",IF(U147="04-검토중_조건불만족","보완 요청 → 협력사 재제출 독촉",IF(U147="05-계획서승인","시험편 준비 현황 확인",IF(U147="06-BIW생산중단","BIW 생산팀 확인 → 일정 재수립",IF(U147="07-생산완료_미인수","협력사 인수 독촉",IF(U147="08-단품준비완료","시험 일정 확인",IF(U147="09-시험준비중","시험 진행 모니터링",IF(U147="10-시험완료","결과 보고서 전산 등록 독촉",IF(U147="12-조건부승인검토","조건부 승인 여부 판단 → 관련부서 협의","—")))))))))))))</f>
        <v/>
      </c>
    </row>
    <row r="148">
      <c r="A148" s="5">
        <f>IF(B148="","",ROW()-4)</f>
        <v/>
      </c>
      <c r="B148" s="13" t="n"/>
      <c r="C148" s="14" t="n"/>
      <c r="D148" s="15">
        <f>IF(B148="","",IFERROR(VLOOKUP(C148,'Reference Data 기준데이터'!$E$8:$F$30,2,FALSE),""))</f>
        <v/>
      </c>
      <c r="E148" s="14" t="n"/>
      <c r="F148" s="15">
        <f>IF(B148="","",IFERROR(VLOOKUP(E148,'Reference Data 기준데이터'!$A$8:$F$30,2,FALSE),""))</f>
        <v/>
      </c>
      <c r="G148" s="15">
        <f>IF(B148="","",IFERROR(VLOOKUP(B148&amp;"_"&amp;C148,'Reference Data 기준데이터'!$A$33:$B$51,2,FALSE),""))</f>
        <v/>
      </c>
      <c r="H148" s="16">
        <f>IF(B148="","",IFERROR(VLOOKUP(B148,'Reference Data 기준데이터'!$A$2:$J$5,3,FALSE),""))</f>
        <v/>
      </c>
      <c r="I148" s="16">
        <f>IF(B148="","",IFERROR(H148+VLOOKUP(B148,'Reference Data 기준데이터'!$A$2:$J$5,7,FALSE),""))</f>
        <v/>
      </c>
      <c r="J148" s="20" t="n"/>
      <c r="K148" s="13" t="n"/>
      <c r="L148" s="16">
        <f>IF(B148="","",IFERROR(H148+VLOOKUP(B148,'Reference Data 기준데이터'!$A$2:$J$5,8,FALSE),""))</f>
        <v/>
      </c>
      <c r="M148" s="20" t="n"/>
      <c r="N148" s="16">
        <f>IF(B148="","",IFERROR(IF(ISNUMBER(SEARCH("Vehicle",F148)),MAX(H148+VLOOKUP(B148,'Reference Data 기준데이터'!$A$2:$J$5,9,FALSE),VLOOKUP(B148,'Reference Data 기준데이터'!$A$2:$J$5,4,FALSE)),H148+VLOOKUP(B148,'Reference Data 기준데이터'!$A$2:$J$5,9,FALSE)),""))</f>
        <v/>
      </c>
      <c r="O148" s="20" t="n"/>
      <c r="P148" s="16">
        <f>IF(B148="","",IFERROR(N148+VLOOKUP(E148,'Reference Data 기준데이터'!$A$8:$F$30,4,FALSE),""))</f>
        <v/>
      </c>
      <c r="Q148" s="20" t="n"/>
      <c r="R148" s="16">
        <f>IF(B148="","",IFERROR(MIN(H148+VLOOKUP(B148,'Reference Data 기준데이터'!$A$2:$J$5,10,FALSE),VLOOKUP(B148,'Reference Data 기준데이터'!$A$2:$J$5,6,FALSE)),""))</f>
        <v/>
      </c>
      <c r="S148" s="20" t="n"/>
      <c r="T148" s="13" t="n"/>
      <c r="U148" s="17">
        <f>IF(B148="","",IF(T148&lt;&gt;"",T148,IF(AND(S148&lt;&gt;"",Q148&lt;&gt;""),"11-결과등록완료",IF(AND(Q148&lt;&gt;"",S148=""),"10-시험완료",IF(AND(O148&lt;&gt;"",Q148=""),"09-시험준비중",IF(AND(M148&lt;&gt;"",O148=""),"08-단품준비완료",IF(K148="Approved","05-계획서승인",IF(K148="Revision Needed","04-검토중_조건불만족",IF(K148="Under Review","03-검토중_조건충족",IF(AND(J148&lt;&gt;"",K148=""),"02-계획서제출_미검토","01-계획서미제출"))))))))))</f>
        <v/>
      </c>
      <c r="V148" s="18">
        <f>IF(B148="","",IFS(U148="01-계획서미제출",0,U148="02-계획서제출_미검토",0.05,U148="03-검토중_조건충족",0.1,U148="04-검토중_조건불만족",0.05,U148="05-계획서승인",0.2,U148="06-BIW생산중단",0.15,U148="07-생산완료_미인수",0.3,U148="08-단품준비완료",0.4,U148="09-시험준비중",0.55,U148="10-시험완료",0.85,U148="11-결과등록완료",1,U148="12-조건부승인검토",0.9,TRUE,0))</f>
        <v/>
      </c>
      <c r="W148" s="5">
        <f>IF(B148="","",IF(S148&lt;&gt;"","-",IF(R148="","N/A",R148-TODAY())))</f>
        <v/>
      </c>
      <c r="X148" s="17">
        <f>IF(B148="","",IF(U148="11-결과등록완료","DONE",IF(OR(U148="06-BIW생산중단",AND(U148="01-계획서미제출",I148&lt;TODAY())),"CRITICAL",IF(OR(U148="04-검토중_조건불만족",U148="07-생산완료_미인수",U148="12-조건부승인검토"),"ACTION",IF(AND(ISNUMBER(W148),W148&lt;=0),"OVERDUE",IF(AND(ISNUMBER(W148),W148&lt;=14),"WARNING","ON TRACK"))))))</f>
        <v/>
      </c>
      <c r="Y148" s="19">
        <f>IF(B148="","",IF(U148="11-결과등록완료","— 완료",IF(U148="01-계획서미제출",IF(I148&lt;TODAY(),"계획서 제출 독촉 (OVERDUE)","계획서 제출 대기"),IF(U148="02-계획서제출_미검토","설계자: 계획서 검토 착수",IF(U148="03-검토중_조건충족","설계자: 승인 처리",IF(U148="04-검토중_조건불만족","보완 요청 → 협력사 재제출 독촉",IF(U148="05-계획서승인","시험편 준비 현황 확인",IF(U148="06-BIW생산중단","BIW 생산팀 확인 → 일정 재수립",IF(U148="07-생산완료_미인수","협력사 인수 독촉",IF(U148="08-단품준비완료","시험 일정 확인",IF(U148="09-시험준비중","시험 진행 모니터링",IF(U148="10-시험완료","결과 보고서 전산 등록 독촉",IF(U148="12-조건부승인검토","조건부 승인 여부 판단 → 관련부서 협의","—")))))))))))))</f>
        <v/>
      </c>
    </row>
    <row r="149">
      <c r="A149" s="5">
        <f>IF(B149="","",ROW()-4)</f>
        <v/>
      </c>
      <c r="B149" s="13" t="n"/>
      <c r="C149" s="14" t="n"/>
      <c r="D149" s="15">
        <f>IF(B149="","",IFERROR(VLOOKUP(C149,'Reference Data 기준데이터'!$E$8:$F$30,2,FALSE),""))</f>
        <v/>
      </c>
      <c r="E149" s="14" t="n"/>
      <c r="F149" s="15">
        <f>IF(B149="","",IFERROR(VLOOKUP(E149,'Reference Data 기준데이터'!$A$8:$F$30,2,FALSE),""))</f>
        <v/>
      </c>
      <c r="G149" s="15">
        <f>IF(B149="","",IFERROR(VLOOKUP(B149&amp;"_"&amp;C149,'Reference Data 기준데이터'!$A$33:$B$51,2,FALSE),""))</f>
        <v/>
      </c>
      <c r="H149" s="16">
        <f>IF(B149="","",IFERROR(VLOOKUP(B149,'Reference Data 기준데이터'!$A$2:$J$5,3,FALSE),""))</f>
        <v/>
      </c>
      <c r="I149" s="16">
        <f>IF(B149="","",IFERROR(H149+VLOOKUP(B149,'Reference Data 기준데이터'!$A$2:$J$5,7,FALSE),""))</f>
        <v/>
      </c>
      <c r="J149" s="20" t="n"/>
      <c r="K149" s="13" t="n"/>
      <c r="L149" s="16">
        <f>IF(B149="","",IFERROR(H149+VLOOKUP(B149,'Reference Data 기준데이터'!$A$2:$J$5,8,FALSE),""))</f>
        <v/>
      </c>
      <c r="M149" s="20" t="n"/>
      <c r="N149" s="16">
        <f>IF(B149="","",IFERROR(IF(ISNUMBER(SEARCH("Vehicle",F149)),MAX(H149+VLOOKUP(B149,'Reference Data 기준데이터'!$A$2:$J$5,9,FALSE),VLOOKUP(B149,'Reference Data 기준데이터'!$A$2:$J$5,4,FALSE)),H149+VLOOKUP(B149,'Reference Data 기준데이터'!$A$2:$J$5,9,FALSE)),""))</f>
        <v/>
      </c>
      <c r="O149" s="20" t="n"/>
      <c r="P149" s="16">
        <f>IF(B149="","",IFERROR(N149+VLOOKUP(E149,'Reference Data 기준데이터'!$A$8:$F$30,4,FALSE),""))</f>
        <v/>
      </c>
      <c r="Q149" s="20" t="n"/>
      <c r="R149" s="16">
        <f>IF(B149="","",IFERROR(MIN(H149+VLOOKUP(B149,'Reference Data 기준데이터'!$A$2:$J$5,10,FALSE),VLOOKUP(B149,'Reference Data 기준데이터'!$A$2:$J$5,6,FALSE)),""))</f>
        <v/>
      </c>
      <c r="S149" s="20" t="n"/>
      <c r="T149" s="13" t="n"/>
      <c r="U149" s="17">
        <f>IF(B149="","",IF(T149&lt;&gt;"",T149,IF(AND(S149&lt;&gt;"",Q149&lt;&gt;""),"11-결과등록완료",IF(AND(Q149&lt;&gt;"",S149=""),"10-시험완료",IF(AND(O149&lt;&gt;"",Q149=""),"09-시험준비중",IF(AND(M149&lt;&gt;"",O149=""),"08-단품준비완료",IF(K149="Approved","05-계획서승인",IF(K149="Revision Needed","04-검토중_조건불만족",IF(K149="Under Review","03-검토중_조건충족",IF(AND(J149&lt;&gt;"",K149=""),"02-계획서제출_미검토","01-계획서미제출"))))))))))</f>
        <v/>
      </c>
      <c r="V149" s="18">
        <f>IF(B149="","",IFS(U149="01-계획서미제출",0,U149="02-계획서제출_미검토",0.05,U149="03-검토중_조건충족",0.1,U149="04-검토중_조건불만족",0.05,U149="05-계획서승인",0.2,U149="06-BIW생산중단",0.15,U149="07-생산완료_미인수",0.3,U149="08-단품준비완료",0.4,U149="09-시험준비중",0.55,U149="10-시험완료",0.85,U149="11-결과등록완료",1,U149="12-조건부승인검토",0.9,TRUE,0))</f>
        <v/>
      </c>
      <c r="W149" s="5">
        <f>IF(B149="","",IF(S149&lt;&gt;"","-",IF(R149="","N/A",R149-TODAY())))</f>
        <v/>
      </c>
      <c r="X149" s="17">
        <f>IF(B149="","",IF(U149="11-결과등록완료","DONE",IF(OR(U149="06-BIW생산중단",AND(U149="01-계획서미제출",I149&lt;TODAY())),"CRITICAL",IF(OR(U149="04-검토중_조건불만족",U149="07-생산완료_미인수",U149="12-조건부승인검토"),"ACTION",IF(AND(ISNUMBER(W149),W149&lt;=0),"OVERDUE",IF(AND(ISNUMBER(W149),W149&lt;=14),"WARNING","ON TRACK"))))))</f>
        <v/>
      </c>
      <c r="Y149" s="19">
        <f>IF(B149="","",IF(U149="11-결과등록완료","— 완료",IF(U149="01-계획서미제출",IF(I149&lt;TODAY(),"계획서 제출 독촉 (OVERDUE)","계획서 제출 대기"),IF(U149="02-계획서제출_미검토","설계자: 계획서 검토 착수",IF(U149="03-검토중_조건충족","설계자: 승인 처리",IF(U149="04-검토중_조건불만족","보완 요청 → 협력사 재제출 독촉",IF(U149="05-계획서승인","시험편 준비 현황 확인",IF(U149="06-BIW생산중단","BIW 생산팀 확인 → 일정 재수립",IF(U149="07-생산완료_미인수","협력사 인수 독촉",IF(U149="08-단품준비완료","시험 일정 확인",IF(U149="09-시험준비중","시험 진행 모니터링",IF(U149="10-시험완료","결과 보고서 전산 등록 독촉",IF(U149="12-조건부승인검토","조건부 승인 여부 판단 → 관련부서 협의","—")))))))))))))</f>
        <v/>
      </c>
    </row>
    <row r="150">
      <c r="A150" s="5">
        <f>IF(B150="","",ROW()-4)</f>
        <v/>
      </c>
      <c r="B150" s="13" t="n"/>
      <c r="C150" s="14" t="n"/>
      <c r="D150" s="15">
        <f>IF(B150="","",IFERROR(VLOOKUP(C150,'Reference Data 기준데이터'!$E$8:$F$30,2,FALSE),""))</f>
        <v/>
      </c>
      <c r="E150" s="14" t="n"/>
      <c r="F150" s="15">
        <f>IF(B150="","",IFERROR(VLOOKUP(E150,'Reference Data 기준데이터'!$A$8:$F$30,2,FALSE),""))</f>
        <v/>
      </c>
      <c r="G150" s="15">
        <f>IF(B150="","",IFERROR(VLOOKUP(B150&amp;"_"&amp;C150,'Reference Data 기준데이터'!$A$33:$B$51,2,FALSE),""))</f>
        <v/>
      </c>
      <c r="H150" s="16">
        <f>IF(B150="","",IFERROR(VLOOKUP(B150,'Reference Data 기준데이터'!$A$2:$J$5,3,FALSE),""))</f>
        <v/>
      </c>
      <c r="I150" s="16">
        <f>IF(B150="","",IFERROR(H150+VLOOKUP(B150,'Reference Data 기준데이터'!$A$2:$J$5,7,FALSE),""))</f>
        <v/>
      </c>
      <c r="J150" s="20" t="n"/>
      <c r="K150" s="13" t="n"/>
      <c r="L150" s="16">
        <f>IF(B150="","",IFERROR(H150+VLOOKUP(B150,'Reference Data 기준데이터'!$A$2:$J$5,8,FALSE),""))</f>
        <v/>
      </c>
      <c r="M150" s="20" t="n"/>
      <c r="N150" s="16">
        <f>IF(B150="","",IFERROR(IF(ISNUMBER(SEARCH("Vehicle",F150)),MAX(H150+VLOOKUP(B150,'Reference Data 기준데이터'!$A$2:$J$5,9,FALSE),VLOOKUP(B150,'Reference Data 기준데이터'!$A$2:$J$5,4,FALSE)),H150+VLOOKUP(B150,'Reference Data 기준데이터'!$A$2:$J$5,9,FALSE)),""))</f>
        <v/>
      </c>
      <c r="O150" s="20" t="n"/>
      <c r="P150" s="16">
        <f>IF(B150="","",IFERROR(N150+VLOOKUP(E150,'Reference Data 기준데이터'!$A$8:$F$30,4,FALSE),""))</f>
        <v/>
      </c>
      <c r="Q150" s="20" t="n"/>
      <c r="R150" s="16">
        <f>IF(B150="","",IFERROR(MIN(H150+VLOOKUP(B150,'Reference Data 기준데이터'!$A$2:$J$5,10,FALSE),VLOOKUP(B150,'Reference Data 기준데이터'!$A$2:$J$5,6,FALSE)),""))</f>
        <v/>
      </c>
      <c r="S150" s="20" t="n"/>
      <c r="T150" s="13" t="n"/>
      <c r="U150" s="17">
        <f>IF(B150="","",IF(T150&lt;&gt;"",T150,IF(AND(S150&lt;&gt;"",Q150&lt;&gt;""),"11-결과등록완료",IF(AND(Q150&lt;&gt;"",S150=""),"10-시험완료",IF(AND(O150&lt;&gt;"",Q150=""),"09-시험준비중",IF(AND(M150&lt;&gt;"",O150=""),"08-단품준비완료",IF(K150="Approved","05-계획서승인",IF(K150="Revision Needed","04-검토중_조건불만족",IF(K150="Under Review","03-검토중_조건충족",IF(AND(J150&lt;&gt;"",K150=""),"02-계획서제출_미검토","01-계획서미제출"))))))))))</f>
        <v/>
      </c>
      <c r="V150" s="18">
        <f>IF(B150="","",IFS(U150="01-계획서미제출",0,U150="02-계획서제출_미검토",0.05,U150="03-검토중_조건충족",0.1,U150="04-검토중_조건불만족",0.05,U150="05-계획서승인",0.2,U150="06-BIW생산중단",0.15,U150="07-생산완료_미인수",0.3,U150="08-단품준비완료",0.4,U150="09-시험준비중",0.55,U150="10-시험완료",0.85,U150="11-결과등록완료",1,U150="12-조건부승인검토",0.9,TRUE,0))</f>
        <v/>
      </c>
      <c r="W150" s="5">
        <f>IF(B150="","",IF(S150&lt;&gt;"","-",IF(R150="","N/A",R150-TODAY())))</f>
        <v/>
      </c>
      <c r="X150" s="17">
        <f>IF(B150="","",IF(U150="11-결과등록완료","DONE",IF(OR(U150="06-BIW생산중단",AND(U150="01-계획서미제출",I150&lt;TODAY())),"CRITICAL",IF(OR(U150="04-검토중_조건불만족",U150="07-생산완료_미인수",U150="12-조건부승인검토"),"ACTION",IF(AND(ISNUMBER(W150),W150&lt;=0),"OVERDUE",IF(AND(ISNUMBER(W150),W150&lt;=14),"WARNING","ON TRACK"))))))</f>
        <v/>
      </c>
      <c r="Y150" s="19">
        <f>IF(B150="","",IF(U150="11-결과등록완료","— 완료",IF(U150="01-계획서미제출",IF(I150&lt;TODAY(),"계획서 제출 독촉 (OVERDUE)","계획서 제출 대기"),IF(U150="02-계획서제출_미검토","설계자: 계획서 검토 착수",IF(U150="03-검토중_조건충족","설계자: 승인 처리",IF(U150="04-검토중_조건불만족","보완 요청 → 협력사 재제출 독촉",IF(U150="05-계획서승인","시험편 준비 현황 확인",IF(U150="06-BIW생산중단","BIW 생산팀 확인 → 일정 재수립",IF(U150="07-생산완료_미인수","협력사 인수 독촉",IF(U150="08-단품준비완료","시험 일정 확인",IF(U150="09-시험준비중","시험 진행 모니터링",IF(U150="10-시험완료","결과 보고서 전산 등록 독촉",IF(U150="12-조건부승인검토","조건부 승인 여부 판단 → 관련부서 협의","—")))))))))))))</f>
        <v/>
      </c>
    </row>
    <row r="151">
      <c r="A151" s="5">
        <f>IF(B151="","",ROW()-4)</f>
        <v/>
      </c>
      <c r="B151" s="13" t="n"/>
      <c r="C151" s="14" t="n"/>
      <c r="D151" s="15">
        <f>IF(B151="","",IFERROR(VLOOKUP(C151,'Reference Data 기준데이터'!$E$8:$F$30,2,FALSE),""))</f>
        <v/>
      </c>
      <c r="E151" s="14" t="n"/>
      <c r="F151" s="15">
        <f>IF(B151="","",IFERROR(VLOOKUP(E151,'Reference Data 기준데이터'!$A$8:$F$30,2,FALSE),""))</f>
        <v/>
      </c>
      <c r="G151" s="15">
        <f>IF(B151="","",IFERROR(VLOOKUP(B151&amp;"_"&amp;C151,'Reference Data 기준데이터'!$A$33:$B$51,2,FALSE),""))</f>
        <v/>
      </c>
      <c r="H151" s="16">
        <f>IF(B151="","",IFERROR(VLOOKUP(B151,'Reference Data 기준데이터'!$A$2:$J$5,3,FALSE),""))</f>
        <v/>
      </c>
      <c r="I151" s="16">
        <f>IF(B151="","",IFERROR(H151+VLOOKUP(B151,'Reference Data 기준데이터'!$A$2:$J$5,7,FALSE),""))</f>
        <v/>
      </c>
      <c r="J151" s="20" t="n"/>
      <c r="K151" s="13" t="n"/>
      <c r="L151" s="16">
        <f>IF(B151="","",IFERROR(H151+VLOOKUP(B151,'Reference Data 기준데이터'!$A$2:$J$5,8,FALSE),""))</f>
        <v/>
      </c>
      <c r="M151" s="20" t="n"/>
      <c r="N151" s="16">
        <f>IF(B151="","",IFERROR(IF(ISNUMBER(SEARCH("Vehicle",F151)),MAX(H151+VLOOKUP(B151,'Reference Data 기준데이터'!$A$2:$J$5,9,FALSE),VLOOKUP(B151,'Reference Data 기준데이터'!$A$2:$J$5,4,FALSE)),H151+VLOOKUP(B151,'Reference Data 기준데이터'!$A$2:$J$5,9,FALSE)),""))</f>
        <v/>
      </c>
      <c r="O151" s="20" t="n"/>
      <c r="P151" s="16">
        <f>IF(B151="","",IFERROR(N151+VLOOKUP(E151,'Reference Data 기준데이터'!$A$8:$F$30,4,FALSE),""))</f>
        <v/>
      </c>
      <c r="Q151" s="20" t="n"/>
      <c r="R151" s="16">
        <f>IF(B151="","",IFERROR(MIN(H151+VLOOKUP(B151,'Reference Data 기준데이터'!$A$2:$J$5,10,FALSE),VLOOKUP(B151,'Reference Data 기준데이터'!$A$2:$J$5,6,FALSE)),""))</f>
        <v/>
      </c>
      <c r="S151" s="20" t="n"/>
      <c r="T151" s="13" t="n"/>
      <c r="U151" s="17">
        <f>IF(B151="","",IF(T151&lt;&gt;"",T151,IF(AND(S151&lt;&gt;"",Q151&lt;&gt;""),"11-결과등록완료",IF(AND(Q151&lt;&gt;"",S151=""),"10-시험완료",IF(AND(O151&lt;&gt;"",Q151=""),"09-시험준비중",IF(AND(M151&lt;&gt;"",O151=""),"08-단품준비완료",IF(K151="Approved","05-계획서승인",IF(K151="Revision Needed","04-검토중_조건불만족",IF(K151="Under Review","03-검토중_조건충족",IF(AND(J151&lt;&gt;"",K151=""),"02-계획서제출_미검토","01-계획서미제출"))))))))))</f>
        <v/>
      </c>
      <c r="V151" s="18">
        <f>IF(B151="","",IFS(U151="01-계획서미제출",0,U151="02-계획서제출_미검토",0.05,U151="03-검토중_조건충족",0.1,U151="04-검토중_조건불만족",0.05,U151="05-계획서승인",0.2,U151="06-BIW생산중단",0.15,U151="07-생산완료_미인수",0.3,U151="08-단품준비완료",0.4,U151="09-시험준비중",0.55,U151="10-시험완료",0.85,U151="11-결과등록완료",1,U151="12-조건부승인검토",0.9,TRUE,0))</f>
        <v/>
      </c>
      <c r="W151" s="5">
        <f>IF(B151="","",IF(S151&lt;&gt;"","-",IF(R151="","N/A",R151-TODAY())))</f>
        <v/>
      </c>
      <c r="X151" s="17">
        <f>IF(B151="","",IF(U151="11-결과등록완료","DONE",IF(OR(U151="06-BIW생산중단",AND(U151="01-계획서미제출",I151&lt;TODAY())),"CRITICAL",IF(OR(U151="04-검토중_조건불만족",U151="07-생산완료_미인수",U151="12-조건부승인검토"),"ACTION",IF(AND(ISNUMBER(W151),W151&lt;=0),"OVERDUE",IF(AND(ISNUMBER(W151),W151&lt;=14),"WARNING","ON TRACK"))))))</f>
        <v/>
      </c>
      <c r="Y151" s="19">
        <f>IF(B151="","",IF(U151="11-결과등록완료","— 완료",IF(U151="01-계획서미제출",IF(I151&lt;TODAY(),"계획서 제출 독촉 (OVERDUE)","계획서 제출 대기"),IF(U151="02-계획서제출_미검토","설계자: 계획서 검토 착수",IF(U151="03-검토중_조건충족","설계자: 승인 처리",IF(U151="04-검토중_조건불만족","보완 요청 → 협력사 재제출 독촉",IF(U151="05-계획서승인","시험편 준비 현황 확인",IF(U151="06-BIW생산중단","BIW 생산팀 확인 → 일정 재수립",IF(U151="07-생산완료_미인수","협력사 인수 독촉",IF(U151="08-단품준비완료","시험 일정 확인",IF(U151="09-시험준비중","시험 진행 모니터링",IF(U151="10-시험완료","결과 보고서 전산 등록 독촉",IF(U151="12-조건부승인검토","조건부 승인 여부 판단 → 관련부서 협의","—")))))))))))))</f>
        <v/>
      </c>
    </row>
    <row r="152">
      <c r="A152" s="5">
        <f>IF(B152="","",ROW()-4)</f>
        <v/>
      </c>
      <c r="B152" s="13" t="n"/>
      <c r="C152" s="14" t="n"/>
      <c r="D152" s="15">
        <f>IF(B152="","",IFERROR(VLOOKUP(C152,'Reference Data 기준데이터'!$E$8:$F$30,2,FALSE),""))</f>
        <v/>
      </c>
      <c r="E152" s="14" t="n"/>
      <c r="F152" s="15">
        <f>IF(B152="","",IFERROR(VLOOKUP(E152,'Reference Data 기준데이터'!$A$8:$F$30,2,FALSE),""))</f>
        <v/>
      </c>
      <c r="G152" s="15">
        <f>IF(B152="","",IFERROR(VLOOKUP(B152&amp;"_"&amp;C152,'Reference Data 기준데이터'!$A$33:$B$51,2,FALSE),""))</f>
        <v/>
      </c>
      <c r="H152" s="16">
        <f>IF(B152="","",IFERROR(VLOOKUP(B152,'Reference Data 기준데이터'!$A$2:$J$5,3,FALSE),""))</f>
        <v/>
      </c>
      <c r="I152" s="16">
        <f>IF(B152="","",IFERROR(H152+VLOOKUP(B152,'Reference Data 기준데이터'!$A$2:$J$5,7,FALSE),""))</f>
        <v/>
      </c>
      <c r="J152" s="20" t="n"/>
      <c r="K152" s="13" t="n"/>
      <c r="L152" s="16">
        <f>IF(B152="","",IFERROR(H152+VLOOKUP(B152,'Reference Data 기준데이터'!$A$2:$J$5,8,FALSE),""))</f>
        <v/>
      </c>
      <c r="M152" s="20" t="n"/>
      <c r="N152" s="16">
        <f>IF(B152="","",IFERROR(IF(ISNUMBER(SEARCH("Vehicle",F152)),MAX(H152+VLOOKUP(B152,'Reference Data 기준데이터'!$A$2:$J$5,9,FALSE),VLOOKUP(B152,'Reference Data 기준데이터'!$A$2:$J$5,4,FALSE)),H152+VLOOKUP(B152,'Reference Data 기준데이터'!$A$2:$J$5,9,FALSE)),""))</f>
        <v/>
      </c>
      <c r="O152" s="20" t="n"/>
      <c r="P152" s="16">
        <f>IF(B152="","",IFERROR(N152+VLOOKUP(E152,'Reference Data 기준데이터'!$A$8:$F$30,4,FALSE),""))</f>
        <v/>
      </c>
      <c r="Q152" s="20" t="n"/>
      <c r="R152" s="16">
        <f>IF(B152="","",IFERROR(MIN(H152+VLOOKUP(B152,'Reference Data 기준데이터'!$A$2:$J$5,10,FALSE),VLOOKUP(B152,'Reference Data 기준데이터'!$A$2:$J$5,6,FALSE)),""))</f>
        <v/>
      </c>
      <c r="S152" s="20" t="n"/>
      <c r="T152" s="13" t="n"/>
      <c r="U152" s="17">
        <f>IF(B152="","",IF(T152&lt;&gt;"",T152,IF(AND(S152&lt;&gt;"",Q152&lt;&gt;""),"11-결과등록완료",IF(AND(Q152&lt;&gt;"",S152=""),"10-시험완료",IF(AND(O152&lt;&gt;"",Q152=""),"09-시험준비중",IF(AND(M152&lt;&gt;"",O152=""),"08-단품준비완료",IF(K152="Approved","05-계획서승인",IF(K152="Revision Needed","04-검토중_조건불만족",IF(K152="Under Review","03-검토중_조건충족",IF(AND(J152&lt;&gt;"",K152=""),"02-계획서제출_미검토","01-계획서미제출"))))))))))</f>
        <v/>
      </c>
      <c r="V152" s="18">
        <f>IF(B152="","",IFS(U152="01-계획서미제출",0,U152="02-계획서제출_미검토",0.05,U152="03-검토중_조건충족",0.1,U152="04-검토중_조건불만족",0.05,U152="05-계획서승인",0.2,U152="06-BIW생산중단",0.15,U152="07-생산완료_미인수",0.3,U152="08-단품준비완료",0.4,U152="09-시험준비중",0.55,U152="10-시험완료",0.85,U152="11-결과등록완료",1,U152="12-조건부승인검토",0.9,TRUE,0))</f>
        <v/>
      </c>
      <c r="W152" s="5">
        <f>IF(B152="","",IF(S152&lt;&gt;"","-",IF(R152="","N/A",R152-TODAY())))</f>
        <v/>
      </c>
      <c r="X152" s="17">
        <f>IF(B152="","",IF(U152="11-결과등록완료","DONE",IF(OR(U152="06-BIW생산중단",AND(U152="01-계획서미제출",I152&lt;TODAY())),"CRITICAL",IF(OR(U152="04-검토중_조건불만족",U152="07-생산완료_미인수",U152="12-조건부승인검토"),"ACTION",IF(AND(ISNUMBER(W152),W152&lt;=0),"OVERDUE",IF(AND(ISNUMBER(W152),W152&lt;=14),"WARNING","ON TRACK"))))))</f>
        <v/>
      </c>
      <c r="Y152" s="19">
        <f>IF(B152="","",IF(U152="11-결과등록완료","— 완료",IF(U152="01-계획서미제출",IF(I152&lt;TODAY(),"계획서 제출 독촉 (OVERDUE)","계획서 제출 대기"),IF(U152="02-계획서제출_미검토","설계자: 계획서 검토 착수",IF(U152="03-검토중_조건충족","설계자: 승인 처리",IF(U152="04-검토중_조건불만족","보완 요청 → 협력사 재제출 독촉",IF(U152="05-계획서승인","시험편 준비 현황 확인",IF(U152="06-BIW생산중단","BIW 생산팀 확인 → 일정 재수립",IF(U152="07-생산완료_미인수","협력사 인수 독촉",IF(U152="08-단품준비완료","시험 일정 확인",IF(U152="09-시험준비중","시험 진행 모니터링",IF(U152="10-시험완료","결과 보고서 전산 등록 독촉",IF(U152="12-조건부승인검토","조건부 승인 여부 판단 → 관련부서 협의","—")))))))))))))</f>
        <v/>
      </c>
    </row>
    <row r="153">
      <c r="A153" s="5">
        <f>IF(B153="","",ROW()-4)</f>
        <v/>
      </c>
      <c r="B153" s="13" t="n"/>
      <c r="C153" s="14" t="n"/>
      <c r="D153" s="15">
        <f>IF(B153="","",IFERROR(VLOOKUP(C153,'Reference Data 기준데이터'!$E$8:$F$30,2,FALSE),""))</f>
        <v/>
      </c>
      <c r="E153" s="14" t="n"/>
      <c r="F153" s="15">
        <f>IF(B153="","",IFERROR(VLOOKUP(E153,'Reference Data 기준데이터'!$A$8:$F$30,2,FALSE),""))</f>
        <v/>
      </c>
      <c r="G153" s="15">
        <f>IF(B153="","",IFERROR(VLOOKUP(B153&amp;"_"&amp;C153,'Reference Data 기준데이터'!$A$33:$B$51,2,FALSE),""))</f>
        <v/>
      </c>
      <c r="H153" s="16">
        <f>IF(B153="","",IFERROR(VLOOKUP(B153,'Reference Data 기준데이터'!$A$2:$J$5,3,FALSE),""))</f>
        <v/>
      </c>
      <c r="I153" s="16">
        <f>IF(B153="","",IFERROR(H153+VLOOKUP(B153,'Reference Data 기준데이터'!$A$2:$J$5,7,FALSE),""))</f>
        <v/>
      </c>
      <c r="J153" s="20" t="n"/>
      <c r="K153" s="13" t="n"/>
      <c r="L153" s="16">
        <f>IF(B153="","",IFERROR(H153+VLOOKUP(B153,'Reference Data 기준데이터'!$A$2:$J$5,8,FALSE),""))</f>
        <v/>
      </c>
      <c r="M153" s="20" t="n"/>
      <c r="N153" s="16">
        <f>IF(B153="","",IFERROR(IF(ISNUMBER(SEARCH("Vehicle",F153)),MAX(H153+VLOOKUP(B153,'Reference Data 기준데이터'!$A$2:$J$5,9,FALSE),VLOOKUP(B153,'Reference Data 기준데이터'!$A$2:$J$5,4,FALSE)),H153+VLOOKUP(B153,'Reference Data 기준데이터'!$A$2:$J$5,9,FALSE)),""))</f>
        <v/>
      </c>
      <c r="O153" s="20" t="n"/>
      <c r="P153" s="16">
        <f>IF(B153="","",IFERROR(N153+VLOOKUP(E153,'Reference Data 기준데이터'!$A$8:$F$30,4,FALSE),""))</f>
        <v/>
      </c>
      <c r="Q153" s="20" t="n"/>
      <c r="R153" s="16">
        <f>IF(B153="","",IFERROR(MIN(H153+VLOOKUP(B153,'Reference Data 기준데이터'!$A$2:$J$5,10,FALSE),VLOOKUP(B153,'Reference Data 기준데이터'!$A$2:$J$5,6,FALSE)),""))</f>
        <v/>
      </c>
      <c r="S153" s="20" t="n"/>
      <c r="T153" s="13" t="n"/>
      <c r="U153" s="17">
        <f>IF(B153="","",IF(T153&lt;&gt;"",T153,IF(AND(S153&lt;&gt;"",Q153&lt;&gt;""),"11-결과등록완료",IF(AND(Q153&lt;&gt;"",S153=""),"10-시험완료",IF(AND(O153&lt;&gt;"",Q153=""),"09-시험준비중",IF(AND(M153&lt;&gt;"",O153=""),"08-단품준비완료",IF(K153="Approved","05-계획서승인",IF(K153="Revision Needed","04-검토중_조건불만족",IF(K153="Under Review","03-검토중_조건충족",IF(AND(J153&lt;&gt;"",K153=""),"02-계획서제출_미검토","01-계획서미제출"))))))))))</f>
        <v/>
      </c>
      <c r="V153" s="18">
        <f>IF(B153="","",IFS(U153="01-계획서미제출",0,U153="02-계획서제출_미검토",0.05,U153="03-검토중_조건충족",0.1,U153="04-검토중_조건불만족",0.05,U153="05-계획서승인",0.2,U153="06-BIW생산중단",0.15,U153="07-생산완료_미인수",0.3,U153="08-단품준비완료",0.4,U153="09-시험준비중",0.55,U153="10-시험완료",0.85,U153="11-결과등록완료",1,U153="12-조건부승인검토",0.9,TRUE,0))</f>
        <v/>
      </c>
      <c r="W153" s="5">
        <f>IF(B153="","",IF(S153&lt;&gt;"","-",IF(R153="","N/A",R153-TODAY())))</f>
        <v/>
      </c>
      <c r="X153" s="17">
        <f>IF(B153="","",IF(U153="11-결과등록완료","DONE",IF(OR(U153="06-BIW생산중단",AND(U153="01-계획서미제출",I153&lt;TODAY())),"CRITICAL",IF(OR(U153="04-검토중_조건불만족",U153="07-생산완료_미인수",U153="12-조건부승인검토"),"ACTION",IF(AND(ISNUMBER(W153),W153&lt;=0),"OVERDUE",IF(AND(ISNUMBER(W153),W153&lt;=14),"WARNING","ON TRACK"))))))</f>
        <v/>
      </c>
      <c r="Y153" s="19">
        <f>IF(B153="","",IF(U153="11-결과등록완료","— 완료",IF(U153="01-계획서미제출",IF(I153&lt;TODAY(),"계획서 제출 독촉 (OVERDUE)","계획서 제출 대기"),IF(U153="02-계획서제출_미검토","설계자: 계획서 검토 착수",IF(U153="03-검토중_조건충족","설계자: 승인 처리",IF(U153="04-검토중_조건불만족","보완 요청 → 협력사 재제출 독촉",IF(U153="05-계획서승인","시험편 준비 현황 확인",IF(U153="06-BIW생산중단","BIW 생산팀 확인 → 일정 재수립",IF(U153="07-생산완료_미인수","협력사 인수 독촉",IF(U153="08-단품준비완료","시험 일정 확인",IF(U153="09-시험준비중","시험 진행 모니터링",IF(U153="10-시험완료","결과 보고서 전산 등록 독촉",IF(U153="12-조건부승인검토","조건부 승인 여부 판단 → 관련부서 협의","—")))))))))))))</f>
        <v/>
      </c>
    </row>
    <row r="154">
      <c r="A154" s="5">
        <f>IF(B154="","",ROW()-4)</f>
        <v/>
      </c>
      <c r="B154" s="13" t="n"/>
      <c r="C154" s="14" t="n"/>
      <c r="D154" s="15">
        <f>IF(B154="","",IFERROR(VLOOKUP(C154,'Reference Data 기준데이터'!$E$8:$F$30,2,FALSE),""))</f>
        <v/>
      </c>
      <c r="E154" s="14" t="n"/>
      <c r="F154" s="15">
        <f>IF(B154="","",IFERROR(VLOOKUP(E154,'Reference Data 기준데이터'!$A$8:$F$30,2,FALSE),""))</f>
        <v/>
      </c>
      <c r="G154" s="15">
        <f>IF(B154="","",IFERROR(VLOOKUP(B154&amp;"_"&amp;C154,'Reference Data 기준데이터'!$A$33:$B$51,2,FALSE),""))</f>
        <v/>
      </c>
      <c r="H154" s="16">
        <f>IF(B154="","",IFERROR(VLOOKUP(B154,'Reference Data 기준데이터'!$A$2:$J$5,3,FALSE),""))</f>
        <v/>
      </c>
      <c r="I154" s="16">
        <f>IF(B154="","",IFERROR(H154+VLOOKUP(B154,'Reference Data 기준데이터'!$A$2:$J$5,7,FALSE),""))</f>
        <v/>
      </c>
      <c r="J154" s="20" t="n"/>
      <c r="K154" s="13" t="n"/>
      <c r="L154" s="16">
        <f>IF(B154="","",IFERROR(H154+VLOOKUP(B154,'Reference Data 기준데이터'!$A$2:$J$5,8,FALSE),""))</f>
        <v/>
      </c>
      <c r="M154" s="20" t="n"/>
      <c r="N154" s="16">
        <f>IF(B154="","",IFERROR(IF(ISNUMBER(SEARCH("Vehicle",F154)),MAX(H154+VLOOKUP(B154,'Reference Data 기준데이터'!$A$2:$J$5,9,FALSE),VLOOKUP(B154,'Reference Data 기준데이터'!$A$2:$J$5,4,FALSE)),H154+VLOOKUP(B154,'Reference Data 기준데이터'!$A$2:$J$5,9,FALSE)),""))</f>
        <v/>
      </c>
      <c r="O154" s="20" t="n"/>
      <c r="P154" s="16">
        <f>IF(B154="","",IFERROR(N154+VLOOKUP(E154,'Reference Data 기준데이터'!$A$8:$F$30,4,FALSE),""))</f>
        <v/>
      </c>
      <c r="Q154" s="20" t="n"/>
      <c r="R154" s="16">
        <f>IF(B154="","",IFERROR(MIN(H154+VLOOKUP(B154,'Reference Data 기준데이터'!$A$2:$J$5,10,FALSE),VLOOKUP(B154,'Reference Data 기준데이터'!$A$2:$J$5,6,FALSE)),""))</f>
        <v/>
      </c>
      <c r="S154" s="20" t="n"/>
      <c r="T154" s="13" t="n"/>
      <c r="U154" s="17">
        <f>IF(B154="","",IF(T154&lt;&gt;"",T154,IF(AND(S154&lt;&gt;"",Q154&lt;&gt;""),"11-결과등록완료",IF(AND(Q154&lt;&gt;"",S154=""),"10-시험완료",IF(AND(O154&lt;&gt;"",Q154=""),"09-시험준비중",IF(AND(M154&lt;&gt;"",O154=""),"08-단품준비완료",IF(K154="Approved","05-계획서승인",IF(K154="Revision Needed","04-검토중_조건불만족",IF(K154="Under Review","03-검토중_조건충족",IF(AND(J154&lt;&gt;"",K154=""),"02-계획서제출_미검토","01-계획서미제출"))))))))))</f>
        <v/>
      </c>
      <c r="V154" s="18">
        <f>IF(B154="","",IFS(U154="01-계획서미제출",0,U154="02-계획서제출_미검토",0.05,U154="03-검토중_조건충족",0.1,U154="04-검토중_조건불만족",0.05,U154="05-계획서승인",0.2,U154="06-BIW생산중단",0.15,U154="07-생산완료_미인수",0.3,U154="08-단품준비완료",0.4,U154="09-시험준비중",0.55,U154="10-시험완료",0.85,U154="11-결과등록완료",1,U154="12-조건부승인검토",0.9,TRUE,0))</f>
        <v/>
      </c>
      <c r="W154" s="5">
        <f>IF(B154="","",IF(S154&lt;&gt;"","-",IF(R154="","N/A",R154-TODAY())))</f>
        <v/>
      </c>
      <c r="X154" s="17">
        <f>IF(B154="","",IF(U154="11-결과등록완료","DONE",IF(OR(U154="06-BIW생산중단",AND(U154="01-계획서미제출",I154&lt;TODAY())),"CRITICAL",IF(OR(U154="04-검토중_조건불만족",U154="07-생산완료_미인수",U154="12-조건부승인검토"),"ACTION",IF(AND(ISNUMBER(W154),W154&lt;=0),"OVERDUE",IF(AND(ISNUMBER(W154),W154&lt;=14),"WARNING","ON TRACK"))))))</f>
        <v/>
      </c>
      <c r="Y154" s="19">
        <f>IF(B154="","",IF(U154="11-결과등록완료","— 완료",IF(U154="01-계획서미제출",IF(I154&lt;TODAY(),"계획서 제출 독촉 (OVERDUE)","계획서 제출 대기"),IF(U154="02-계획서제출_미검토","설계자: 계획서 검토 착수",IF(U154="03-검토중_조건충족","설계자: 승인 처리",IF(U154="04-검토중_조건불만족","보완 요청 → 협력사 재제출 독촉",IF(U154="05-계획서승인","시험편 준비 현황 확인",IF(U154="06-BIW생산중단","BIW 생산팀 확인 → 일정 재수립",IF(U154="07-생산완료_미인수","협력사 인수 독촉",IF(U154="08-단품준비완료","시험 일정 확인",IF(U154="09-시험준비중","시험 진행 모니터링",IF(U154="10-시험완료","결과 보고서 전산 등록 독촉",IF(U154="12-조건부승인검토","조건부 승인 여부 판단 → 관련부서 협의","—")))))))))))))</f>
        <v/>
      </c>
    </row>
    <row r="155">
      <c r="A155" s="5">
        <f>IF(B155="","",ROW()-4)</f>
        <v/>
      </c>
      <c r="B155" s="13" t="n"/>
      <c r="C155" s="14" t="n"/>
      <c r="D155" s="15">
        <f>IF(B155="","",IFERROR(VLOOKUP(C155,'Reference Data 기준데이터'!$E$8:$F$30,2,FALSE),""))</f>
        <v/>
      </c>
      <c r="E155" s="14" t="n"/>
      <c r="F155" s="15">
        <f>IF(B155="","",IFERROR(VLOOKUP(E155,'Reference Data 기준데이터'!$A$8:$F$30,2,FALSE),""))</f>
        <v/>
      </c>
      <c r="G155" s="15">
        <f>IF(B155="","",IFERROR(VLOOKUP(B155&amp;"_"&amp;C155,'Reference Data 기준데이터'!$A$33:$B$51,2,FALSE),""))</f>
        <v/>
      </c>
      <c r="H155" s="16">
        <f>IF(B155="","",IFERROR(VLOOKUP(B155,'Reference Data 기준데이터'!$A$2:$J$5,3,FALSE),""))</f>
        <v/>
      </c>
      <c r="I155" s="16">
        <f>IF(B155="","",IFERROR(H155+VLOOKUP(B155,'Reference Data 기준데이터'!$A$2:$J$5,7,FALSE),""))</f>
        <v/>
      </c>
      <c r="J155" s="20" t="n"/>
      <c r="K155" s="13" t="n"/>
      <c r="L155" s="16">
        <f>IF(B155="","",IFERROR(H155+VLOOKUP(B155,'Reference Data 기준데이터'!$A$2:$J$5,8,FALSE),""))</f>
        <v/>
      </c>
      <c r="M155" s="20" t="n"/>
      <c r="N155" s="16">
        <f>IF(B155="","",IFERROR(IF(ISNUMBER(SEARCH("Vehicle",F155)),MAX(H155+VLOOKUP(B155,'Reference Data 기준데이터'!$A$2:$J$5,9,FALSE),VLOOKUP(B155,'Reference Data 기준데이터'!$A$2:$J$5,4,FALSE)),H155+VLOOKUP(B155,'Reference Data 기준데이터'!$A$2:$J$5,9,FALSE)),""))</f>
        <v/>
      </c>
      <c r="O155" s="20" t="n"/>
      <c r="P155" s="16">
        <f>IF(B155="","",IFERROR(N155+VLOOKUP(E155,'Reference Data 기준데이터'!$A$8:$F$30,4,FALSE),""))</f>
        <v/>
      </c>
      <c r="Q155" s="20" t="n"/>
      <c r="R155" s="16">
        <f>IF(B155="","",IFERROR(MIN(H155+VLOOKUP(B155,'Reference Data 기준데이터'!$A$2:$J$5,10,FALSE),VLOOKUP(B155,'Reference Data 기준데이터'!$A$2:$J$5,6,FALSE)),""))</f>
        <v/>
      </c>
      <c r="S155" s="20" t="n"/>
      <c r="T155" s="13" t="n"/>
      <c r="U155" s="17">
        <f>IF(B155="","",IF(T155&lt;&gt;"",T155,IF(AND(S155&lt;&gt;"",Q155&lt;&gt;""),"11-결과등록완료",IF(AND(Q155&lt;&gt;"",S155=""),"10-시험완료",IF(AND(O155&lt;&gt;"",Q155=""),"09-시험준비중",IF(AND(M155&lt;&gt;"",O155=""),"08-단품준비완료",IF(K155="Approved","05-계획서승인",IF(K155="Revision Needed","04-검토중_조건불만족",IF(K155="Under Review","03-검토중_조건충족",IF(AND(J155&lt;&gt;"",K155=""),"02-계획서제출_미검토","01-계획서미제출"))))))))))</f>
        <v/>
      </c>
      <c r="V155" s="18">
        <f>IF(B155="","",IFS(U155="01-계획서미제출",0,U155="02-계획서제출_미검토",0.05,U155="03-검토중_조건충족",0.1,U155="04-검토중_조건불만족",0.05,U155="05-계획서승인",0.2,U155="06-BIW생산중단",0.15,U155="07-생산완료_미인수",0.3,U155="08-단품준비완료",0.4,U155="09-시험준비중",0.55,U155="10-시험완료",0.85,U155="11-결과등록완료",1,U155="12-조건부승인검토",0.9,TRUE,0))</f>
        <v/>
      </c>
      <c r="W155" s="5">
        <f>IF(B155="","",IF(S155&lt;&gt;"","-",IF(R155="","N/A",R155-TODAY())))</f>
        <v/>
      </c>
      <c r="X155" s="17">
        <f>IF(B155="","",IF(U155="11-결과등록완료","DONE",IF(OR(U155="06-BIW생산중단",AND(U155="01-계획서미제출",I155&lt;TODAY())),"CRITICAL",IF(OR(U155="04-검토중_조건불만족",U155="07-생산완료_미인수",U155="12-조건부승인검토"),"ACTION",IF(AND(ISNUMBER(W155),W155&lt;=0),"OVERDUE",IF(AND(ISNUMBER(W155),W155&lt;=14),"WARNING","ON TRACK"))))))</f>
        <v/>
      </c>
      <c r="Y155" s="19">
        <f>IF(B155="","",IF(U155="11-결과등록완료","— 완료",IF(U155="01-계획서미제출",IF(I155&lt;TODAY(),"계획서 제출 독촉 (OVERDUE)","계획서 제출 대기"),IF(U155="02-계획서제출_미검토","설계자: 계획서 검토 착수",IF(U155="03-검토중_조건충족","설계자: 승인 처리",IF(U155="04-검토중_조건불만족","보완 요청 → 협력사 재제출 독촉",IF(U155="05-계획서승인","시험편 준비 현황 확인",IF(U155="06-BIW생산중단","BIW 생산팀 확인 → 일정 재수립",IF(U155="07-생산완료_미인수","협력사 인수 독촉",IF(U155="08-단품준비완료","시험 일정 확인",IF(U155="09-시험준비중","시험 진행 모니터링",IF(U155="10-시험완료","결과 보고서 전산 등록 독촉",IF(U155="12-조건부승인검토","조건부 승인 여부 판단 → 관련부서 협의","—")))))))))))))</f>
        <v/>
      </c>
    </row>
    <row r="156">
      <c r="A156" s="5">
        <f>IF(B156="","",ROW()-4)</f>
        <v/>
      </c>
      <c r="B156" s="13" t="n"/>
      <c r="C156" s="14" t="n"/>
      <c r="D156" s="15">
        <f>IF(B156="","",IFERROR(VLOOKUP(C156,'Reference Data 기준데이터'!$E$8:$F$30,2,FALSE),""))</f>
        <v/>
      </c>
      <c r="E156" s="14" t="n"/>
      <c r="F156" s="15">
        <f>IF(B156="","",IFERROR(VLOOKUP(E156,'Reference Data 기준데이터'!$A$8:$F$30,2,FALSE),""))</f>
        <v/>
      </c>
      <c r="G156" s="15">
        <f>IF(B156="","",IFERROR(VLOOKUP(B156&amp;"_"&amp;C156,'Reference Data 기준데이터'!$A$33:$B$51,2,FALSE),""))</f>
        <v/>
      </c>
      <c r="H156" s="16">
        <f>IF(B156="","",IFERROR(VLOOKUP(B156,'Reference Data 기준데이터'!$A$2:$J$5,3,FALSE),""))</f>
        <v/>
      </c>
      <c r="I156" s="16">
        <f>IF(B156="","",IFERROR(H156+VLOOKUP(B156,'Reference Data 기준데이터'!$A$2:$J$5,7,FALSE),""))</f>
        <v/>
      </c>
      <c r="J156" s="20" t="n"/>
      <c r="K156" s="13" t="n"/>
      <c r="L156" s="16">
        <f>IF(B156="","",IFERROR(H156+VLOOKUP(B156,'Reference Data 기준데이터'!$A$2:$J$5,8,FALSE),""))</f>
        <v/>
      </c>
      <c r="M156" s="20" t="n"/>
      <c r="N156" s="16">
        <f>IF(B156="","",IFERROR(IF(ISNUMBER(SEARCH("Vehicle",F156)),MAX(H156+VLOOKUP(B156,'Reference Data 기준데이터'!$A$2:$J$5,9,FALSE),VLOOKUP(B156,'Reference Data 기준데이터'!$A$2:$J$5,4,FALSE)),H156+VLOOKUP(B156,'Reference Data 기준데이터'!$A$2:$J$5,9,FALSE)),""))</f>
        <v/>
      </c>
      <c r="O156" s="20" t="n"/>
      <c r="P156" s="16">
        <f>IF(B156="","",IFERROR(N156+VLOOKUP(E156,'Reference Data 기준데이터'!$A$8:$F$30,4,FALSE),""))</f>
        <v/>
      </c>
      <c r="Q156" s="20" t="n"/>
      <c r="R156" s="16">
        <f>IF(B156="","",IFERROR(MIN(H156+VLOOKUP(B156,'Reference Data 기준데이터'!$A$2:$J$5,10,FALSE),VLOOKUP(B156,'Reference Data 기준데이터'!$A$2:$J$5,6,FALSE)),""))</f>
        <v/>
      </c>
      <c r="S156" s="20" t="n"/>
      <c r="T156" s="13" t="n"/>
      <c r="U156" s="17">
        <f>IF(B156="","",IF(T156&lt;&gt;"",T156,IF(AND(S156&lt;&gt;"",Q156&lt;&gt;""),"11-결과등록완료",IF(AND(Q156&lt;&gt;"",S156=""),"10-시험완료",IF(AND(O156&lt;&gt;"",Q156=""),"09-시험준비중",IF(AND(M156&lt;&gt;"",O156=""),"08-단품준비완료",IF(K156="Approved","05-계획서승인",IF(K156="Revision Needed","04-검토중_조건불만족",IF(K156="Under Review","03-검토중_조건충족",IF(AND(J156&lt;&gt;"",K156=""),"02-계획서제출_미검토","01-계획서미제출"))))))))))</f>
        <v/>
      </c>
      <c r="V156" s="18">
        <f>IF(B156="","",IFS(U156="01-계획서미제출",0,U156="02-계획서제출_미검토",0.05,U156="03-검토중_조건충족",0.1,U156="04-검토중_조건불만족",0.05,U156="05-계획서승인",0.2,U156="06-BIW생산중단",0.15,U156="07-생산완료_미인수",0.3,U156="08-단품준비완료",0.4,U156="09-시험준비중",0.55,U156="10-시험완료",0.85,U156="11-결과등록완료",1,U156="12-조건부승인검토",0.9,TRUE,0))</f>
        <v/>
      </c>
      <c r="W156" s="5">
        <f>IF(B156="","",IF(S156&lt;&gt;"","-",IF(R156="","N/A",R156-TODAY())))</f>
        <v/>
      </c>
      <c r="X156" s="17">
        <f>IF(B156="","",IF(U156="11-결과등록완료","DONE",IF(OR(U156="06-BIW생산중단",AND(U156="01-계획서미제출",I156&lt;TODAY())),"CRITICAL",IF(OR(U156="04-검토중_조건불만족",U156="07-생산완료_미인수",U156="12-조건부승인검토"),"ACTION",IF(AND(ISNUMBER(W156),W156&lt;=0),"OVERDUE",IF(AND(ISNUMBER(W156),W156&lt;=14),"WARNING","ON TRACK"))))))</f>
        <v/>
      </c>
      <c r="Y156" s="19">
        <f>IF(B156="","",IF(U156="11-결과등록완료","— 완료",IF(U156="01-계획서미제출",IF(I156&lt;TODAY(),"계획서 제출 독촉 (OVERDUE)","계획서 제출 대기"),IF(U156="02-계획서제출_미검토","설계자: 계획서 검토 착수",IF(U156="03-검토중_조건충족","설계자: 승인 처리",IF(U156="04-검토중_조건불만족","보완 요청 → 협력사 재제출 독촉",IF(U156="05-계획서승인","시험편 준비 현황 확인",IF(U156="06-BIW생산중단","BIW 생산팀 확인 → 일정 재수립",IF(U156="07-생산완료_미인수","협력사 인수 독촉",IF(U156="08-단품준비완료","시험 일정 확인",IF(U156="09-시험준비중","시험 진행 모니터링",IF(U156="10-시험완료","결과 보고서 전산 등록 독촉",IF(U156="12-조건부승인검토","조건부 승인 여부 판단 → 관련부서 협의","—")))))))))))))</f>
        <v/>
      </c>
    </row>
    <row r="157">
      <c r="A157" s="5">
        <f>IF(B157="","",ROW()-4)</f>
        <v/>
      </c>
      <c r="B157" s="13" t="n"/>
      <c r="C157" s="14" t="n"/>
      <c r="D157" s="15">
        <f>IF(B157="","",IFERROR(VLOOKUP(C157,'Reference Data 기준데이터'!$E$8:$F$30,2,FALSE),""))</f>
        <v/>
      </c>
      <c r="E157" s="14" t="n"/>
      <c r="F157" s="15">
        <f>IF(B157="","",IFERROR(VLOOKUP(E157,'Reference Data 기준데이터'!$A$8:$F$30,2,FALSE),""))</f>
        <v/>
      </c>
      <c r="G157" s="15">
        <f>IF(B157="","",IFERROR(VLOOKUP(B157&amp;"_"&amp;C157,'Reference Data 기준데이터'!$A$33:$B$51,2,FALSE),""))</f>
        <v/>
      </c>
      <c r="H157" s="16">
        <f>IF(B157="","",IFERROR(VLOOKUP(B157,'Reference Data 기준데이터'!$A$2:$J$5,3,FALSE),""))</f>
        <v/>
      </c>
      <c r="I157" s="16">
        <f>IF(B157="","",IFERROR(H157+VLOOKUP(B157,'Reference Data 기준데이터'!$A$2:$J$5,7,FALSE),""))</f>
        <v/>
      </c>
      <c r="J157" s="20" t="n"/>
      <c r="K157" s="13" t="n"/>
      <c r="L157" s="16">
        <f>IF(B157="","",IFERROR(H157+VLOOKUP(B157,'Reference Data 기준데이터'!$A$2:$J$5,8,FALSE),""))</f>
        <v/>
      </c>
      <c r="M157" s="20" t="n"/>
      <c r="N157" s="16">
        <f>IF(B157="","",IFERROR(IF(ISNUMBER(SEARCH("Vehicle",F157)),MAX(H157+VLOOKUP(B157,'Reference Data 기준데이터'!$A$2:$J$5,9,FALSE),VLOOKUP(B157,'Reference Data 기준데이터'!$A$2:$J$5,4,FALSE)),H157+VLOOKUP(B157,'Reference Data 기준데이터'!$A$2:$J$5,9,FALSE)),""))</f>
        <v/>
      </c>
      <c r="O157" s="20" t="n"/>
      <c r="P157" s="16">
        <f>IF(B157="","",IFERROR(N157+VLOOKUP(E157,'Reference Data 기준데이터'!$A$8:$F$30,4,FALSE),""))</f>
        <v/>
      </c>
      <c r="Q157" s="20" t="n"/>
      <c r="R157" s="16">
        <f>IF(B157="","",IFERROR(MIN(H157+VLOOKUP(B157,'Reference Data 기준데이터'!$A$2:$J$5,10,FALSE),VLOOKUP(B157,'Reference Data 기준데이터'!$A$2:$J$5,6,FALSE)),""))</f>
        <v/>
      </c>
      <c r="S157" s="20" t="n"/>
      <c r="T157" s="13" t="n"/>
      <c r="U157" s="17">
        <f>IF(B157="","",IF(T157&lt;&gt;"",T157,IF(AND(S157&lt;&gt;"",Q157&lt;&gt;""),"11-결과등록완료",IF(AND(Q157&lt;&gt;"",S157=""),"10-시험완료",IF(AND(O157&lt;&gt;"",Q157=""),"09-시험준비중",IF(AND(M157&lt;&gt;"",O157=""),"08-단품준비완료",IF(K157="Approved","05-계획서승인",IF(K157="Revision Needed","04-검토중_조건불만족",IF(K157="Under Review","03-검토중_조건충족",IF(AND(J157&lt;&gt;"",K157=""),"02-계획서제출_미검토","01-계획서미제출"))))))))))</f>
        <v/>
      </c>
      <c r="V157" s="18">
        <f>IF(B157="","",IFS(U157="01-계획서미제출",0,U157="02-계획서제출_미검토",0.05,U157="03-검토중_조건충족",0.1,U157="04-검토중_조건불만족",0.05,U157="05-계획서승인",0.2,U157="06-BIW생산중단",0.15,U157="07-생산완료_미인수",0.3,U157="08-단품준비완료",0.4,U157="09-시험준비중",0.55,U157="10-시험완료",0.85,U157="11-결과등록완료",1,U157="12-조건부승인검토",0.9,TRUE,0))</f>
        <v/>
      </c>
      <c r="W157" s="5">
        <f>IF(B157="","",IF(S157&lt;&gt;"","-",IF(R157="","N/A",R157-TODAY())))</f>
        <v/>
      </c>
      <c r="X157" s="17">
        <f>IF(B157="","",IF(U157="11-결과등록완료","DONE",IF(OR(U157="06-BIW생산중단",AND(U157="01-계획서미제출",I157&lt;TODAY())),"CRITICAL",IF(OR(U157="04-검토중_조건불만족",U157="07-생산완료_미인수",U157="12-조건부승인검토"),"ACTION",IF(AND(ISNUMBER(W157),W157&lt;=0),"OVERDUE",IF(AND(ISNUMBER(W157),W157&lt;=14),"WARNING","ON TRACK"))))))</f>
        <v/>
      </c>
      <c r="Y157" s="19">
        <f>IF(B157="","",IF(U157="11-결과등록완료","— 완료",IF(U157="01-계획서미제출",IF(I157&lt;TODAY(),"계획서 제출 독촉 (OVERDUE)","계획서 제출 대기"),IF(U157="02-계획서제출_미검토","설계자: 계획서 검토 착수",IF(U157="03-검토중_조건충족","설계자: 승인 처리",IF(U157="04-검토중_조건불만족","보완 요청 → 협력사 재제출 독촉",IF(U157="05-계획서승인","시험편 준비 현황 확인",IF(U157="06-BIW생산중단","BIW 생산팀 확인 → 일정 재수립",IF(U157="07-생산완료_미인수","협력사 인수 독촉",IF(U157="08-단품준비완료","시험 일정 확인",IF(U157="09-시험준비중","시험 진행 모니터링",IF(U157="10-시험완료","결과 보고서 전산 등록 독촉",IF(U157="12-조건부승인검토","조건부 승인 여부 판단 → 관련부서 협의","—")))))))))))))</f>
        <v/>
      </c>
    </row>
    <row r="158">
      <c r="A158" s="5">
        <f>IF(B158="","",ROW()-4)</f>
        <v/>
      </c>
      <c r="B158" s="13" t="n"/>
      <c r="C158" s="14" t="n"/>
      <c r="D158" s="15">
        <f>IF(B158="","",IFERROR(VLOOKUP(C158,'Reference Data 기준데이터'!$E$8:$F$30,2,FALSE),""))</f>
        <v/>
      </c>
      <c r="E158" s="14" t="n"/>
      <c r="F158" s="15">
        <f>IF(B158="","",IFERROR(VLOOKUP(E158,'Reference Data 기준데이터'!$A$8:$F$30,2,FALSE),""))</f>
        <v/>
      </c>
      <c r="G158" s="15">
        <f>IF(B158="","",IFERROR(VLOOKUP(B158&amp;"_"&amp;C158,'Reference Data 기준데이터'!$A$33:$B$51,2,FALSE),""))</f>
        <v/>
      </c>
      <c r="H158" s="16">
        <f>IF(B158="","",IFERROR(VLOOKUP(B158,'Reference Data 기준데이터'!$A$2:$J$5,3,FALSE),""))</f>
        <v/>
      </c>
      <c r="I158" s="16">
        <f>IF(B158="","",IFERROR(H158+VLOOKUP(B158,'Reference Data 기준데이터'!$A$2:$J$5,7,FALSE),""))</f>
        <v/>
      </c>
      <c r="J158" s="20" t="n"/>
      <c r="K158" s="13" t="n"/>
      <c r="L158" s="16">
        <f>IF(B158="","",IFERROR(H158+VLOOKUP(B158,'Reference Data 기준데이터'!$A$2:$J$5,8,FALSE),""))</f>
        <v/>
      </c>
      <c r="M158" s="20" t="n"/>
      <c r="N158" s="16">
        <f>IF(B158="","",IFERROR(IF(ISNUMBER(SEARCH("Vehicle",F158)),MAX(H158+VLOOKUP(B158,'Reference Data 기준데이터'!$A$2:$J$5,9,FALSE),VLOOKUP(B158,'Reference Data 기준데이터'!$A$2:$J$5,4,FALSE)),H158+VLOOKUP(B158,'Reference Data 기준데이터'!$A$2:$J$5,9,FALSE)),""))</f>
        <v/>
      </c>
      <c r="O158" s="20" t="n"/>
      <c r="P158" s="16">
        <f>IF(B158="","",IFERROR(N158+VLOOKUP(E158,'Reference Data 기준데이터'!$A$8:$F$30,4,FALSE),""))</f>
        <v/>
      </c>
      <c r="Q158" s="20" t="n"/>
      <c r="R158" s="16">
        <f>IF(B158="","",IFERROR(MIN(H158+VLOOKUP(B158,'Reference Data 기준데이터'!$A$2:$J$5,10,FALSE),VLOOKUP(B158,'Reference Data 기준데이터'!$A$2:$J$5,6,FALSE)),""))</f>
        <v/>
      </c>
      <c r="S158" s="20" t="n"/>
      <c r="T158" s="13" t="n"/>
      <c r="U158" s="17">
        <f>IF(B158="","",IF(T158&lt;&gt;"",T158,IF(AND(S158&lt;&gt;"",Q158&lt;&gt;""),"11-결과등록완료",IF(AND(Q158&lt;&gt;"",S158=""),"10-시험완료",IF(AND(O158&lt;&gt;"",Q158=""),"09-시험준비중",IF(AND(M158&lt;&gt;"",O158=""),"08-단품준비완료",IF(K158="Approved","05-계획서승인",IF(K158="Revision Needed","04-검토중_조건불만족",IF(K158="Under Review","03-검토중_조건충족",IF(AND(J158&lt;&gt;"",K158=""),"02-계획서제출_미검토","01-계획서미제출"))))))))))</f>
        <v/>
      </c>
      <c r="V158" s="18">
        <f>IF(B158="","",IFS(U158="01-계획서미제출",0,U158="02-계획서제출_미검토",0.05,U158="03-검토중_조건충족",0.1,U158="04-검토중_조건불만족",0.05,U158="05-계획서승인",0.2,U158="06-BIW생산중단",0.15,U158="07-생산완료_미인수",0.3,U158="08-단품준비완료",0.4,U158="09-시험준비중",0.55,U158="10-시험완료",0.85,U158="11-결과등록완료",1,U158="12-조건부승인검토",0.9,TRUE,0))</f>
        <v/>
      </c>
      <c r="W158" s="5">
        <f>IF(B158="","",IF(S158&lt;&gt;"","-",IF(R158="","N/A",R158-TODAY())))</f>
        <v/>
      </c>
      <c r="X158" s="17">
        <f>IF(B158="","",IF(U158="11-결과등록완료","DONE",IF(OR(U158="06-BIW생산중단",AND(U158="01-계획서미제출",I158&lt;TODAY())),"CRITICAL",IF(OR(U158="04-검토중_조건불만족",U158="07-생산완료_미인수",U158="12-조건부승인검토"),"ACTION",IF(AND(ISNUMBER(W158),W158&lt;=0),"OVERDUE",IF(AND(ISNUMBER(W158),W158&lt;=14),"WARNING","ON TRACK"))))))</f>
        <v/>
      </c>
      <c r="Y158" s="19">
        <f>IF(B158="","",IF(U158="11-결과등록완료","— 완료",IF(U158="01-계획서미제출",IF(I158&lt;TODAY(),"계획서 제출 독촉 (OVERDUE)","계획서 제출 대기"),IF(U158="02-계획서제출_미검토","설계자: 계획서 검토 착수",IF(U158="03-검토중_조건충족","설계자: 승인 처리",IF(U158="04-검토중_조건불만족","보완 요청 → 협력사 재제출 독촉",IF(U158="05-계획서승인","시험편 준비 현황 확인",IF(U158="06-BIW생산중단","BIW 생산팀 확인 → 일정 재수립",IF(U158="07-생산완료_미인수","협력사 인수 독촉",IF(U158="08-단품준비완료","시험 일정 확인",IF(U158="09-시험준비중","시험 진행 모니터링",IF(U158="10-시험완료","결과 보고서 전산 등록 독촉",IF(U158="12-조건부승인검토","조건부 승인 여부 판단 → 관련부서 협의","—")))))))))))))</f>
        <v/>
      </c>
    </row>
    <row r="159">
      <c r="A159" s="5">
        <f>IF(B159="","",ROW()-4)</f>
        <v/>
      </c>
      <c r="B159" s="13" t="n"/>
      <c r="C159" s="14" t="n"/>
      <c r="D159" s="15">
        <f>IF(B159="","",IFERROR(VLOOKUP(C159,'Reference Data 기준데이터'!$E$8:$F$30,2,FALSE),""))</f>
        <v/>
      </c>
      <c r="E159" s="14" t="n"/>
      <c r="F159" s="15">
        <f>IF(B159="","",IFERROR(VLOOKUP(E159,'Reference Data 기준데이터'!$A$8:$F$30,2,FALSE),""))</f>
        <v/>
      </c>
      <c r="G159" s="15">
        <f>IF(B159="","",IFERROR(VLOOKUP(B159&amp;"_"&amp;C159,'Reference Data 기준데이터'!$A$33:$B$51,2,FALSE),""))</f>
        <v/>
      </c>
      <c r="H159" s="16">
        <f>IF(B159="","",IFERROR(VLOOKUP(B159,'Reference Data 기준데이터'!$A$2:$J$5,3,FALSE),""))</f>
        <v/>
      </c>
      <c r="I159" s="16">
        <f>IF(B159="","",IFERROR(H159+VLOOKUP(B159,'Reference Data 기준데이터'!$A$2:$J$5,7,FALSE),""))</f>
        <v/>
      </c>
      <c r="J159" s="20" t="n"/>
      <c r="K159" s="13" t="n"/>
      <c r="L159" s="16">
        <f>IF(B159="","",IFERROR(H159+VLOOKUP(B159,'Reference Data 기준데이터'!$A$2:$J$5,8,FALSE),""))</f>
        <v/>
      </c>
      <c r="M159" s="20" t="n"/>
      <c r="N159" s="16">
        <f>IF(B159="","",IFERROR(IF(ISNUMBER(SEARCH("Vehicle",F159)),MAX(H159+VLOOKUP(B159,'Reference Data 기준데이터'!$A$2:$J$5,9,FALSE),VLOOKUP(B159,'Reference Data 기준데이터'!$A$2:$J$5,4,FALSE)),H159+VLOOKUP(B159,'Reference Data 기준데이터'!$A$2:$J$5,9,FALSE)),""))</f>
        <v/>
      </c>
      <c r="O159" s="20" t="n"/>
      <c r="P159" s="16">
        <f>IF(B159="","",IFERROR(N159+VLOOKUP(E159,'Reference Data 기준데이터'!$A$8:$F$30,4,FALSE),""))</f>
        <v/>
      </c>
      <c r="Q159" s="20" t="n"/>
      <c r="R159" s="16">
        <f>IF(B159="","",IFERROR(MIN(H159+VLOOKUP(B159,'Reference Data 기준데이터'!$A$2:$J$5,10,FALSE),VLOOKUP(B159,'Reference Data 기준데이터'!$A$2:$J$5,6,FALSE)),""))</f>
        <v/>
      </c>
      <c r="S159" s="20" t="n"/>
      <c r="T159" s="13" t="n"/>
      <c r="U159" s="17">
        <f>IF(B159="","",IF(T159&lt;&gt;"",T159,IF(AND(S159&lt;&gt;"",Q159&lt;&gt;""),"11-결과등록완료",IF(AND(Q159&lt;&gt;"",S159=""),"10-시험완료",IF(AND(O159&lt;&gt;"",Q159=""),"09-시험준비중",IF(AND(M159&lt;&gt;"",O159=""),"08-단품준비완료",IF(K159="Approved","05-계획서승인",IF(K159="Revision Needed","04-검토중_조건불만족",IF(K159="Under Review","03-검토중_조건충족",IF(AND(J159&lt;&gt;"",K159=""),"02-계획서제출_미검토","01-계획서미제출"))))))))))</f>
        <v/>
      </c>
      <c r="V159" s="18">
        <f>IF(B159="","",IFS(U159="01-계획서미제출",0,U159="02-계획서제출_미검토",0.05,U159="03-검토중_조건충족",0.1,U159="04-검토중_조건불만족",0.05,U159="05-계획서승인",0.2,U159="06-BIW생산중단",0.15,U159="07-생산완료_미인수",0.3,U159="08-단품준비완료",0.4,U159="09-시험준비중",0.55,U159="10-시험완료",0.85,U159="11-결과등록완료",1,U159="12-조건부승인검토",0.9,TRUE,0))</f>
        <v/>
      </c>
      <c r="W159" s="5">
        <f>IF(B159="","",IF(S159&lt;&gt;"","-",IF(R159="","N/A",R159-TODAY())))</f>
        <v/>
      </c>
      <c r="X159" s="17">
        <f>IF(B159="","",IF(U159="11-결과등록완료","DONE",IF(OR(U159="06-BIW생산중단",AND(U159="01-계획서미제출",I159&lt;TODAY())),"CRITICAL",IF(OR(U159="04-검토중_조건불만족",U159="07-생산완료_미인수",U159="12-조건부승인검토"),"ACTION",IF(AND(ISNUMBER(W159),W159&lt;=0),"OVERDUE",IF(AND(ISNUMBER(W159),W159&lt;=14),"WARNING","ON TRACK"))))))</f>
        <v/>
      </c>
      <c r="Y159" s="19">
        <f>IF(B159="","",IF(U159="11-결과등록완료","— 완료",IF(U159="01-계획서미제출",IF(I159&lt;TODAY(),"계획서 제출 독촉 (OVERDUE)","계획서 제출 대기"),IF(U159="02-계획서제출_미검토","설계자: 계획서 검토 착수",IF(U159="03-검토중_조건충족","설계자: 승인 처리",IF(U159="04-검토중_조건불만족","보완 요청 → 협력사 재제출 독촉",IF(U159="05-계획서승인","시험편 준비 현황 확인",IF(U159="06-BIW생산중단","BIW 생산팀 확인 → 일정 재수립",IF(U159="07-생산완료_미인수","협력사 인수 독촉",IF(U159="08-단품준비완료","시험 일정 확인",IF(U159="09-시험준비중","시험 진행 모니터링",IF(U159="10-시험완료","결과 보고서 전산 등록 독촉",IF(U159="12-조건부승인검토","조건부 승인 여부 판단 → 관련부서 협의","—")))))))))))))</f>
        <v/>
      </c>
    </row>
    <row r="160">
      <c r="A160" s="5">
        <f>IF(B160="","",ROW()-4)</f>
        <v/>
      </c>
      <c r="B160" s="13" t="n"/>
      <c r="C160" s="14" t="n"/>
      <c r="D160" s="15">
        <f>IF(B160="","",IFERROR(VLOOKUP(C160,'Reference Data 기준데이터'!$E$8:$F$30,2,FALSE),""))</f>
        <v/>
      </c>
      <c r="E160" s="14" t="n"/>
      <c r="F160" s="15">
        <f>IF(B160="","",IFERROR(VLOOKUP(E160,'Reference Data 기준데이터'!$A$8:$F$30,2,FALSE),""))</f>
        <v/>
      </c>
      <c r="G160" s="15">
        <f>IF(B160="","",IFERROR(VLOOKUP(B160&amp;"_"&amp;C160,'Reference Data 기준데이터'!$A$33:$B$51,2,FALSE),""))</f>
        <v/>
      </c>
      <c r="H160" s="16">
        <f>IF(B160="","",IFERROR(VLOOKUP(B160,'Reference Data 기준데이터'!$A$2:$J$5,3,FALSE),""))</f>
        <v/>
      </c>
      <c r="I160" s="16">
        <f>IF(B160="","",IFERROR(H160+VLOOKUP(B160,'Reference Data 기준데이터'!$A$2:$J$5,7,FALSE),""))</f>
        <v/>
      </c>
      <c r="J160" s="20" t="n"/>
      <c r="K160" s="13" t="n"/>
      <c r="L160" s="16">
        <f>IF(B160="","",IFERROR(H160+VLOOKUP(B160,'Reference Data 기준데이터'!$A$2:$J$5,8,FALSE),""))</f>
        <v/>
      </c>
      <c r="M160" s="20" t="n"/>
      <c r="N160" s="16">
        <f>IF(B160="","",IFERROR(IF(ISNUMBER(SEARCH("Vehicle",F160)),MAX(H160+VLOOKUP(B160,'Reference Data 기준데이터'!$A$2:$J$5,9,FALSE),VLOOKUP(B160,'Reference Data 기준데이터'!$A$2:$J$5,4,FALSE)),H160+VLOOKUP(B160,'Reference Data 기준데이터'!$A$2:$J$5,9,FALSE)),""))</f>
        <v/>
      </c>
      <c r="O160" s="20" t="n"/>
      <c r="P160" s="16">
        <f>IF(B160="","",IFERROR(N160+VLOOKUP(E160,'Reference Data 기준데이터'!$A$8:$F$30,4,FALSE),""))</f>
        <v/>
      </c>
      <c r="Q160" s="20" t="n"/>
      <c r="R160" s="16">
        <f>IF(B160="","",IFERROR(MIN(H160+VLOOKUP(B160,'Reference Data 기준데이터'!$A$2:$J$5,10,FALSE),VLOOKUP(B160,'Reference Data 기준데이터'!$A$2:$J$5,6,FALSE)),""))</f>
        <v/>
      </c>
      <c r="S160" s="20" t="n"/>
      <c r="T160" s="13" t="n"/>
      <c r="U160" s="17">
        <f>IF(B160="","",IF(T160&lt;&gt;"",T160,IF(AND(S160&lt;&gt;"",Q160&lt;&gt;""),"11-결과등록완료",IF(AND(Q160&lt;&gt;"",S160=""),"10-시험완료",IF(AND(O160&lt;&gt;"",Q160=""),"09-시험준비중",IF(AND(M160&lt;&gt;"",O160=""),"08-단품준비완료",IF(K160="Approved","05-계획서승인",IF(K160="Revision Needed","04-검토중_조건불만족",IF(K160="Under Review","03-검토중_조건충족",IF(AND(J160&lt;&gt;"",K160=""),"02-계획서제출_미검토","01-계획서미제출"))))))))))</f>
        <v/>
      </c>
      <c r="V160" s="18">
        <f>IF(B160="","",IFS(U160="01-계획서미제출",0,U160="02-계획서제출_미검토",0.05,U160="03-검토중_조건충족",0.1,U160="04-검토중_조건불만족",0.05,U160="05-계획서승인",0.2,U160="06-BIW생산중단",0.15,U160="07-생산완료_미인수",0.3,U160="08-단품준비완료",0.4,U160="09-시험준비중",0.55,U160="10-시험완료",0.85,U160="11-결과등록완료",1,U160="12-조건부승인검토",0.9,TRUE,0))</f>
        <v/>
      </c>
      <c r="W160" s="5">
        <f>IF(B160="","",IF(S160&lt;&gt;"","-",IF(R160="","N/A",R160-TODAY())))</f>
        <v/>
      </c>
      <c r="X160" s="17">
        <f>IF(B160="","",IF(U160="11-결과등록완료","DONE",IF(OR(U160="06-BIW생산중단",AND(U160="01-계획서미제출",I160&lt;TODAY())),"CRITICAL",IF(OR(U160="04-검토중_조건불만족",U160="07-생산완료_미인수",U160="12-조건부승인검토"),"ACTION",IF(AND(ISNUMBER(W160),W160&lt;=0),"OVERDUE",IF(AND(ISNUMBER(W160),W160&lt;=14),"WARNING","ON TRACK"))))))</f>
        <v/>
      </c>
      <c r="Y160" s="19">
        <f>IF(B160="","",IF(U160="11-결과등록완료","— 완료",IF(U160="01-계획서미제출",IF(I160&lt;TODAY(),"계획서 제출 독촉 (OVERDUE)","계획서 제출 대기"),IF(U160="02-계획서제출_미검토","설계자: 계획서 검토 착수",IF(U160="03-검토중_조건충족","설계자: 승인 처리",IF(U160="04-검토중_조건불만족","보완 요청 → 협력사 재제출 독촉",IF(U160="05-계획서승인","시험편 준비 현황 확인",IF(U160="06-BIW생산중단","BIW 생산팀 확인 → 일정 재수립",IF(U160="07-생산완료_미인수","협력사 인수 독촉",IF(U160="08-단품준비완료","시험 일정 확인",IF(U160="09-시험준비중","시험 진행 모니터링",IF(U160="10-시험완료","결과 보고서 전산 등록 독촉",IF(U160="12-조건부승인검토","조건부 승인 여부 판단 → 관련부서 협의","—")))))))))))))</f>
        <v/>
      </c>
    </row>
    <row r="161">
      <c r="A161" s="5">
        <f>IF(B161="","",ROW()-4)</f>
        <v/>
      </c>
      <c r="B161" s="13" t="n"/>
      <c r="C161" s="14" t="n"/>
      <c r="D161" s="15">
        <f>IF(B161="","",IFERROR(VLOOKUP(C161,'Reference Data 기준데이터'!$E$8:$F$30,2,FALSE),""))</f>
        <v/>
      </c>
      <c r="E161" s="14" t="n"/>
      <c r="F161" s="15">
        <f>IF(B161="","",IFERROR(VLOOKUP(E161,'Reference Data 기준데이터'!$A$8:$F$30,2,FALSE),""))</f>
        <v/>
      </c>
      <c r="G161" s="15">
        <f>IF(B161="","",IFERROR(VLOOKUP(B161&amp;"_"&amp;C161,'Reference Data 기준데이터'!$A$33:$B$51,2,FALSE),""))</f>
        <v/>
      </c>
      <c r="H161" s="16">
        <f>IF(B161="","",IFERROR(VLOOKUP(B161,'Reference Data 기준데이터'!$A$2:$J$5,3,FALSE),""))</f>
        <v/>
      </c>
      <c r="I161" s="16">
        <f>IF(B161="","",IFERROR(H161+VLOOKUP(B161,'Reference Data 기준데이터'!$A$2:$J$5,7,FALSE),""))</f>
        <v/>
      </c>
      <c r="J161" s="20" t="n"/>
      <c r="K161" s="13" t="n"/>
      <c r="L161" s="16">
        <f>IF(B161="","",IFERROR(H161+VLOOKUP(B161,'Reference Data 기준데이터'!$A$2:$J$5,8,FALSE),""))</f>
        <v/>
      </c>
      <c r="M161" s="20" t="n"/>
      <c r="N161" s="16">
        <f>IF(B161="","",IFERROR(IF(ISNUMBER(SEARCH("Vehicle",F161)),MAX(H161+VLOOKUP(B161,'Reference Data 기준데이터'!$A$2:$J$5,9,FALSE),VLOOKUP(B161,'Reference Data 기준데이터'!$A$2:$J$5,4,FALSE)),H161+VLOOKUP(B161,'Reference Data 기준데이터'!$A$2:$J$5,9,FALSE)),""))</f>
        <v/>
      </c>
      <c r="O161" s="20" t="n"/>
      <c r="P161" s="16">
        <f>IF(B161="","",IFERROR(N161+VLOOKUP(E161,'Reference Data 기준데이터'!$A$8:$F$30,4,FALSE),""))</f>
        <v/>
      </c>
      <c r="Q161" s="20" t="n"/>
      <c r="R161" s="16">
        <f>IF(B161="","",IFERROR(MIN(H161+VLOOKUP(B161,'Reference Data 기준데이터'!$A$2:$J$5,10,FALSE),VLOOKUP(B161,'Reference Data 기준데이터'!$A$2:$J$5,6,FALSE)),""))</f>
        <v/>
      </c>
      <c r="S161" s="20" t="n"/>
      <c r="T161" s="13" t="n"/>
      <c r="U161" s="17">
        <f>IF(B161="","",IF(T161&lt;&gt;"",T161,IF(AND(S161&lt;&gt;"",Q161&lt;&gt;""),"11-결과등록완료",IF(AND(Q161&lt;&gt;"",S161=""),"10-시험완료",IF(AND(O161&lt;&gt;"",Q161=""),"09-시험준비중",IF(AND(M161&lt;&gt;"",O161=""),"08-단품준비완료",IF(K161="Approved","05-계획서승인",IF(K161="Revision Needed","04-검토중_조건불만족",IF(K161="Under Review","03-검토중_조건충족",IF(AND(J161&lt;&gt;"",K161=""),"02-계획서제출_미검토","01-계획서미제출"))))))))))</f>
        <v/>
      </c>
      <c r="V161" s="18">
        <f>IF(B161="","",IFS(U161="01-계획서미제출",0,U161="02-계획서제출_미검토",0.05,U161="03-검토중_조건충족",0.1,U161="04-검토중_조건불만족",0.05,U161="05-계획서승인",0.2,U161="06-BIW생산중단",0.15,U161="07-생산완료_미인수",0.3,U161="08-단품준비완료",0.4,U161="09-시험준비중",0.55,U161="10-시험완료",0.85,U161="11-결과등록완료",1,U161="12-조건부승인검토",0.9,TRUE,0))</f>
        <v/>
      </c>
      <c r="W161" s="5">
        <f>IF(B161="","",IF(S161&lt;&gt;"","-",IF(R161="","N/A",R161-TODAY())))</f>
        <v/>
      </c>
      <c r="X161" s="17">
        <f>IF(B161="","",IF(U161="11-결과등록완료","DONE",IF(OR(U161="06-BIW생산중단",AND(U161="01-계획서미제출",I161&lt;TODAY())),"CRITICAL",IF(OR(U161="04-검토중_조건불만족",U161="07-생산완료_미인수",U161="12-조건부승인검토"),"ACTION",IF(AND(ISNUMBER(W161),W161&lt;=0),"OVERDUE",IF(AND(ISNUMBER(W161),W161&lt;=14),"WARNING","ON TRACK"))))))</f>
        <v/>
      </c>
      <c r="Y161" s="19">
        <f>IF(B161="","",IF(U161="11-결과등록완료","— 완료",IF(U161="01-계획서미제출",IF(I161&lt;TODAY(),"계획서 제출 독촉 (OVERDUE)","계획서 제출 대기"),IF(U161="02-계획서제출_미검토","설계자: 계획서 검토 착수",IF(U161="03-검토중_조건충족","설계자: 승인 처리",IF(U161="04-검토중_조건불만족","보완 요청 → 협력사 재제출 독촉",IF(U161="05-계획서승인","시험편 준비 현황 확인",IF(U161="06-BIW생산중단","BIW 생산팀 확인 → 일정 재수립",IF(U161="07-생산완료_미인수","협력사 인수 독촉",IF(U161="08-단품준비완료","시험 일정 확인",IF(U161="09-시험준비중","시험 진행 모니터링",IF(U161="10-시험완료","결과 보고서 전산 등록 독촉",IF(U161="12-조건부승인검토","조건부 승인 여부 판단 → 관련부서 협의","—")))))))))))))</f>
        <v/>
      </c>
    </row>
    <row r="162">
      <c r="A162" s="5">
        <f>IF(B162="","",ROW()-4)</f>
        <v/>
      </c>
      <c r="B162" s="13" t="n"/>
      <c r="C162" s="14" t="n"/>
      <c r="D162" s="15">
        <f>IF(B162="","",IFERROR(VLOOKUP(C162,'Reference Data 기준데이터'!$E$8:$F$30,2,FALSE),""))</f>
        <v/>
      </c>
      <c r="E162" s="14" t="n"/>
      <c r="F162" s="15">
        <f>IF(B162="","",IFERROR(VLOOKUP(E162,'Reference Data 기준데이터'!$A$8:$F$30,2,FALSE),""))</f>
        <v/>
      </c>
      <c r="G162" s="15">
        <f>IF(B162="","",IFERROR(VLOOKUP(B162&amp;"_"&amp;C162,'Reference Data 기준데이터'!$A$33:$B$51,2,FALSE),""))</f>
        <v/>
      </c>
      <c r="H162" s="16">
        <f>IF(B162="","",IFERROR(VLOOKUP(B162,'Reference Data 기준데이터'!$A$2:$J$5,3,FALSE),""))</f>
        <v/>
      </c>
      <c r="I162" s="16">
        <f>IF(B162="","",IFERROR(H162+VLOOKUP(B162,'Reference Data 기준데이터'!$A$2:$J$5,7,FALSE),""))</f>
        <v/>
      </c>
      <c r="J162" s="20" t="n"/>
      <c r="K162" s="13" t="n"/>
      <c r="L162" s="16">
        <f>IF(B162="","",IFERROR(H162+VLOOKUP(B162,'Reference Data 기준데이터'!$A$2:$J$5,8,FALSE),""))</f>
        <v/>
      </c>
      <c r="M162" s="20" t="n"/>
      <c r="N162" s="16">
        <f>IF(B162="","",IFERROR(IF(ISNUMBER(SEARCH("Vehicle",F162)),MAX(H162+VLOOKUP(B162,'Reference Data 기준데이터'!$A$2:$J$5,9,FALSE),VLOOKUP(B162,'Reference Data 기준데이터'!$A$2:$J$5,4,FALSE)),H162+VLOOKUP(B162,'Reference Data 기준데이터'!$A$2:$J$5,9,FALSE)),""))</f>
        <v/>
      </c>
      <c r="O162" s="20" t="n"/>
      <c r="P162" s="16">
        <f>IF(B162="","",IFERROR(N162+VLOOKUP(E162,'Reference Data 기준데이터'!$A$8:$F$30,4,FALSE),""))</f>
        <v/>
      </c>
      <c r="Q162" s="20" t="n"/>
      <c r="R162" s="16">
        <f>IF(B162="","",IFERROR(MIN(H162+VLOOKUP(B162,'Reference Data 기준데이터'!$A$2:$J$5,10,FALSE),VLOOKUP(B162,'Reference Data 기준데이터'!$A$2:$J$5,6,FALSE)),""))</f>
        <v/>
      </c>
      <c r="S162" s="20" t="n"/>
      <c r="T162" s="13" t="n"/>
      <c r="U162" s="17">
        <f>IF(B162="","",IF(T162&lt;&gt;"",T162,IF(AND(S162&lt;&gt;"",Q162&lt;&gt;""),"11-결과등록완료",IF(AND(Q162&lt;&gt;"",S162=""),"10-시험완료",IF(AND(O162&lt;&gt;"",Q162=""),"09-시험준비중",IF(AND(M162&lt;&gt;"",O162=""),"08-단품준비완료",IF(K162="Approved","05-계획서승인",IF(K162="Revision Needed","04-검토중_조건불만족",IF(K162="Under Review","03-검토중_조건충족",IF(AND(J162&lt;&gt;"",K162=""),"02-계획서제출_미검토","01-계획서미제출"))))))))))</f>
        <v/>
      </c>
      <c r="V162" s="18">
        <f>IF(B162="","",IFS(U162="01-계획서미제출",0,U162="02-계획서제출_미검토",0.05,U162="03-검토중_조건충족",0.1,U162="04-검토중_조건불만족",0.05,U162="05-계획서승인",0.2,U162="06-BIW생산중단",0.15,U162="07-생산완료_미인수",0.3,U162="08-단품준비완료",0.4,U162="09-시험준비중",0.55,U162="10-시험완료",0.85,U162="11-결과등록완료",1,U162="12-조건부승인검토",0.9,TRUE,0))</f>
        <v/>
      </c>
      <c r="W162" s="5">
        <f>IF(B162="","",IF(S162&lt;&gt;"","-",IF(R162="","N/A",R162-TODAY())))</f>
        <v/>
      </c>
      <c r="X162" s="17">
        <f>IF(B162="","",IF(U162="11-결과등록완료","DONE",IF(OR(U162="06-BIW생산중단",AND(U162="01-계획서미제출",I162&lt;TODAY())),"CRITICAL",IF(OR(U162="04-검토중_조건불만족",U162="07-생산완료_미인수",U162="12-조건부승인검토"),"ACTION",IF(AND(ISNUMBER(W162),W162&lt;=0),"OVERDUE",IF(AND(ISNUMBER(W162),W162&lt;=14),"WARNING","ON TRACK"))))))</f>
        <v/>
      </c>
      <c r="Y162" s="19">
        <f>IF(B162="","",IF(U162="11-결과등록완료","— 완료",IF(U162="01-계획서미제출",IF(I162&lt;TODAY(),"계획서 제출 독촉 (OVERDUE)","계획서 제출 대기"),IF(U162="02-계획서제출_미검토","설계자: 계획서 검토 착수",IF(U162="03-검토중_조건충족","설계자: 승인 처리",IF(U162="04-검토중_조건불만족","보완 요청 → 협력사 재제출 독촉",IF(U162="05-계획서승인","시험편 준비 현황 확인",IF(U162="06-BIW생산중단","BIW 생산팀 확인 → 일정 재수립",IF(U162="07-생산완료_미인수","협력사 인수 독촉",IF(U162="08-단품준비완료","시험 일정 확인",IF(U162="09-시험준비중","시험 진행 모니터링",IF(U162="10-시험완료","결과 보고서 전산 등록 독촉",IF(U162="12-조건부승인검토","조건부 승인 여부 판단 → 관련부서 협의","—")))))))))))))</f>
        <v/>
      </c>
    </row>
    <row r="163">
      <c r="A163" s="5">
        <f>IF(B163="","",ROW()-4)</f>
        <v/>
      </c>
      <c r="B163" s="13" t="n"/>
      <c r="C163" s="14" t="n"/>
      <c r="D163" s="15">
        <f>IF(B163="","",IFERROR(VLOOKUP(C163,'Reference Data 기준데이터'!$E$8:$F$30,2,FALSE),""))</f>
        <v/>
      </c>
      <c r="E163" s="14" t="n"/>
      <c r="F163" s="15">
        <f>IF(B163="","",IFERROR(VLOOKUP(E163,'Reference Data 기준데이터'!$A$8:$F$30,2,FALSE),""))</f>
        <v/>
      </c>
      <c r="G163" s="15">
        <f>IF(B163="","",IFERROR(VLOOKUP(B163&amp;"_"&amp;C163,'Reference Data 기준데이터'!$A$33:$B$51,2,FALSE),""))</f>
        <v/>
      </c>
      <c r="H163" s="16">
        <f>IF(B163="","",IFERROR(VLOOKUP(B163,'Reference Data 기준데이터'!$A$2:$J$5,3,FALSE),""))</f>
        <v/>
      </c>
      <c r="I163" s="16">
        <f>IF(B163="","",IFERROR(H163+VLOOKUP(B163,'Reference Data 기준데이터'!$A$2:$J$5,7,FALSE),""))</f>
        <v/>
      </c>
      <c r="J163" s="20" t="n"/>
      <c r="K163" s="13" t="n"/>
      <c r="L163" s="16">
        <f>IF(B163="","",IFERROR(H163+VLOOKUP(B163,'Reference Data 기준데이터'!$A$2:$J$5,8,FALSE),""))</f>
        <v/>
      </c>
      <c r="M163" s="20" t="n"/>
      <c r="N163" s="16">
        <f>IF(B163="","",IFERROR(IF(ISNUMBER(SEARCH("Vehicle",F163)),MAX(H163+VLOOKUP(B163,'Reference Data 기준데이터'!$A$2:$J$5,9,FALSE),VLOOKUP(B163,'Reference Data 기준데이터'!$A$2:$J$5,4,FALSE)),H163+VLOOKUP(B163,'Reference Data 기준데이터'!$A$2:$J$5,9,FALSE)),""))</f>
        <v/>
      </c>
      <c r="O163" s="20" t="n"/>
      <c r="P163" s="16">
        <f>IF(B163="","",IFERROR(N163+VLOOKUP(E163,'Reference Data 기준데이터'!$A$8:$F$30,4,FALSE),""))</f>
        <v/>
      </c>
      <c r="Q163" s="20" t="n"/>
      <c r="R163" s="16">
        <f>IF(B163="","",IFERROR(MIN(H163+VLOOKUP(B163,'Reference Data 기준데이터'!$A$2:$J$5,10,FALSE),VLOOKUP(B163,'Reference Data 기준데이터'!$A$2:$J$5,6,FALSE)),""))</f>
        <v/>
      </c>
      <c r="S163" s="20" t="n"/>
      <c r="T163" s="13" t="n"/>
      <c r="U163" s="17">
        <f>IF(B163="","",IF(T163&lt;&gt;"",T163,IF(AND(S163&lt;&gt;"",Q163&lt;&gt;""),"11-결과등록완료",IF(AND(Q163&lt;&gt;"",S163=""),"10-시험완료",IF(AND(O163&lt;&gt;"",Q163=""),"09-시험준비중",IF(AND(M163&lt;&gt;"",O163=""),"08-단품준비완료",IF(K163="Approved","05-계획서승인",IF(K163="Revision Needed","04-검토중_조건불만족",IF(K163="Under Review","03-검토중_조건충족",IF(AND(J163&lt;&gt;"",K163=""),"02-계획서제출_미검토","01-계획서미제출"))))))))))</f>
        <v/>
      </c>
      <c r="V163" s="18">
        <f>IF(B163="","",IFS(U163="01-계획서미제출",0,U163="02-계획서제출_미검토",0.05,U163="03-검토중_조건충족",0.1,U163="04-검토중_조건불만족",0.05,U163="05-계획서승인",0.2,U163="06-BIW생산중단",0.15,U163="07-생산완료_미인수",0.3,U163="08-단품준비완료",0.4,U163="09-시험준비중",0.55,U163="10-시험완료",0.85,U163="11-결과등록완료",1,U163="12-조건부승인검토",0.9,TRUE,0))</f>
        <v/>
      </c>
      <c r="W163" s="5">
        <f>IF(B163="","",IF(S163&lt;&gt;"","-",IF(R163="","N/A",R163-TODAY())))</f>
        <v/>
      </c>
      <c r="X163" s="17">
        <f>IF(B163="","",IF(U163="11-결과등록완료","DONE",IF(OR(U163="06-BIW생산중단",AND(U163="01-계획서미제출",I163&lt;TODAY())),"CRITICAL",IF(OR(U163="04-검토중_조건불만족",U163="07-생산완료_미인수",U163="12-조건부승인검토"),"ACTION",IF(AND(ISNUMBER(W163),W163&lt;=0),"OVERDUE",IF(AND(ISNUMBER(W163),W163&lt;=14),"WARNING","ON TRACK"))))))</f>
        <v/>
      </c>
      <c r="Y163" s="19">
        <f>IF(B163="","",IF(U163="11-결과등록완료","— 완료",IF(U163="01-계획서미제출",IF(I163&lt;TODAY(),"계획서 제출 독촉 (OVERDUE)","계획서 제출 대기"),IF(U163="02-계획서제출_미검토","설계자: 계획서 검토 착수",IF(U163="03-검토중_조건충족","설계자: 승인 처리",IF(U163="04-검토중_조건불만족","보완 요청 → 협력사 재제출 독촉",IF(U163="05-계획서승인","시험편 준비 현황 확인",IF(U163="06-BIW생산중단","BIW 생산팀 확인 → 일정 재수립",IF(U163="07-생산완료_미인수","협력사 인수 독촉",IF(U163="08-단품준비완료","시험 일정 확인",IF(U163="09-시험준비중","시험 진행 모니터링",IF(U163="10-시험완료","결과 보고서 전산 등록 독촉",IF(U163="12-조건부승인검토","조건부 승인 여부 판단 → 관련부서 협의","—")))))))))))))</f>
        <v/>
      </c>
    </row>
    <row r="164">
      <c r="A164" s="5">
        <f>IF(B164="","",ROW()-4)</f>
        <v/>
      </c>
      <c r="B164" s="13" t="n"/>
      <c r="C164" s="14" t="n"/>
      <c r="D164" s="15">
        <f>IF(B164="","",IFERROR(VLOOKUP(C164,'Reference Data 기준데이터'!$E$8:$F$30,2,FALSE),""))</f>
        <v/>
      </c>
      <c r="E164" s="14" t="n"/>
      <c r="F164" s="15">
        <f>IF(B164="","",IFERROR(VLOOKUP(E164,'Reference Data 기준데이터'!$A$8:$F$30,2,FALSE),""))</f>
        <v/>
      </c>
      <c r="G164" s="15">
        <f>IF(B164="","",IFERROR(VLOOKUP(B164&amp;"_"&amp;C164,'Reference Data 기준데이터'!$A$33:$B$51,2,FALSE),""))</f>
        <v/>
      </c>
      <c r="H164" s="16">
        <f>IF(B164="","",IFERROR(VLOOKUP(B164,'Reference Data 기준데이터'!$A$2:$J$5,3,FALSE),""))</f>
        <v/>
      </c>
      <c r="I164" s="16">
        <f>IF(B164="","",IFERROR(H164+VLOOKUP(B164,'Reference Data 기준데이터'!$A$2:$J$5,7,FALSE),""))</f>
        <v/>
      </c>
      <c r="J164" s="20" t="n"/>
      <c r="K164" s="13" t="n"/>
      <c r="L164" s="16">
        <f>IF(B164="","",IFERROR(H164+VLOOKUP(B164,'Reference Data 기준데이터'!$A$2:$J$5,8,FALSE),""))</f>
        <v/>
      </c>
      <c r="M164" s="20" t="n"/>
      <c r="N164" s="16">
        <f>IF(B164="","",IFERROR(IF(ISNUMBER(SEARCH("Vehicle",F164)),MAX(H164+VLOOKUP(B164,'Reference Data 기준데이터'!$A$2:$J$5,9,FALSE),VLOOKUP(B164,'Reference Data 기준데이터'!$A$2:$J$5,4,FALSE)),H164+VLOOKUP(B164,'Reference Data 기준데이터'!$A$2:$J$5,9,FALSE)),""))</f>
        <v/>
      </c>
      <c r="O164" s="20" t="n"/>
      <c r="P164" s="16">
        <f>IF(B164="","",IFERROR(N164+VLOOKUP(E164,'Reference Data 기준데이터'!$A$8:$F$30,4,FALSE),""))</f>
        <v/>
      </c>
      <c r="Q164" s="20" t="n"/>
      <c r="R164" s="16">
        <f>IF(B164="","",IFERROR(MIN(H164+VLOOKUP(B164,'Reference Data 기준데이터'!$A$2:$J$5,10,FALSE),VLOOKUP(B164,'Reference Data 기준데이터'!$A$2:$J$5,6,FALSE)),""))</f>
        <v/>
      </c>
      <c r="S164" s="20" t="n"/>
      <c r="T164" s="13" t="n"/>
      <c r="U164" s="17">
        <f>IF(B164="","",IF(T164&lt;&gt;"",T164,IF(AND(S164&lt;&gt;"",Q164&lt;&gt;""),"11-결과등록완료",IF(AND(Q164&lt;&gt;"",S164=""),"10-시험완료",IF(AND(O164&lt;&gt;"",Q164=""),"09-시험준비중",IF(AND(M164&lt;&gt;"",O164=""),"08-단품준비완료",IF(K164="Approved","05-계획서승인",IF(K164="Revision Needed","04-검토중_조건불만족",IF(K164="Under Review","03-검토중_조건충족",IF(AND(J164&lt;&gt;"",K164=""),"02-계획서제출_미검토","01-계획서미제출"))))))))))</f>
        <v/>
      </c>
      <c r="V164" s="18">
        <f>IF(B164="","",IFS(U164="01-계획서미제출",0,U164="02-계획서제출_미검토",0.05,U164="03-검토중_조건충족",0.1,U164="04-검토중_조건불만족",0.05,U164="05-계획서승인",0.2,U164="06-BIW생산중단",0.15,U164="07-생산완료_미인수",0.3,U164="08-단품준비완료",0.4,U164="09-시험준비중",0.55,U164="10-시험완료",0.85,U164="11-결과등록완료",1,U164="12-조건부승인검토",0.9,TRUE,0))</f>
        <v/>
      </c>
      <c r="W164" s="5">
        <f>IF(B164="","",IF(S164&lt;&gt;"","-",IF(R164="","N/A",R164-TODAY())))</f>
        <v/>
      </c>
      <c r="X164" s="17">
        <f>IF(B164="","",IF(U164="11-결과등록완료","DONE",IF(OR(U164="06-BIW생산중단",AND(U164="01-계획서미제출",I164&lt;TODAY())),"CRITICAL",IF(OR(U164="04-검토중_조건불만족",U164="07-생산완료_미인수",U164="12-조건부승인검토"),"ACTION",IF(AND(ISNUMBER(W164),W164&lt;=0),"OVERDUE",IF(AND(ISNUMBER(W164),W164&lt;=14),"WARNING","ON TRACK"))))))</f>
        <v/>
      </c>
      <c r="Y164" s="19">
        <f>IF(B164="","",IF(U164="11-결과등록완료","— 완료",IF(U164="01-계획서미제출",IF(I164&lt;TODAY(),"계획서 제출 독촉 (OVERDUE)","계획서 제출 대기"),IF(U164="02-계획서제출_미검토","설계자: 계획서 검토 착수",IF(U164="03-검토중_조건충족","설계자: 승인 처리",IF(U164="04-검토중_조건불만족","보완 요청 → 협력사 재제출 독촉",IF(U164="05-계획서승인","시험편 준비 현황 확인",IF(U164="06-BIW생산중단","BIW 생산팀 확인 → 일정 재수립",IF(U164="07-생산완료_미인수","협력사 인수 독촉",IF(U164="08-단품준비완료","시험 일정 확인",IF(U164="09-시험준비중","시험 진행 모니터링",IF(U164="10-시험완료","결과 보고서 전산 등록 독촉",IF(U164="12-조건부승인검토","조건부 승인 여부 판단 → 관련부서 협의","—")))))))))))))</f>
        <v/>
      </c>
    </row>
    <row r="165">
      <c r="A165" s="5">
        <f>IF(B165="","",ROW()-4)</f>
        <v/>
      </c>
      <c r="B165" s="13" t="n"/>
      <c r="C165" s="14" t="n"/>
      <c r="D165" s="15">
        <f>IF(B165="","",IFERROR(VLOOKUP(C165,'Reference Data 기준데이터'!$E$8:$F$30,2,FALSE),""))</f>
        <v/>
      </c>
      <c r="E165" s="14" t="n"/>
      <c r="F165" s="15">
        <f>IF(B165="","",IFERROR(VLOOKUP(E165,'Reference Data 기준데이터'!$A$8:$F$30,2,FALSE),""))</f>
        <v/>
      </c>
      <c r="G165" s="15">
        <f>IF(B165="","",IFERROR(VLOOKUP(B165&amp;"_"&amp;C165,'Reference Data 기준데이터'!$A$33:$B$51,2,FALSE),""))</f>
        <v/>
      </c>
      <c r="H165" s="16">
        <f>IF(B165="","",IFERROR(VLOOKUP(B165,'Reference Data 기준데이터'!$A$2:$J$5,3,FALSE),""))</f>
        <v/>
      </c>
      <c r="I165" s="16">
        <f>IF(B165="","",IFERROR(H165+VLOOKUP(B165,'Reference Data 기준데이터'!$A$2:$J$5,7,FALSE),""))</f>
        <v/>
      </c>
      <c r="J165" s="20" t="n"/>
      <c r="K165" s="13" t="n"/>
      <c r="L165" s="16">
        <f>IF(B165="","",IFERROR(H165+VLOOKUP(B165,'Reference Data 기준데이터'!$A$2:$J$5,8,FALSE),""))</f>
        <v/>
      </c>
      <c r="M165" s="20" t="n"/>
      <c r="N165" s="16">
        <f>IF(B165="","",IFERROR(IF(ISNUMBER(SEARCH("Vehicle",F165)),MAX(H165+VLOOKUP(B165,'Reference Data 기준데이터'!$A$2:$J$5,9,FALSE),VLOOKUP(B165,'Reference Data 기준데이터'!$A$2:$J$5,4,FALSE)),H165+VLOOKUP(B165,'Reference Data 기준데이터'!$A$2:$J$5,9,FALSE)),""))</f>
        <v/>
      </c>
      <c r="O165" s="20" t="n"/>
      <c r="P165" s="16">
        <f>IF(B165="","",IFERROR(N165+VLOOKUP(E165,'Reference Data 기준데이터'!$A$8:$F$30,4,FALSE),""))</f>
        <v/>
      </c>
      <c r="Q165" s="20" t="n"/>
      <c r="R165" s="16">
        <f>IF(B165="","",IFERROR(MIN(H165+VLOOKUP(B165,'Reference Data 기준데이터'!$A$2:$J$5,10,FALSE),VLOOKUP(B165,'Reference Data 기준데이터'!$A$2:$J$5,6,FALSE)),""))</f>
        <v/>
      </c>
      <c r="S165" s="20" t="n"/>
      <c r="T165" s="13" t="n"/>
      <c r="U165" s="17">
        <f>IF(B165="","",IF(T165&lt;&gt;"",T165,IF(AND(S165&lt;&gt;"",Q165&lt;&gt;""),"11-결과등록완료",IF(AND(Q165&lt;&gt;"",S165=""),"10-시험완료",IF(AND(O165&lt;&gt;"",Q165=""),"09-시험준비중",IF(AND(M165&lt;&gt;"",O165=""),"08-단품준비완료",IF(K165="Approved","05-계획서승인",IF(K165="Revision Needed","04-검토중_조건불만족",IF(K165="Under Review","03-검토중_조건충족",IF(AND(J165&lt;&gt;"",K165=""),"02-계획서제출_미검토","01-계획서미제출"))))))))))</f>
        <v/>
      </c>
      <c r="V165" s="18">
        <f>IF(B165="","",IFS(U165="01-계획서미제출",0,U165="02-계획서제출_미검토",0.05,U165="03-검토중_조건충족",0.1,U165="04-검토중_조건불만족",0.05,U165="05-계획서승인",0.2,U165="06-BIW생산중단",0.15,U165="07-생산완료_미인수",0.3,U165="08-단품준비완료",0.4,U165="09-시험준비중",0.55,U165="10-시험완료",0.85,U165="11-결과등록완료",1,U165="12-조건부승인검토",0.9,TRUE,0))</f>
        <v/>
      </c>
      <c r="W165" s="5">
        <f>IF(B165="","",IF(S165&lt;&gt;"","-",IF(R165="","N/A",R165-TODAY())))</f>
        <v/>
      </c>
      <c r="X165" s="17">
        <f>IF(B165="","",IF(U165="11-결과등록완료","DONE",IF(OR(U165="06-BIW생산중단",AND(U165="01-계획서미제출",I165&lt;TODAY())),"CRITICAL",IF(OR(U165="04-검토중_조건불만족",U165="07-생산완료_미인수",U165="12-조건부승인검토"),"ACTION",IF(AND(ISNUMBER(W165),W165&lt;=0),"OVERDUE",IF(AND(ISNUMBER(W165),W165&lt;=14),"WARNING","ON TRACK"))))))</f>
        <v/>
      </c>
      <c r="Y165" s="19">
        <f>IF(B165="","",IF(U165="11-결과등록완료","— 완료",IF(U165="01-계획서미제출",IF(I165&lt;TODAY(),"계획서 제출 독촉 (OVERDUE)","계획서 제출 대기"),IF(U165="02-계획서제출_미검토","설계자: 계획서 검토 착수",IF(U165="03-검토중_조건충족","설계자: 승인 처리",IF(U165="04-검토중_조건불만족","보완 요청 → 협력사 재제출 독촉",IF(U165="05-계획서승인","시험편 준비 현황 확인",IF(U165="06-BIW생산중단","BIW 생산팀 확인 → 일정 재수립",IF(U165="07-생산완료_미인수","협력사 인수 독촉",IF(U165="08-단품준비완료","시험 일정 확인",IF(U165="09-시험준비중","시험 진행 모니터링",IF(U165="10-시험완료","결과 보고서 전산 등록 독촉",IF(U165="12-조건부승인검토","조건부 승인 여부 판단 → 관련부서 협의","—")))))))))))))</f>
        <v/>
      </c>
    </row>
    <row r="166">
      <c r="A166" s="5">
        <f>IF(B166="","",ROW()-4)</f>
        <v/>
      </c>
      <c r="B166" s="13" t="n"/>
      <c r="C166" s="14" t="n"/>
      <c r="D166" s="15">
        <f>IF(B166="","",IFERROR(VLOOKUP(C166,'Reference Data 기준데이터'!$E$8:$F$30,2,FALSE),""))</f>
        <v/>
      </c>
      <c r="E166" s="14" t="n"/>
      <c r="F166" s="15">
        <f>IF(B166="","",IFERROR(VLOOKUP(E166,'Reference Data 기준데이터'!$A$8:$F$30,2,FALSE),""))</f>
        <v/>
      </c>
      <c r="G166" s="15">
        <f>IF(B166="","",IFERROR(VLOOKUP(B166&amp;"_"&amp;C166,'Reference Data 기준데이터'!$A$33:$B$51,2,FALSE),""))</f>
        <v/>
      </c>
      <c r="H166" s="16">
        <f>IF(B166="","",IFERROR(VLOOKUP(B166,'Reference Data 기준데이터'!$A$2:$J$5,3,FALSE),""))</f>
        <v/>
      </c>
      <c r="I166" s="16">
        <f>IF(B166="","",IFERROR(H166+VLOOKUP(B166,'Reference Data 기준데이터'!$A$2:$J$5,7,FALSE),""))</f>
        <v/>
      </c>
      <c r="J166" s="20" t="n"/>
      <c r="K166" s="13" t="n"/>
      <c r="L166" s="16">
        <f>IF(B166="","",IFERROR(H166+VLOOKUP(B166,'Reference Data 기준데이터'!$A$2:$J$5,8,FALSE),""))</f>
        <v/>
      </c>
      <c r="M166" s="20" t="n"/>
      <c r="N166" s="16">
        <f>IF(B166="","",IFERROR(IF(ISNUMBER(SEARCH("Vehicle",F166)),MAX(H166+VLOOKUP(B166,'Reference Data 기준데이터'!$A$2:$J$5,9,FALSE),VLOOKUP(B166,'Reference Data 기준데이터'!$A$2:$J$5,4,FALSE)),H166+VLOOKUP(B166,'Reference Data 기준데이터'!$A$2:$J$5,9,FALSE)),""))</f>
        <v/>
      </c>
      <c r="O166" s="20" t="n"/>
      <c r="P166" s="16">
        <f>IF(B166="","",IFERROR(N166+VLOOKUP(E166,'Reference Data 기준데이터'!$A$8:$F$30,4,FALSE),""))</f>
        <v/>
      </c>
      <c r="Q166" s="20" t="n"/>
      <c r="R166" s="16">
        <f>IF(B166="","",IFERROR(MIN(H166+VLOOKUP(B166,'Reference Data 기준데이터'!$A$2:$J$5,10,FALSE),VLOOKUP(B166,'Reference Data 기준데이터'!$A$2:$J$5,6,FALSE)),""))</f>
        <v/>
      </c>
      <c r="S166" s="20" t="n"/>
      <c r="T166" s="13" t="n"/>
      <c r="U166" s="17">
        <f>IF(B166="","",IF(T166&lt;&gt;"",T166,IF(AND(S166&lt;&gt;"",Q166&lt;&gt;""),"11-결과등록완료",IF(AND(Q166&lt;&gt;"",S166=""),"10-시험완료",IF(AND(O166&lt;&gt;"",Q166=""),"09-시험준비중",IF(AND(M166&lt;&gt;"",O166=""),"08-단품준비완료",IF(K166="Approved","05-계획서승인",IF(K166="Revision Needed","04-검토중_조건불만족",IF(K166="Under Review","03-검토중_조건충족",IF(AND(J166&lt;&gt;"",K166=""),"02-계획서제출_미검토","01-계획서미제출"))))))))))</f>
        <v/>
      </c>
      <c r="V166" s="18">
        <f>IF(B166="","",IFS(U166="01-계획서미제출",0,U166="02-계획서제출_미검토",0.05,U166="03-검토중_조건충족",0.1,U166="04-검토중_조건불만족",0.05,U166="05-계획서승인",0.2,U166="06-BIW생산중단",0.15,U166="07-생산완료_미인수",0.3,U166="08-단품준비완료",0.4,U166="09-시험준비중",0.55,U166="10-시험완료",0.85,U166="11-결과등록완료",1,U166="12-조건부승인검토",0.9,TRUE,0))</f>
        <v/>
      </c>
      <c r="W166" s="5">
        <f>IF(B166="","",IF(S166&lt;&gt;"","-",IF(R166="","N/A",R166-TODAY())))</f>
        <v/>
      </c>
      <c r="X166" s="17">
        <f>IF(B166="","",IF(U166="11-결과등록완료","DONE",IF(OR(U166="06-BIW생산중단",AND(U166="01-계획서미제출",I166&lt;TODAY())),"CRITICAL",IF(OR(U166="04-검토중_조건불만족",U166="07-생산완료_미인수",U166="12-조건부승인검토"),"ACTION",IF(AND(ISNUMBER(W166),W166&lt;=0),"OVERDUE",IF(AND(ISNUMBER(W166),W166&lt;=14),"WARNING","ON TRACK"))))))</f>
        <v/>
      </c>
      <c r="Y166" s="19">
        <f>IF(B166="","",IF(U166="11-결과등록완료","— 완료",IF(U166="01-계획서미제출",IF(I166&lt;TODAY(),"계획서 제출 독촉 (OVERDUE)","계획서 제출 대기"),IF(U166="02-계획서제출_미검토","설계자: 계획서 검토 착수",IF(U166="03-검토중_조건충족","설계자: 승인 처리",IF(U166="04-검토중_조건불만족","보완 요청 → 협력사 재제출 독촉",IF(U166="05-계획서승인","시험편 준비 현황 확인",IF(U166="06-BIW생산중단","BIW 생산팀 확인 → 일정 재수립",IF(U166="07-생산완료_미인수","협력사 인수 독촉",IF(U166="08-단품준비완료","시험 일정 확인",IF(U166="09-시험준비중","시험 진행 모니터링",IF(U166="10-시험완료","결과 보고서 전산 등록 독촉",IF(U166="12-조건부승인검토","조건부 승인 여부 판단 → 관련부서 협의","—")))))))))))))</f>
        <v/>
      </c>
    </row>
    <row r="167">
      <c r="A167" s="5">
        <f>IF(B167="","",ROW()-4)</f>
        <v/>
      </c>
      <c r="B167" s="13" t="n"/>
      <c r="C167" s="14" t="n"/>
      <c r="D167" s="15">
        <f>IF(B167="","",IFERROR(VLOOKUP(C167,'Reference Data 기준데이터'!$E$8:$F$30,2,FALSE),""))</f>
        <v/>
      </c>
      <c r="E167" s="14" t="n"/>
      <c r="F167" s="15">
        <f>IF(B167="","",IFERROR(VLOOKUP(E167,'Reference Data 기준데이터'!$A$8:$F$30,2,FALSE),""))</f>
        <v/>
      </c>
      <c r="G167" s="15">
        <f>IF(B167="","",IFERROR(VLOOKUP(B167&amp;"_"&amp;C167,'Reference Data 기준데이터'!$A$33:$B$51,2,FALSE),""))</f>
        <v/>
      </c>
      <c r="H167" s="16">
        <f>IF(B167="","",IFERROR(VLOOKUP(B167,'Reference Data 기준데이터'!$A$2:$J$5,3,FALSE),""))</f>
        <v/>
      </c>
      <c r="I167" s="16">
        <f>IF(B167="","",IFERROR(H167+VLOOKUP(B167,'Reference Data 기준데이터'!$A$2:$J$5,7,FALSE),""))</f>
        <v/>
      </c>
      <c r="J167" s="20" t="n"/>
      <c r="K167" s="13" t="n"/>
      <c r="L167" s="16">
        <f>IF(B167="","",IFERROR(H167+VLOOKUP(B167,'Reference Data 기준데이터'!$A$2:$J$5,8,FALSE),""))</f>
        <v/>
      </c>
      <c r="M167" s="20" t="n"/>
      <c r="N167" s="16">
        <f>IF(B167="","",IFERROR(IF(ISNUMBER(SEARCH("Vehicle",F167)),MAX(H167+VLOOKUP(B167,'Reference Data 기준데이터'!$A$2:$J$5,9,FALSE),VLOOKUP(B167,'Reference Data 기준데이터'!$A$2:$J$5,4,FALSE)),H167+VLOOKUP(B167,'Reference Data 기준데이터'!$A$2:$J$5,9,FALSE)),""))</f>
        <v/>
      </c>
      <c r="O167" s="20" t="n"/>
      <c r="P167" s="16">
        <f>IF(B167="","",IFERROR(N167+VLOOKUP(E167,'Reference Data 기준데이터'!$A$8:$F$30,4,FALSE),""))</f>
        <v/>
      </c>
      <c r="Q167" s="20" t="n"/>
      <c r="R167" s="16">
        <f>IF(B167="","",IFERROR(MIN(H167+VLOOKUP(B167,'Reference Data 기준데이터'!$A$2:$J$5,10,FALSE),VLOOKUP(B167,'Reference Data 기준데이터'!$A$2:$J$5,6,FALSE)),""))</f>
        <v/>
      </c>
      <c r="S167" s="20" t="n"/>
      <c r="T167" s="13" t="n"/>
      <c r="U167" s="17">
        <f>IF(B167="","",IF(T167&lt;&gt;"",T167,IF(AND(S167&lt;&gt;"",Q167&lt;&gt;""),"11-결과등록완료",IF(AND(Q167&lt;&gt;"",S167=""),"10-시험완료",IF(AND(O167&lt;&gt;"",Q167=""),"09-시험준비중",IF(AND(M167&lt;&gt;"",O167=""),"08-단품준비완료",IF(K167="Approved","05-계획서승인",IF(K167="Revision Needed","04-검토중_조건불만족",IF(K167="Under Review","03-검토중_조건충족",IF(AND(J167&lt;&gt;"",K167=""),"02-계획서제출_미검토","01-계획서미제출"))))))))))</f>
        <v/>
      </c>
      <c r="V167" s="18">
        <f>IF(B167="","",IFS(U167="01-계획서미제출",0,U167="02-계획서제출_미검토",0.05,U167="03-검토중_조건충족",0.1,U167="04-검토중_조건불만족",0.05,U167="05-계획서승인",0.2,U167="06-BIW생산중단",0.15,U167="07-생산완료_미인수",0.3,U167="08-단품준비완료",0.4,U167="09-시험준비중",0.55,U167="10-시험완료",0.85,U167="11-결과등록완료",1,U167="12-조건부승인검토",0.9,TRUE,0))</f>
        <v/>
      </c>
      <c r="W167" s="5">
        <f>IF(B167="","",IF(S167&lt;&gt;"","-",IF(R167="","N/A",R167-TODAY())))</f>
        <v/>
      </c>
      <c r="X167" s="17">
        <f>IF(B167="","",IF(U167="11-결과등록완료","DONE",IF(OR(U167="06-BIW생산중단",AND(U167="01-계획서미제출",I167&lt;TODAY())),"CRITICAL",IF(OR(U167="04-검토중_조건불만족",U167="07-생산완료_미인수",U167="12-조건부승인검토"),"ACTION",IF(AND(ISNUMBER(W167),W167&lt;=0),"OVERDUE",IF(AND(ISNUMBER(W167),W167&lt;=14),"WARNING","ON TRACK"))))))</f>
        <v/>
      </c>
      <c r="Y167" s="19">
        <f>IF(B167="","",IF(U167="11-결과등록완료","— 완료",IF(U167="01-계획서미제출",IF(I167&lt;TODAY(),"계획서 제출 독촉 (OVERDUE)","계획서 제출 대기"),IF(U167="02-계획서제출_미검토","설계자: 계획서 검토 착수",IF(U167="03-검토중_조건충족","설계자: 승인 처리",IF(U167="04-검토중_조건불만족","보완 요청 → 협력사 재제출 독촉",IF(U167="05-계획서승인","시험편 준비 현황 확인",IF(U167="06-BIW생산중단","BIW 생산팀 확인 → 일정 재수립",IF(U167="07-생산완료_미인수","협력사 인수 독촉",IF(U167="08-단품준비완료","시험 일정 확인",IF(U167="09-시험준비중","시험 진행 모니터링",IF(U167="10-시험완료","결과 보고서 전산 등록 독촉",IF(U167="12-조건부승인검토","조건부 승인 여부 판단 → 관련부서 협의","—")))))))))))))</f>
        <v/>
      </c>
    </row>
    <row r="168">
      <c r="A168" s="5">
        <f>IF(B168="","",ROW()-4)</f>
        <v/>
      </c>
      <c r="B168" s="13" t="n"/>
      <c r="C168" s="14" t="n"/>
      <c r="D168" s="15">
        <f>IF(B168="","",IFERROR(VLOOKUP(C168,'Reference Data 기준데이터'!$E$8:$F$30,2,FALSE),""))</f>
        <v/>
      </c>
      <c r="E168" s="14" t="n"/>
      <c r="F168" s="15">
        <f>IF(B168="","",IFERROR(VLOOKUP(E168,'Reference Data 기준데이터'!$A$8:$F$30,2,FALSE),""))</f>
        <v/>
      </c>
      <c r="G168" s="15">
        <f>IF(B168="","",IFERROR(VLOOKUP(B168&amp;"_"&amp;C168,'Reference Data 기준데이터'!$A$33:$B$51,2,FALSE),""))</f>
        <v/>
      </c>
      <c r="H168" s="16">
        <f>IF(B168="","",IFERROR(VLOOKUP(B168,'Reference Data 기준데이터'!$A$2:$J$5,3,FALSE),""))</f>
        <v/>
      </c>
      <c r="I168" s="16">
        <f>IF(B168="","",IFERROR(H168+VLOOKUP(B168,'Reference Data 기준데이터'!$A$2:$J$5,7,FALSE),""))</f>
        <v/>
      </c>
      <c r="J168" s="20" t="n"/>
      <c r="K168" s="13" t="n"/>
      <c r="L168" s="16">
        <f>IF(B168="","",IFERROR(H168+VLOOKUP(B168,'Reference Data 기준데이터'!$A$2:$J$5,8,FALSE),""))</f>
        <v/>
      </c>
      <c r="M168" s="20" t="n"/>
      <c r="N168" s="16">
        <f>IF(B168="","",IFERROR(IF(ISNUMBER(SEARCH("Vehicle",F168)),MAX(H168+VLOOKUP(B168,'Reference Data 기준데이터'!$A$2:$J$5,9,FALSE),VLOOKUP(B168,'Reference Data 기준데이터'!$A$2:$J$5,4,FALSE)),H168+VLOOKUP(B168,'Reference Data 기준데이터'!$A$2:$J$5,9,FALSE)),""))</f>
        <v/>
      </c>
      <c r="O168" s="20" t="n"/>
      <c r="P168" s="16">
        <f>IF(B168="","",IFERROR(N168+VLOOKUP(E168,'Reference Data 기준데이터'!$A$8:$F$30,4,FALSE),""))</f>
        <v/>
      </c>
      <c r="Q168" s="20" t="n"/>
      <c r="R168" s="16">
        <f>IF(B168="","",IFERROR(MIN(H168+VLOOKUP(B168,'Reference Data 기준데이터'!$A$2:$J$5,10,FALSE),VLOOKUP(B168,'Reference Data 기준데이터'!$A$2:$J$5,6,FALSE)),""))</f>
        <v/>
      </c>
      <c r="S168" s="20" t="n"/>
      <c r="T168" s="13" t="n"/>
      <c r="U168" s="17">
        <f>IF(B168="","",IF(T168&lt;&gt;"",T168,IF(AND(S168&lt;&gt;"",Q168&lt;&gt;""),"11-결과등록완료",IF(AND(Q168&lt;&gt;"",S168=""),"10-시험완료",IF(AND(O168&lt;&gt;"",Q168=""),"09-시험준비중",IF(AND(M168&lt;&gt;"",O168=""),"08-단품준비완료",IF(K168="Approved","05-계획서승인",IF(K168="Revision Needed","04-검토중_조건불만족",IF(K168="Under Review","03-검토중_조건충족",IF(AND(J168&lt;&gt;"",K168=""),"02-계획서제출_미검토","01-계획서미제출"))))))))))</f>
        <v/>
      </c>
      <c r="V168" s="18">
        <f>IF(B168="","",IFS(U168="01-계획서미제출",0,U168="02-계획서제출_미검토",0.05,U168="03-검토중_조건충족",0.1,U168="04-검토중_조건불만족",0.05,U168="05-계획서승인",0.2,U168="06-BIW생산중단",0.15,U168="07-생산완료_미인수",0.3,U168="08-단품준비완료",0.4,U168="09-시험준비중",0.55,U168="10-시험완료",0.85,U168="11-결과등록완료",1,U168="12-조건부승인검토",0.9,TRUE,0))</f>
        <v/>
      </c>
      <c r="W168" s="5">
        <f>IF(B168="","",IF(S168&lt;&gt;"","-",IF(R168="","N/A",R168-TODAY())))</f>
        <v/>
      </c>
      <c r="X168" s="17">
        <f>IF(B168="","",IF(U168="11-결과등록완료","DONE",IF(OR(U168="06-BIW생산중단",AND(U168="01-계획서미제출",I168&lt;TODAY())),"CRITICAL",IF(OR(U168="04-검토중_조건불만족",U168="07-생산완료_미인수",U168="12-조건부승인검토"),"ACTION",IF(AND(ISNUMBER(W168),W168&lt;=0),"OVERDUE",IF(AND(ISNUMBER(W168),W168&lt;=14),"WARNING","ON TRACK"))))))</f>
        <v/>
      </c>
      <c r="Y168" s="19">
        <f>IF(B168="","",IF(U168="11-결과등록완료","— 완료",IF(U168="01-계획서미제출",IF(I168&lt;TODAY(),"계획서 제출 독촉 (OVERDUE)","계획서 제출 대기"),IF(U168="02-계획서제출_미검토","설계자: 계획서 검토 착수",IF(U168="03-검토중_조건충족","설계자: 승인 처리",IF(U168="04-검토중_조건불만족","보완 요청 → 협력사 재제출 독촉",IF(U168="05-계획서승인","시험편 준비 현황 확인",IF(U168="06-BIW생산중단","BIW 생산팀 확인 → 일정 재수립",IF(U168="07-생산완료_미인수","협력사 인수 독촉",IF(U168="08-단품준비완료","시험 일정 확인",IF(U168="09-시험준비중","시험 진행 모니터링",IF(U168="10-시험완료","결과 보고서 전산 등록 독촉",IF(U168="12-조건부승인검토","조건부 승인 여부 판단 → 관련부서 협의","—")))))))))))))</f>
        <v/>
      </c>
    </row>
    <row r="169">
      <c r="A169" s="5">
        <f>IF(B169="","",ROW()-4)</f>
        <v/>
      </c>
      <c r="B169" s="13" t="n"/>
      <c r="C169" s="14" t="n"/>
      <c r="D169" s="15">
        <f>IF(B169="","",IFERROR(VLOOKUP(C169,'Reference Data 기준데이터'!$E$8:$F$30,2,FALSE),""))</f>
        <v/>
      </c>
      <c r="E169" s="14" t="n"/>
      <c r="F169" s="15">
        <f>IF(B169="","",IFERROR(VLOOKUP(E169,'Reference Data 기준데이터'!$A$8:$F$30,2,FALSE),""))</f>
        <v/>
      </c>
      <c r="G169" s="15">
        <f>IF(B169="","",IFERROR(VLOOKUP(B169&amp;"_"&amp;C169,'Reference Data 기준데이터'!$A$33:$B$51,2,FALSE),""))</f>
        <v/>
      </c>
      <c r="H169" s="16">
        <f>IF(B169="","",IFERROR(VLOOKUP(B169,'Reference Data 기준데이터'!$A$2:$J$5,3,FALSE),""))</f>
        <v/>
      </c>
      <c r="I169" s="16">
        <f>IF(B169="","",IFERROR(H169+VLOOKUP(B169,'Reference Data 기준데이터'!$A$2:$J$5,7,FALSE),""))</f>
        <v/>
      </c>
      <c r="J169" s="20" t="n"/>
      <c r="K169" s="13" t="n"/>
      <c r="L169" s="16">
        <f>IF(B169="","",IFERROR(H169+VLOOKUP(B169,'Reference Data 기준데이터'!$A$2:$J$5,8,FALSE),""))</f>
        <v/>
      </c>
      <c r="M169" s="20" t="n"/>
      <c r="N169" s="16">
        <f>IF(B169="","",IFERROR(IF(ISNUMBER(SEARCH("Vehicle",F169)),MAX(H169+VLOOKUP(B169,'Reference Data 기준데이터'!$A$2:$J$5,9,FALSE),VLOOKUP(B169,'Reference Data 기준데이터'!$A$2:$J$5,4,FALSE)),H169+VLOOKUP(B169,'Reference Data 기준데이터'!$A$2:$J$5,9,FALSE)),""))</f>
        <v/>
      </c>
      <c r="O169" s="20" t="n"/>
      <c r="P169" s="16">
        <f>IF(B169="","",IFERROR(N169+VLOOKUP(E169,'Reference Data 기준데이터'!$A$8:$F$30,4,FALSE),""))</f>
        <v/>
      </c>
      <c r="Q169" s="20" t="n"/>
      <c r="R169" s="16">
        <f>IF(B169="","",IFERROR(MIN(H169+VLOOKUP(B169,'Reference Data 기준데이터'!$A$2:$J$5,10,FALSE),VLOOKUP(B169,'Reference Data 기준데이터'!$A$2:$J$5,6,FALSE)),""))</f>
        <v/>
      </c>
      <c r="S169" s="20" t="n"/>
      <c r="T169" s="13" t="n"/>
      <c r="U169" s="17">
        <f>IF(B169="","",IF(T169&lt;&gt;"",T169,IF(AND(S169&lt;&gt;"",Q169&lt;&gt;""),"11-결과등록완료",IF(AND(Q169&lt;&gt;"",S169=""),"10-시험완료",IF(AND(O169&lt;&gt;"",Q169=""),"09-시험준비중",IF(AND(M169&lt;&gt;"",O169=""),"08-단품준비완료",IF(K169="Approved","05-계획서승인",IF(K169="Revision Needed","04-검토중_조건불만족",IF(K169="Under Review","03-검토중_조건충족",IF(AND(J169&lt;&gt;"",K169=""),"02-계획서제출_미검토","01-계획서미제출"))))))))))</f>
        <v/>
      </c>
      <c r="V169" s="18">
        <f>IF(B169="","",IFS(U169="01-계획서미제출",0,U169="02-계획서제출_미검토",0.05,U169="03-검토중_조건충족",0.1,U169="04-검토중_조건불만족",0.05,U169="05-계획서승인",0.2,U169="06-BIW생산중단",0.15,U169="07-생산완료_미인수",0.3,U169="08-단품준비완료",0.4,U169="09-시험준비중",0.55,U169="10-시험완료",0.85,U169="11-결과등록완료",1,U169="12-조건부승인검토",0.9,TRUE,0))</f>
        <v/>
      </c>
      <c r="W169" s="5">
        <f>IF(B169="","",IF(S169&lt;&gt;"","-",IF(R169="","N/A",R169-TODAY())))</f>
        <v/>
      </c>
      <c r="X169" s="17">
        <f>IF(B169="","",IF(U169="11-결과등록완료","DONE",IF(OR(U169="06-BIW생산중단",AND(U169="01-계획서미제출",I169&lt;TODAY())),"CRITICAL",IF(OR(U169="04-검토중_조건불만족",U169="07-생산완료_미인수",U169="12-조건부승인검토"),"ACTION",IF(AND(ISNUMBER(W169),W169&lt;=0),"OVERDUE",IF(AND(ISNUMBER(W169),W169&lt;=14),"WARNING","ON TRACK"))))))</f>
        <v/>
      </c>
      <c r="Y169" s="19">
        <f>IF(B169="","",IF(U169="11-결과등록완료","— 완료",IF(U169="01-계획서미제출",IF(I169&lt;TODAY(),"계획서 제출 독촉 (OVERDUE)","계획서 제출 대기"),IF(U169="02-계획서제출_미검토","설계자: 계획서 검토 착수",IF(U169="03-검토중_조건충족","설계자: 승인 처리",IF(U169="04-검토중_조건불만족","보완 요청 → 협력사 재제출 독촉",IF(U169="05-계획서승인","시험편 준비 현황 확인",IF(U169="06-BIW생산중단","BIW 생산팀 확인 → 일정 재수립",IF(U169="07-생산완료_미인수","협력사 인수 독촉",IF(U169="08-단품준비완료","시험 일정 확인",IF(U169="09-시험준비중","시험 진행 모니터링",IF(U169="10-시험완료","결과 보고서 전산 등록 독촉",IF(U169="12-조건부승인검토","조건부 승인 여부 판단 → 관련부서 협의","—")))))))))))))</f>
        <v/>
      </c>
    </row>
    <row r="170">
      <c r="A170" s="5">
        <f>IF(B170="","",ROW()-4)</f>
        <v/>
      </c>
      <c r="B170" s="13" t="n"/>
      <c r="C170" s="14" t="n"/>
      <c r="D170" s="15">
        <f>IF(B170="","",IFERROR(VLOOKUP(C170,'Reference Data 기준데이터'!$E$8:$F$30,2,FALSE),""))</f>
        <v/>
      </c>
      <c r="E170" s="14" t="n"/>
      <c r="F170" s="15">
        <f>IF(B170="","",IFERROR(VLOOKUP(E170,'Reference Data 기준데이터'!$A$8:$F$30,2,FALSE),""))</f>
        <v/>
      </c>
      <c r="G170" s="15">
        <f>IF(B170="","",IFERROR(VLOOKUP(B170&amp;"_"&amp;C170,'Reference Data 기준데이터'!$A$33:$B$51,2,FALSE),""))</f>
        <v/>
      </c>
      <c r="H170" s="16">
        <f>IF(B170="","",IFERROR(VLOOKUP(B170,'Reference Data 기준데이터'!$A$2:$J$5,3,FALSE),""))</f>
        <v/>
      </c>
      <c r="I170" s="16">
        <f>IF(B170="","",IFERROR(H170+VLOOKUP(B170,'Reference Data 기준데이터'!$A$2:$J$5,7,FALSE),""))</f>
        <v/>
      </c>
      <c r="J170" s="20" t="n"/>
      <c r="K170" s="13" t="n"/>
      <c r="L170" s="16">
        <f>IF(B170="","",IFERROR(H170+VLOOKUP(B170,'Reference Data 기준데이터'!$A$2:$J$5,8,FALSE),""))</f>
        <v/>
      </c>
      <c r="M170" s="20" t="n"/>
      <c r="N170" s="16">
        <f>IF(B170="","",IFERROR(IF(ISNUMBER(SEARCH("Vehicle",F170)),MAX(H170+VLOOKUP(B170,'Reference Data 기준데이터'!$A$2:$J$5,9,FALSE),VLOOKUP(B170,'Reference Data 기준데이터'!$A$2:$J$5,4,FALSE)),H170+VLOOKUP(B170,'Reference Data 기준데이터'!$A$2:$J$5,9,FALSE)),""))</f>
        <v/>
      </c>
      <c r="O170" s="20" t="n"/>
      <c r="P170" s="16">
        <f>IF(B170="","",IFERROR(N170+VLOOKUP(E170,'Reference Data 기준데이터'!$A$8:$F$30,4,FALSE),""))</f>
        <v/>
      </c>
      <c r="Q170" s="20" t="n"/>
      <c r="R170" s="16">
        <f>IF(B170="","",IFERROR(MIN(H170+VLOOKUP(B170,'Reference Data 기준데이터'!$A$2:$J$5,10,FALSE),VLOOKUP(B170,'Reference Data 기준데이터'!$A$2:$J$5,6,FALSE)),""))</f>
        <v/>
      </c>
      <c r="S170" s="20" t="n"/>
      <c r="T170" s="13" t="n"/>
      <c r="U170" s="17">
        <f>IF(B170="","",IF(T170&lt;&gt;"",T170,IF(AND(S170&lt;&gt;"",Q170&lt;&gt;""),"11-결과등록완료",IF(AND(Q170&lt;&gt;"",S170=""),"10-시험완료",IF(AND(O170&lt;&gt;"",Q170=""),"09-시험준비중",IF(AND(M170&lt;&gt;"",O170=""),"08-단품준비완료",IF(K170="Approved","05-계획서승인",IF(K170="Revision Needed","04-검토중_조건불만족",IF(K170="Under Review","03-검토중_조건충족",IF(AND(J170&lt;&gt;"",K170=""),"02-계획서제출_미검토","01-계획서미제출"))))))))))</f>
        <v/>
      </c>
      <c r="V170" s="18">
        <f>IF(B170="","",IFS(U170="01-계획서미제출",0,U170="02-계획서제출_미검토",0.05,U170="03-검토중_조건충족",0.1,U170="04-검토중_조건불만족",0.05,U170="05-계획서승인",0.2,U170="06-BIW생산중단",0.15,U170="07-생산완료_미인수",0.3,U170="08-단품준비완료",0.4,U170="09-시험준비중",0.55,U170="10-시험완료",0.85,U170="11-결과등록완료",1,U170="12-조건부승인검토",0.9,TRUE,0))</f>
        <v/>
      </c>
      <c r="W170" s="5">
        <f>IF(B170="","",IF(S170&lt;&gt;"","-",IF(R170="","N/A",R170-TODAY())))</f>
        <v/>
      </c>
      <c r="X170" s="17">
        <f>IF(B170="","",IF(U170="11-결과등록완료","DONE",IF(OR(U170="06-BIW생산중단",AND(U170="01-계획서미제출",I170&lt;TODAY())),"CRITICAL",IF(OR(U170="04-검토중_조건불만족",U170="07-생산완료_미인수",U170="12-조건부승인검토"),"ACTION",IF(AND(ISNUMBER(W170),W170&lt;=0),"OVERDUE",IF(AND(ISNUMBER(W170),W170&lt;=14),"WARNING","ON TRACK"))))))</f>
        <v/>
      </c>
      <c r="Y170" s="19">
        <f>IF(B170="","",IF(U170="11-결과등록완료","— 완료",IF(U170="01-계획서미제출",IF(I170&lt;TODAY(),"계획서 제출 독촉 (OVERDUE)","계획서 제출 대기"),IF(U170="02-계획서제출_미검토","설계자: 계획서 검토 착수",IF(U170="03-검토중_조건충족","설계자: 승인 처리",IF(U170="04-검토중_조건불만족","보완 요청 → 협력사 재제출 독촉",IF(U170="05-계획서승인","시험편 준비 현황 확인",IF(U170="06-BIW생산중단","BIW 생산팀 확인 → 일정 재수립",IF(U170="07-생산완료_미인수","협력사 인수 독촉",IF(U170="08-단품준비완료","시험 일정 확인",IF(U170="09-시험준비중","시험 진행 모니터링",IF(U170="10-시험완료","결과 보고서 전산 등록 독촉",IF(U170="12-조건부승인검토","조건부 승인 여부 판단 → 관련부서 협의","—")))))))))))))</f>
        <v/>
      </c>
    </row>
    <row r="171">
      <c r="A171" s="5">
        <f>IF(B171="","",ROW()-4)</f>
        <v/>
      </c>
      <c r="B171" s="13" t="n"/>
      <c r="C171" s="14" t="n"/>
      <c r="D171" s="15">
        <f>IF(B171="","",IFERROR(VLOOKUP(C171,'Reference Data 기준데이터'!$E$8:$F$30,2,FALSE),""))</f>
        <v/>
      </c>
      <c r="E171" s="14" t="n"/>
      <c r="F171" s="15">
        <f>IF(B171="","",IFERROR(VLOOKUP(E171,'Reference Data 기준데이터'!$A$8:$F$30,2,FALSE),""))</f>
        <v/>
      </c>
      <c r="G171" s="15">
        <f>IF(B171="","",IFERROR(VLOOKUP(B171&amp;"_"&amp;C171,'Reference Data 기준데이터'!$A$33:$B$51,2,FALSE),""))</f>
        <v/>
      </c>
      <c r="H171" s="16">
        <f>IF(B171="","",IFERROR(VLOOKUP(B171,'Reference Data 기준데이터'!$A$2:$J$5,3,FALSE),""))</f>
        <v/>
      </c>
      <c r="I171" s="16">
        <f>IF(B171="","",IFERROR(H171+VLOOKUP(B171,'Reference Data 기준데이터'!$A$2:$J$5,7,FALSE),""))</f>
        <v/>
      </c>
      <c r="J171" s="20" t="n"/>
      <c r="K171" s="13" t="n"/>
      <c r="L171" s="16">
        <f>IF(B171="","",IFERROR(H171+VLOOKUP(B171,'Reference Data 기준데이터'!$A$2:$J$5,8,FALSE),""))</f>
        <v/>
      </c>
      <c r="M171" s="20" t="n"/>
      <c r="N171" s="16">
        <f>IF(B171="","",IFERROR(IF(ISNUMBER(SEARCH("Vehicle",F171)),MAX(H171+VLOOKUP(B171,'Reference Data 기준데이터'!$A$2:$J$5,9,FALSE),VLOOKUP(B171,'Reference Data 기준데이터'!$A$2:$J$5,4,FALSE)),H171+VLOOKUP(B171,'Reference Data 기준데이터'!$A$2:$J$5,9,FALSE)),""))</f>
        <v/>
      </c>
      <c r="O171" s="20" t="n"/>
      <c r="P171" s="16">
        <f>IF(B171="","",IFERROR(N171+VLOOKUP(E171,'Reference Data 기준데이터'!$A$8:$F$30,4,FALSE),""))</f>
        <v/>
      </c>
      <c r="Q171" s="20" t="n"/>
      <c r="R171" s="16">
        <f>IF(B171="","",IFERROR(MIN(H171+VLOOKUP(B171,'Reference Data 기준데이터'!$A$2:$J$5,10,FALSE),VLOOKUP(B171,'Reference Data 기준데이터'!$A$2:$J$5,6,FALSE)),""))</f>
        <v/>
      </c>
      <c r="S171" s="20" t="n"/>
      <c r="T171" s="13" t="n"/>
      <c r="U171" s="17">
        <f>IF(B171="","",IF(T171&lt;&gt;"",T171,IF(AND(S171&lt;&gt;"",Q171&lt;&gt;""),"11-결과등록완료",IF(AND(Q171&lt;&gt;"",S171=""),"10-시험완료",IF(AND(O171&lt;&gt;"",Q171=""),"09-시험준비중",IF(AND(M171&lt;&gt;"",O171=""),"08-단품준비완료",IF(K171="Approved","05-계획서승인",IF(K171="Revision Needed","04-검토중_조건불만족",IF(K171="Under Review","03-검토중_조건충족",IF(AND(J171&lt;&gt;"",K171=""),"02-계획서제출_미검토","01-계획서미제출"))))))))))</f>
        <v/>
      </c>
      <c r="V171" s="18">
        <f>IF(B171="","",IFS(U171="01-계획서미제출",0,U171="02-계획서제출_미검토",0.05,U171="03-검토중_조건충족",0.1,U171="04-검토중_조건불만족",0.05,U171="05-계획서승인",0.2,U171="06-BIW생산중단",0.15,U171="07-생산완료_미인수",0.3,U171="08-단품준비완료",0.4,U171="09-시험준비중",0.55,U171="10-시험완료",0.85,U171="11-결과등록완료",1,U171="12-조건부승인검토",0.9,TRUE,0))</f>
        <v/>
      </c>
      <c r="W171" s="5">
        <f>IF(B171="","",IF(S171&lt;&gt;"","-",IF(R171="","N/A",R171-TODAY())))</f>
        <v/>
      </c>
      <c r="X171" s="17">
        <f>IF(B171="","",IF(U171="11-결과등록완료","DONE",IF(OR(U171="06-BIW생산중단",AND(U171="01-계획서미제출",I171&lt;TODAY())),"CRITICAL",IF(OR(U171="04-검토중_조건불만족",U171="07-생산완료_미인수",U171="12-조건부승인검토"),"ACTION",IF(AND(ISNUMBER(W171),W171&lt;=0),"OVERDUE",IF(AND(ISNUMBER(W171),W171&lt;=14),"WARNING","ON TRACK"))))))</f>
        <v/>
      </c>
      <c r="Y171" s="19">
        <f>IF(B171="","",IF(U171="11-결과등록완료","— 완료",IF(U171="01-계획서미제출",IF(I171&lt;TODAY(),"계획서 제출 독촉 (OVERDUE)","계획서 제출 대기"),IF(U171="02-계획서제출_미검토","설계자: 계획서 검토 착수",IF(U171="03-검토중_조건충족","설계자: 승인 처리",IF(U171="04-검토중_조건불만족","보완 요청 → 협력사 재제출 독촉",IF(U171="05-계획서승인","시험편 준비 현황 확인",IF(U171="06-BIW생산중단","BIW 생산팀 확인 → 일정 재수립",IF(U171="07-생산완료_미인수","협력사 인수 독촉",IF(U171="08-단품준비완료","시험 일정 확인",IF(U171="09-시험준비중","시험 진행 모니터링",IF(U171="10-시험완료","결과 보고서 전산 등록 독촉",IF(U171="12-조건부승인검토","조건부 승인 여부 판단 → 관련부서 협의","—")))))))))))))</f>
        <v/>
      </c>
    </row>
    <row r="172">
      <c r="A172" s="5">
        <f>IF(B172="","",ROW()-4)</f>
        <v/>
      </c>
      <c r="B172" s="13" t="n"/>
      <c r="C172" s="14" t="n"/>
      <c r="D172" s="15">
        <f>IF(B172="","",IFERROR(VLOOKUP(C172,'Reference Data 기준데이터'!$E$8:$F$30,2,FALSE),""))</f>
        <v/>
      </c>
      <c r="E172" s="14" t="n"/>
      <c r="F172" s="15">
        <f>IF(B172="","",IFERROR(VLOOKUP(E172,'Reference Data 기준데이터'!$A$8:$F$30,2,FALSE),""))</f>
        <v/>
      </c>
      <c r="G172" s="15">
        <f>IF(B172="","",IFERROR(VLOOKUP(B172&amp;"_"&amp;C172,'Reference Data 기준데이터'!$A$33:$B$51,2,FALSE),""))</f>
        <v/>
      </c>
      <c r="H172" s="16">
        <f>IF(B172="","",IFERROR(VLOOKUP(B172,'Reference Data 기준데이터'!$A$2:$J$5,3,FALSE),""))</f>
        <v/>
      </c>
      <c r="I172" s="16">
        <f>IF(B172="","",IFERROR(H172+VLOOKUP(B172,'Reference Data 기준데이터'!$A$2:$J$5,7,FALSE),""))</f>
        <v/>
      </c>
      <c r="J172" s="20" t="n"/>
      <c r="K172" s="13" t="n"/>
      <c r="L172" s="16">
        <f>IF(B172="","",IFERROR(H172+VLOOKUP(B172,'Reference Data 기준데이터'!$A$2:$J$5,8,FALSE),""))</f>
        <v/>
      </c>
      <c r="M172" s="20" t="n"/>
      <c r="N172" s="16">
        <f>IF(B172="","",IFERROR(IF(ISNUMBER(SEARCH("Vehicle",F172)),MAX(H172+VLOOKUP(B172,'Reference Data 기준데이터'!$A$2:$J$5,9,FALSE),VLOOKUP(B172,'Reference Data 기준데이터'!$A$2:$J$5,4,FALSE)),H172+VLOOKUP(B172,'Reference Data 기준데이터'!$A$2:$J$5,9,FALSE)),""))</f>
        <v/>
      </c>
      <c r="O172" s="20" t="n"/>
      <c r="P172" s="16">
        <f>IF(B172="","",IFERROR(N172+VLOOKUP(E172,'Reference Data 기준데이터'!$A$8:$F$30,4,FALSE),""))</f>
        <v/>
      </c>
      <c r="Q172" s="20" t="n"/>
      <c r="R172" s="16">
        <f>IF(B172="","",IFERROR(MIN(H172+VLOOKUP(B172,'Reference Data 기준데이터'!$A$2:$J$5,10,FALSE),VLOOKUP(B172,'Reference Data 기준데이터'!$A$2:$J$5,6,FALSE)),""))</f>
        <v/>
      </c>
      <c r="S172" s="20" t="n"/>
      <c r="T172" s="13" t="n"/>
      <c r="U172" s="17">
        <f>IF(B172="","",IF(T172&lt;&gt;"",T172,IF(AND(S172&lt;&gt;"",Q172&lt;&gt;""),"11-결과등록완료",IF(AND(Q172&lt;&gt;"",S172=""),"10-시험완료",IF(AND(O172&lt;&gt;"",Q172=""),"09-시험준비중",IF(AND(M172&lt;&gt;"",O172=""),"08-단품준비완료",IF(K172="Approved","05-계획서승인",IF(K172="Revision Needed","04-검토중_조건불만족",IF(K172="Under Review","03-검토중_조건충족",IF(AND(J172&lt;&gt;"",K172=""),"02-계획서제출_미검토","01-계획서미제출"))))))))))</f>
        <v/>
      </c>
      <c r="V172" s="18">
        <f>IF(B172="","",IFS(U172="01-계획서미제출",0,U172="02-계획서제출_미검토",0.05,U172="03-검토중_조건충족",0.1,U172="04-검토중_조건불만족",0.05,U172="05-계획서승인",0.2,U172="06-BIW생산중단",0.15,U172="07-생산완료_미인수",0.3,U172="08-단품준비완료",0.4,U172="09-시험준비중",0.55,U172="10-시험완료",0.85,U172="11-결과등록완료",1,U172="12-조건부승인검토",0.9,TRUE,0))</f>
        <v/>
      </c>
      <c r="W172" s="5">
        <f>IF(B172="","",IF(S172&lt;&gt;"","-",IF(R172="","N/A",R172-TODAY())))</f>
        <v/>
      </c>
      <c r="X172" s="17">
        <f>IF(B172="","",IF(U172="11-결과등록완료","DONE",IF(OR(U172="06-BIW생산중단",AND(U172="01-계획서미제출",I172&lt;TODAY())),"CRITICAL",IF(OR(U172="04-검토중_조건불만족",U172="07-생산완료_미인수",U172="12-조건부승인검토"),"ACTION",IF(AND(ISNUMBER(W172),W172&lt;=0),"OVERDUE",IF(AND(ISNUMBER(W172),W172&lt;=14),"WARNING","ON TRACK"))))))</f>
        <v/>
      </c>
      <c r="Y172" s="19">
        <f>IF(B172="","",IF(U172="11-결과등록완료","— 완료",IF(U172="01-계획서미제출",IF(I172&lt;TODAY(),"계획서 제출 독촉 (OVERDUE)","계획서 제출 대기"),IF(U172="02-계획서제출_미검토","설계자: 계획서 검토 착수",IF(U172="03-검토중_조건충족","설계자: 승인 처리",IF(U172="04-검토중_조건불만족","보완 요청 → 협력사 재제출 독촉",IF(U172="05-계획서승인","시험편 준비 현황 확인",IF(U172="06-BIW생산중단","BIW 생산팀 확인 → 일정 재수립",IF(U172="07-생산완료_미인수","협력사 인수 독촉",IF(U172="08-단품준비완료","시험 일정 확인",IF(U172="09-시험준비중","시험 진행 모니터링",IF(U172="10-시험완료","결과 보고서 전산 등록 독촉",IF(U172="12-조건부승인검토","조건부 승인 여부 판단 → 관련부서 협의","—")))))))))))))</f>
        <v/>
      </c>
    </row>
    <row r="173">
      <c r="A173" s="5">
        <f>IF(B173="","",ROW()-4)</f>
        <v/>
      </c>
      <c r="B173" s="13" t="n"/>
      <c r="C173" s="14" t="n"/>
      <c r="D173" s="15">
        <f>IF(B173="","",IFERROR(VLOOKUP(C173,'Reference Data 기준데이터'!$E$8:$F$30,2,FALSE),""))</f>
        <v/>
      </c>
      <c r="E173" s="14" t="n"/>
      <c r="F173" s="15">
        <f>IF(B173="","",IFERROR(VLOOKUP(E173,'Reference Data 기준데이터'!$A$8:$F$30,2,FALSE),""))</f>
        <v/>
      </c>
      <c r="G173" s="15">
        <f>IF(B173="","",IFERROR(VLOOKUP(B173&amp;"_"&amp;C173,'Reference Data 기준데이터'!$A$33:$B$51,2,FALSE),""))</f>
        <v/>
      </c>
      <c r="H173" s="16">
        <f>IF(B173="","",IFERROR(VLOOKUP(B173,'Reference Data 기준데이터'!$A$2:$J$5,3,FALSE),""))</f>
        <v/>
      </c>
      <c r="I173" s="16">
        <f>IF(B173="","",IFERROR(H173+VLOOKUP(B173,'Reference Data 기준데이터'!$A$2:$J$5,7,FALSE),""))</f>
        <v/>
      </c>
      <c r="J173" s="20" t="n"/>
      <c r="K173" s="13" t="n"/>
      <c r="L173" s="16">
        <f>IF(B173="","",IFERROR(H173+VLOOKUP(B173,'Reference Data 기준데이터'!$A$2:$J$5,8,FALSE),""))</f>
        <v/>
      </c>
      <c r="M173" s="20" t="n"/>
      <c r="N173" s="16">
        <f>IF(B173="","",IFERROR(IF(ISNUMBER(SEARCH("Vehicle",F173)),MAX(H173+VLOOKUP(B173,'Reference Data 기준데이터'!$A$2:$J$5,9,FALSE),VLOOKUP(B173,'Reference Data 기준데이터'!$A$2:$J$5,4,FALSE)),H173+VLOOKUP(B173,'Reference Data 기준데이터'!$A$2:$J$5,9,FALSE)),""))</f>
        <v/>
      </c>
      <c r="O173" s="20" t="n"/>
      <c r="P173" s="16">
        <f>IF(B173="","",IFERROR(N173+VLOOKUP(E173,'Reference Data 기준데이터'!$A$8:$F$30,4,FALSE),""))</f>
        <v/>
      </c>
      <c r="Q173" s="20" t="n"/>
      <c r="R173" s="16">
        <f>IF(B173="","",IFERROR(MIN(H173+VLOOKUP(B173,'Reference Data 기준데이터'!$A$2:$J$5,10,FALSE),VLOOKUP(B173,'Reference Data 기준데이터'!$A$2:$J$5,6,FALSE)),""))</f>
        <v/>
      </c>
      <c r="S173" s="20" t="n"/>
      <c r="T173" s="13" t="n"/>
      <c r="U173" s="17">
        <f>IF(B173="","",IF(T173&lt;&gt;"",T173,IF(AND(S173&lt;&gt;"",Q173&lt;&gt;""),"11-결과등록완료",IF(AND(Q173&lt;&gt;"",S173=""),"10-시험완료",IF(AND(O173&lt;&gt;"",Q173=""),"09-시험준비중",IF(AND(M173&lt;&gt;"",O173=""),"08-단품준비완료",IF(K173="Approved","05-계획서승인",IF(K173="Revision Needed","04-검토중_조건불만족",IF(K173="Under Review","03-검토중_조건충족",IF(AND(J173&lt;&gt;"",K173=""),"02-계획서제출_미검토","01-계획서미제출"))))))))))</f>
        <v/>
      </c>
      <c r="V173" s="18">
        <f>IF(B173="","",IFS(U173="01-계획서미제출",0,U173="02-계획서제출_미검토",0.05,U173="03-검토중_조건충족",0.1,U173="04-검토중_조건불만족",0.05,U173="05-계획서승인",0.2,U173="06-BIW생산중단",0.15,U173="07-생산완료_미인수",0.3,U173="08-단품준비완료",0.4,U173="09-시험준비중",0.55,U173="10-시험완료",0.85,U173="11-결과등록완료",1,U173="12-조건부승인검토",0.9,TRUE,0))</f>
        <v/>
      </c>
      <c r="W173" s="5">
        <f>IF(B173="","",IF(S173&lt;&gt;"","-",IF(R173="","N/A",R173-TODAY())))</f>
        <v/>
      </c>
      <c r="X173" s="17">
        <f>IF(B173="","",IF(U173="11-결과등록완료","DONE",IF(OR(U173="06-BIW생산중단",AND(U173="01-계획서미제출",I173&lt;TODAY())),"CRITICAL",IF(OR(U173="04-검토중_조건불만족",U173="07-생산완료_미인수",U173="12-조건부승인검토"),"ACTION",IF(AND(ISNUMBER(W173),W173&lt;=0),"OVERDUE",IF(AND(ISNUMBER(W173),W173&lt;=14),"WARNING","ON TRACK"))))))</f>
        <v/>
      </c>
      <c r="Y173" s="19">
        <f>IF(B173="","",IF(U173="11-결과등록완료","— 완료",IF(U173="01-계획서미제출",IF(I173&lt;TODAY(),"계획서 제출 독촉 (OVERDUE)","계획서 제출 대기"),IF(U173="02-계획서제출_미검토","설계자: 계획서 검토 착수",IF(U173="03-검토중_조건충족","설계자: 승인 처리",IF(U173="04-검토중_조건불만족","보완 요청 → 협력사 재제출 독촉",IF(U173="05-계획서승인","시험편 준비 현황 확인",IF(U173="06-BIW생산중단","BIW 생산팀 확인 → 일정 재수립",IF(U173="07-생산완료_미인수","협력사 인수 독촉",IF(U173="08-단품준비완료","시험 일정 확인",IF(U173="09-시험준비중","시험 진행 모니터링",IF(U173="10-시험완료","결과 보고서 전산 등록 독촉",IF(U173="12-조건부승인검토","조건부 승인 여부 판단 → 관련부서 협의","—")))))))))))))</f>
        <v/>
      </c>
    </row>
    <row r="174">
      <c r="A174" s="5">
        <f>IF(B174="","",ROW()-4)</f>
        <v/>
      </c>
      <c r="B174" s="13" t="n"/>
      <c r="C174" s="14" t="n"/>
      <c r="D174" s="15">
        <f>IF(B174="","",IFERROR(VLOOKUP(C174,'Reference Data 기준데이터'!$E$8:$F$30,2,FALSE),""))</f>
        <v/>
      </c>
      <c r="E174" s="14" t="n"/>
      <c r="F174" s="15">
        <f>IF(B174="","",IFERROR(VLOOKUP(E174,'Reference Data 기준데이터'!$A$8:$F$30,2,FALSE),""))</f>
        <v/>
      </c>
      <c r="G174" s="15">
        <f>IF(B174="","",IFERROR(VLOOKUP(B174&amp;"_"&amp;C174,'Reference Data 기준데이터'!$A$33:$B$51,2,FALSE),""))</f>
        <v/>
      </c>
      <c r="H174" s="16">
        <f>IF(B174="","",IFERROR(VLOOKUP(B174,'Reference Data 기준데이터'!$A$2:$J$5,3,FALSE),""))</f>
        <v/>
      </c>
      <c r="I174" s="16">
        <f>IF(B174="","",IFERROR(H174+VLOOKUP(B174,'Reference Data 기준데이터'!$A$2:$J$5,7,FALSE),""))</f>
        <v/>
      </c>
      <c r="J174" s="20" t="n"/>
      <c r="K174" s="13" t="n"/>
      <c r="L174" s="16">
        <f>IF(B174="","",IFERROR(H174+VLOOKUP(B174,'Reference Data 기준데이터'!$A$2:$J$5,8,FALSE),""))</f>
        <v/>
      </c>
      <c r="M174" s="20" t="n"/>
      <c r="N174" s="16">
        <f>IF(B174="","",IFERROR(IF(ISNUMBER(SEARCH("Vehicle",F174)),MAX(H174+VLOOKUP(B174,'Reference Data 기준데이터'!$A$2:$J$5,9,FALSE),VLOOKUP(B174,'Reference Data 기준데이터'!$A$2:$J$5,4,FALSE)),H174+VLOOKUP(B174,'Reference Data 기준데이터'!$A$2:$J$5,9,FALSE)),""))</f>
        <v/>
      </c>
      <c r="O174" s="20" t="n"/>
      <c r="P174" s="16">
        <f>IF(B174="","",IFERROR(N174+VLOOKUP(E174,'Reference Data 기준데이터'!$A$8:$F$30,4,FALSE),""))</f>
        <v/>
      </c>
      <c r="Q174" s="20" t="n"/>
      <c r="R174" s="16">
        <f>IF(B174="","",IFERROR(MIN(H174+VLOOKUP(B174,'Reference Data 기준데이터'!$A$2:$J$5,10,FALSE),VLOOKUP(B174,'Reference Data 기준데이터'!$A$2:$J$5,6,FALSE)),""))</f>
        <v/>
      </c>
      <c r="S174" s="20" t="n"/>
      <c r="T174" s="13" t="n"/>
      <c r="U174" s="17">
        <f>IF(B174="","",IF(T174&lt;&gt;"",T174,IF(AND(S174&lt;&gt;"",Q174&lt;&gt;""),"11-결과등록완료",IF(AND(Q174&lt;&gt;"",S174=""),"10-시험완료",IF(AND(O174&lt;&gt;"",Q174=""),"09-시험준비중",IF(AND(M174&lt;&gt;"",O174=""),"08-단품준비완료",IF(K174="Approved","05-계획서승인",IF(K174="Revision Needed","04-검토중_조건불만족",IF(K174="Under Review","03-검토중_조건충족",IF(AND(J174&lt;&gt;"",K174=""),"02-계획서제출_미검토","01-계획서미제출"))))))))))</f>
        <v/>
      </c>
      <c r="V174" s="18">
        <f>IF(B174="","",IFS(U174="01-계획서미제출",0,U174="02-계획서제출_미검토",0.05,U174="03-검토중_조건충족",0.1,U174="04-검토중_조건불만족",0.05,U174="05-계획서승인",0.2,U174="06-BIW생산중단",0.15,U174="07-생산완료_미인수",0.3,U174="08-단품준비완료",0.4,U174="09-시험준비중",0.55,U174="10-시험완료",0.85,U174="11-결과등록완료",1,U174="12-조건부승인검토",0.9,TRUE,0))</f>
        <v/>
      </c>
      <c r="W174" s="5">
        <f>IF(B174="","",IF(S174&lt;&gt;"","-",IF(R174="","N/A",R174-TODAY())))</f>
        <v/>
      </c>
      <c r="X174" s="17">
        <f>IF(B174="","",IF(U174="11-결과등록완료","DONE",IF(OR(U174="06-BIW생산중단",AND(U174="01-계획서미제출",I174&lt;TODAY())),"CRITICAL",IF(OR(U174="04-검토중_조건불만족",U174="07-생산완료_미인수",U174="12-조건부승인검토"),"ACTION",IF(AND(ISNUMBER(W174),W174&lt;=0),"OVERDUE",IF(AND(ISNUMBER(W174),W174&lt;=14),"WARNING","ON TRACK"))))))</f>
        <v/>
      </c>
      <c r="Y174" s="19">
        <f>IF(B174="","",IF(U174="11-결과등록완료","— 완료",IF(U174="01-계획서미제출",IF(I174&lt;TODAY(),"계획서 제출 독촉 (OVERDUE)","계획서 제출 대기"),IF(U174="02-계획서제출_미검토","설계자: 계획서 검토 착수",IF(U174="03-검토중_조건충족","설계자: 승인 처리",IF(U174="04-검토중_조건불만족","보완 요청 → 협력사 재제출 독촉",IF(U174="05-계획서승인","시험편 준비 현황 확인",IF(U174="06-BIW생산중단","BIW 생산팀 확인 → 일정 재수립",IF(U174="07-생산완료_미인수","협력사 인수 독촉",IF(U174="08-단품준비완료","시험 일정 확인",IF(U174="09-시험준비중","시험 진행 모니터링",IF(U174="10-시험완료","결과 보고서 전산 등록 독촉",IF(U174="12-조건부승인검토","조건부 승인 여부 판단 → 관련부서 협의","—")))))))))))))</f>
        <v/>
      </c>
    </row>
    <row r="175">
      <c r="A175" s="5">
        <f>IF(B175="","",ROW()-4)</f>
        <v/>
      </c>
      <c r="B175" s="13" t="n"/>
      <c r="C175" s="14" t="n"/>
      <c r="D175" s="15">
        <f>IF(B175="","",IFERROR(VLOOKUP(C175,'Reference Data 기준데이터'!$E$8:$F$30,2,FALSE),""))</f>
        <v/>
      </c>
      <c r="E175" s="14" t="n"/>
      <c r="F175" s="15">
        <f>IF(B175="","",IFERROR(VLOOKUP(E175,'Reference Data 기준데이터'!$A$8:$F$30,2,FALSE),""))</f>
        <v/>
      </c>
      <c r="G175" s="15">
        <f>IF(B175="","",IFERROR(VLOOKUP(B175&amp;"_"&amp;C175,'Reference Data 기준데이터'!$A$33:$B$51,2,FALSE),""))</f>
        <v/>
      </c>
      <c r="H175" s="16">
        <f>IF(B175="","",IFERROR(VLOOKUP(B175,'Reference Data 기준데이터'!$A$2:$J$5,3,FALSE),""))</f>
        <v/>
      </c>
      <c r="I175" s="16">
        <f>IF(B175="","",IFERROR(H175+VLOOKUP(B175,'Reference Data 기준데이터'!$A$2:$J$5,7,FALSE),""))</f>
        <v/>
      </c>
      <c r="J175" s="20" t="n"/>
      <c r="K175" s="13" t="n"/>
      <c r="L175" s="16">
        <f>IF(B175="","",IFERROR(H175+VLOOKUP(B175,'Reference Data 기준데이터'!$A$2:$J$5,8,FALSE),""))</f>
        <v/>
      </c>
      <c r="M175" s="20" t="n"/>
      <c r="N175" s="16">
        <f>IF(B175="","",IFERROR(IF(ISNUMBER(SEARCH("Vehicle",F175)),MAX(H175+VLOOKUP(B175,'Reference Data 기준데이터'!$A$2:$J$5,9,FALSE),VLOOKUP(B175,'Reference Data 기준데이터'!$A$2:$J$5,4,FALSE)),H175+VLOOKUP(B175,'Reference Data 기준데이터'!$A$2:$J$5,9,FALSE)),""))</f>
        <v/>
      </c>
      <c r="O175" s="20" t="n"/>
      <c r="P175" s="16">
        <f>IF(B175="","",IFERROR(N175+VLOOKUP(E175,'Reference Data 기준데이터'!$A$8:$F$30,4,FALSE),""))</f>
        <v/>
      </c>
      <c r="Q175" s="20" t="n"/>
      <c r="R175" s="16">
        <f>IF(B175="","",IFERROR(MIN(H175+VLOOKUP(B175,'Reference Data 기준데이터'!$A$2:$J$5,10,FALSE),VLOOKUP(B175,'Reference Data 기준데이터'!$A$2:$J$5,6,FALSE)),""))</f>
        <v/>
      </c>
      <c r="S175" s="20" t="n"/>
      <c r="T175" s="13" t="n"/>
      <c r="U175" s="17">
        <f>IF(B175="","",IF(T175&lt;&gt;"",T175,IF(AND(S175&lt;&gt;"",Q175&lt;&gt;""),"11-결과등록완료",IF(AND(Q175&lt;&gt;"",S175=""),"10-시험완료",IF(AND(O175&lt;&gt;"",Q175=""),"09-시험준비중",IF(AND(M175&lt;&gt;"",O175=""),"08-단품준비완료",IF(K175="Approved","05-계획서승인",IF(K175="Revision Needed","04-검토중_조건불만족",IF(K175="Under Review","03-검토중_조건충족",IF(AND(J175&lt;&gt;"",K175=""),"02-계획서제출_미검토","01-계획서미제출"))))))))))</f>
        <v/>
      </c>
      <c r="V175" s="18">
        <f>IF(B175="","",IFS(U175="01-계획서미제출",0,U175="02-계획서제출_미검토",0.05,U175="03-검토중_조건충족",0.1,U175="04-검토중_조건불만족",0.05,U175="05-계획서승인",0.2,U175="06-BIW생산중단",0.15,U175="07-생산완료_미인수",0.3,U175="08-단품준비완료",0.4,U175="09-시험준비중",0.55,U175="10-시험완료",0.85,U175="11-결과등록완료",1,U175="12-조건부승인검토",0.9,TRUE,0))</f>
        <v/>
      </c>
      <c r="W175" s="5">
        <f>IF(B175="","",IF(S175&lt;&gt;"","-",IF(R175="","N/A",R175-TODAY())))</f>
        <v/>
      </c>
      <c r="X175" s="17">
        <f>IF(B175="","",IF(U175="11-결과등록완료","DONE",IF(OR(U175="06-BIW생산중단",AND(U175="01-계획서미제출",I175&lt;TODAY())),"CRITICAL",IF(OR(U175="04-검토중_조건불만족",U175="07-생산완료_미인수",U175="12-조건부승인검토"),"ACTION",IF(AND(ISNUMBER(W175),W175&lt;=0),"OVERDUE",IF(AND(ISNUMBER(W175),W175&lt;=14),"WARNING","ON TRACK"))))))</f>
        <v/>
      </c>
      <c r="Y175" s="19">
        <f>IF(B175="","",IF(U175="11-결과등록완료","— 완료",IF(U175="01-계획서미제출",IF(I175&lt;TODAY(),"계획서 제출 독촉 (OVERDUE)","계획서 제출 대기"),IF(U175="02-계획서제출_미검토","설계자: 계획서 검토 착수",IF(U175="03-검토중_조건충족","설계자: 승인 처리",IF(U175="04-검토중_조건불만족","보완 요청 → 협력사 재제출 독촉",IF(U175="05-계획서승인","시험편 준비 현황 확인",IF(U175="06-BIW생산중단","BIW 생산팀 확인 → 일정 재수립",IF(U175="07-생산완료_미인수","협력사 인수 독촉",IF(U175="08-단품준비완료","시험 일정 확인",IF(U175="09-시험준비중","시험 진행 모니터링",IF(U175="10-시험완료","결과 보고서 전산 등록 독촉",IF(U175="12-조건부승인검토","조건부 승인 여부 판단 → 관련부서 협의","—")))))))))))))</f>
        <v/>
      </c>
    </row>
    <row r="176">
      <c r="A176" s="5">
        <f>IF(B176="","",ROW()-4)</f>
        <v/>
      </c>
      <c r="B176" s="13" t="n"/>
      <c r="C176" s="14" t="n"/>
      <c r="D176" s="15">
        <f>IF(B176="","",IFERROR(VLOOKUP(C176,'Reference Data 기준데이터'!$E$8:$F$30,2,FALSE),""))</f>
        <v/>
      </c>
      <c r="E176" s="14" t="n"/>
      <c r="F176" s="15">
        <f>IF(B176="","",IFERROR(VLOOKUP(E176,'Reference Data 기준데이터'!$A$8:$F$30,2,FALSE),""))</f>
        <v/>
      </c>
      <c r="G176" s="15">
        <f>IF(B176="","",IFERROR(VLOOKUP(B176&amp;"_"&amp;C176,'Reference Data 기준데이터'!$A$33:$B$51,2,FALSE),""))</f>
        <v/>
      </c>
      <c r="H176" s="16">
        <f>IF(B176="","",IFERROR(VLOOKUP(B176,'Reference Data 기준데이터'!$A$2:$J$5,3,FALSE),""))</f>
        <v/>
      </c>
      <c r="I176" s="16">
        <f>IF(B176="","",IFERROR(H176+VLOOKUP(B176,'Reference Data 기준데이터'!$A$2:$J$5,7,FALSE),""))</f>
        <v/>
      </c>
      <c r="J176" s="20" t="n"/>
      <c r="K176" s="13" t="n"/>
      <c r="L176" s="16">
        <f>IF(B176="","",IFERROR(H176+VLOOKUP(B176,'Reference Data 기준데이터'!$A$2:$J$5,8,FALSE),""))</f>
        <v/>
      </c>
      <c r="M176" s="20" t="n"/>
      <c r="N176" s="16">
        <f>IF(B176="","",IFERROR(IF(ISNUMBER(SEARCH("Vehicle",F176)),MAX(H176+VLOOKUP(B176,'Reference Data 기준데이터'!$A$2:$J$5,9,FALSE),VLOOKUP(B176,'Reference Data 기준데이터'!$A$2:$J$5,4,FALSE)),H176+VLOOKUP(B176,'Reference Data 기준데이터'!$A$2:$J$5,9,FALSE)),""))</f>
        <v/>
      </c>
      <c r="O176" s="20" t="n"/>
      <c r="P176" s="16">
        <f>IF(B176="","",IFERROR(N176+VLOOKUP(E176,'Reference Data 기준데이터'!$A$8:$F$30,4,FALSE),""))</f>
        <v/>
      </c>
      <c r="Q176" s="20" t="n"/>
      <c r="R176" s="16">
        <f>IF(B176="","",IFERROR(MIN(H176+VLOOKUP(B176,'Reference Data 기준데이터'!$A$2:$J$5,10,FALSE),VLOOKUP(B176,'Reference Data 기준데이터'!$A$2:$J$5,6,FALSE)),""))</f>
        <v/>
      </c>
      <c r="S176" s="20" t="n"/>
      <c r="T176" s="13" t="n"/>
      <c r="U176" s="17">
        <f>IF(B176="","",IF(T176&lt;&gt;"",T176,IF(AND(S176&lt;&gt;"",Q176&lt;&gt;""),"11-결과등록완료",IF(AND(Q176&lt;&gt;"",S176=""),"10-시험완료",IF(AND(O176&lt;&gt;"",Q176=""),"09-시험준비중",IF(AND(M176&lt;&gt;"",O176=""),"08-단품준비완료",IF(K176="Approved","05-계획서승인",IF(K176="Revision Needed","04-검토중_조건불만족",IF(K176="Under Review","03-검토중_조건충족",IF(AND(J176&lt;&gt;"",K176=""),"02-계획서제출_미검토","01-계획서미제출"))))))))))</f>
        <v/>
      </c>
      <c r="V176" s="18">
        <f>IF(B176="","",IFS(U176="01-계획서미제출",0,U176="02-계획서제출_미검토",0.05,U176="03-검토중_조건충족",0.1,U176="04-검토중_조건불만족",0.05,U176="05-계획서승인",0.2,U176="06-BIW생산중단",0.15,U176="07-생산완료_미인수",0.3,U176="08-단품준비완료",0.4,U176="09-시험준비중",0.55,U176="10-시험완료",0.85,U176="11-결과등록완료",1,U176="12-조건부승인검토",0.9,TRUE,0))</f>
        <v/>
      </c>
      <c r="W176" s="5">
        <f>IF(B176="","",IF(S176&lt;&gt;"","-",IF(R176="","N/A",R176-TODAY())))</f>
        <v/>
      </c>
      <c r="X176" s="17">
        <f>IF(B176="","",IF(U176="11-결과등록완료","DONE",IF(OR(U176="06-BIW생산중단",AND(U176="01-계획서미제출",I176&lt;TODAY())),"CRITICAL",IF(OR(U176="04-검토중_조건불만족",U176="07-생산완료_미인수",U176="12-조건부승인검토"),"ACTION",IF(AND(ISNUMBER(W176),W176&lt;=0),"OVERDUE",IF(AND(ISNUMBER(W176),W176&lt;=14),"WARNING","ON TRACK"))))))</f>
        <v/>
      </c>
      <c r="Y176" s="19">
        <f>IF(B176="","",IF(U176="11-결과등록완료","— 완료",IF(U176="01-계획서미제출",IF(I176&lt;TODAY(),"계획서 제출 독촉 (OVERDUE)","계획서 제출 대기"),IF(U176="02-계획서제출_미검토","설계자: 계획서 검토 착수",IF(U176="03-검토중_조건충족","설계자: 승인 처리",IF(U176="04-검토중_조건불만족","보완 요청 → 협력사 재제출 독촉",IF(U176="05-계획서승인","시험편 준비 현황 확인",IF(U176="06-BIW생산중단","BIW 생산팀 확인 → 일정 재수립",IF(U176="07-생산완료_미인수","협력사 인수 독촉",IF(U176="08-단품준비완료","시험 일정 확인",IF(U176="09-시험준비중","시험 진행 모니터링",IF(U176="10-시험완료","결과 보고서 전산 등록 독촉",IF(U176="12-조건부승인검토","조건부 승인 여부 판단 → 관련부서 협의","—")))))))))))))</f>
        <v/>
      </c>
    </row>
    <row r="177">
      <c r="A177" s="5">
        <f>IF(B177="","",ROW()-4)</f>
        <v/>
      </c>
      <c r="B177" s="13" t="n"/>
      <c r="C177" s="14" t="n"/>
      <c r="D177" s="15">
        <f>IF(B177="","",IFERROR(VLOOKUP(C177,'Reference Data 기준데이터'!$E$8:$F$30,2,FALSE),""))</f>
        <v/>
      </c>
      <c r="E177" s="14" t="n"/>
      <c r="F177" s="15">
        <f>IF(B177="","",IFERROR(VLOOKUP(E177,'Reference Data 기준데이터'!$A$8:$F$30,2,FALSE),""))</f>
        <v/>
      </c>
      <c r="G177" s="15">
        <f>IF(B177="","",IFERROR(VLOOKUP(B177&amp;"_"&amp;C177,'Reference Data 기준데이터'!$A$33:$B$51,2,FALSE),""))</f>
        <v/>
      </c>
      <c r="H177" s="16">
        <f>IF(B177="","",IFERROR(VLOOKUP(B177,'Reference Data 기준데이터'!$A$2:$J$5,3,FALSE),""))</f>
        <v/>
      </c>
      <c r="I177" s="16">
        <f>IF(B177="","",IFERROR(H177+VLOOKUP(B177,'Reference Data 기준데이터'!$A$2:$J$5,7,FALSE),""))</f>
        <v/>
      </c>
      <c r="J177" s="20" t="n"/>
      <c r="K177" s="13" t="n"/>
      <c r="L177" s="16">
        <f>IF(B177="","",IFERROR(H177+VLOOKUP(B177,'Reference Data 기준데이터'!$A$2:$J$5,8,FALSE),""))</f>
        <v/>
      </c>
      <c r="M177" s="20" t="n"/>
      <c r="N177" s="16">
        <f>IF(B177="","",IFERROR(IF(ISNUMBER(SEARCH("Vehicle",F177)),MAX(H177+VLOOKUP(B177,'Reference Data 기준데이터'!$A$2:$J$5,9,FALSE),VLOOKUP(B177,'Reference Data 기준데이터'!$A$2:$J$5,4,FALSE)),H177+VLOOKUP(B177,'Reference Data 기준데이터'!$A$2:$J$5,9,FALSE)),""))</f>
        <v/>
      </c>
      <c r="O177" s="20" t="n"/>
      <c r="P177" s="16">
        <f>IF(B177="","",IFERROR(N177+VLOOKUP(E177,'Reference Data 기준데이터'!$A$8:$F$30,4,FALSE),""))</f>
        <v/>
      </c>
      <c r="Q177" s="20" t="n"/>
      <c r="R177" s="16">
        <f>IF(B177="","",IFERROR(MIN(H177+VLOOKUP(B177,'Reference Data 기준데이터'!$A$2:$J$5,10,FALSE),VLOOKUP(B177,'Reference Data 기준데이터'!$A$2:$J$5,6,FALSE)),""))</f>
        <v/>
      </c>
      <c r="S177" s="20" t="n"/>
      <c r="T177" s="13" t="n"/>
      <c r="U177" s="17">
        <f>IF(B177="","",IF(T177&lt;&gt;"",T177,IF(AND(S177&lt;&gt;"",Q177&lt;&gt;""),"11-결과등록완료",IF(AND(Q177&lt;&gt;"",S177=""),"10-시험완료",IF(AND(O177&lt;&gt;"",Q177=""),"09-시험준비중",IF(AND(M177&lt;&gt;"",O177=""),"08-단품준비완료",IF(K177="Approved","05-계획서승인",IF(K177="Revision Needed","04-검토중_조건불만족",IF(K177="Under Review","03-검토중_조건충족",IF(AND(J177&lt;&gt;"",K177=""),"02-계획서제출_미검토","01-계획서미제출"))))))))))</f>
        <v/>
      </c>
      <c r="V177" s="18">
        <f>IF(B177="","",IFS(U177="01-계획서미제출",0,U177="02-계획서제출_미검토",0.05,U177="03-검토중_조건충족",0.1,U177="04-검토중_조건불만족",0.05,U177="05-계획서승인",0.2,U177="06-BIW생산중단",0.15,U177="07-생산완료_미인수",0.3,U177="08-단품준비완료",0.4,U177="09-시험준비중",0.55,U177="10-시험완료",0.85,U177="11-결과등록완료",1,U177="12-조건부승인검토",0.9,TRUE,0))</f>
        <v/>
      </c>
      <c r="W177" s="5">
        <f>IF(B177="","",IF(S177&lt;&gt;"","-",IF(R177="","N/A",R177-TODAY())))</f>
        <v/>
      </c>
      <c r="X177" s="17">
        <f>IF(B177="","",IF(U177="11-결과등록완료","DONE",IF(OR(U177="06-BIW생산중단",AND(U177="01-계획서미제출",I177&lt;TODAY())),"CRITICAL",IF(OR(U177="04-검토중_조건불만족",U177="07-생산완료_미인수",U177="12-조건부승인검토"),"ACTION",IF(AND(ISNUMBER(W177),W177&lt;=0),"OVERDUE",IF(AND(ISNUMBER(W177),W177&lt;=14),"WARNING","ON TRACK"))))))</f>
        <v/>
      </c>
      <c r="Y177" s="19">
        <f>IF(B177="","",IF(U177="11-결과등록완료","— 완료",IF(U177="01-계획서미제출",IF(I177&lt;TODAY(),"계획서 제출 독촉 (OVERDUE)","계획서 제출 대기"),IF(U177="02-계획서제출_미검토","설계자: 계획서 검토 착수",IF(U177="03-검토중_조건충족","설계자: 승인 처리",IF(U177="04-검토중_조건불만족","보완 요청 → 협력사 재제출 독촉",IF(U177="05-계획서승인","시험편 준비 현황 확인",IF(U177="06-BIW생산중단","BIW 생산팀 확인 → 일정 재수립",IF(U177="07-생산완료_미인수","협력사 인수 독촉",IF(U177="08-단품준비완료","시험 일정 확인",IF(U177="09-시험준비중","시험 진행 모니터링",IF(U177="10-시험완료","결과 보고서 전산 등록 독촉",IF(U177="12-조건부승인검토","조건부 승인 여부 판단 → 관련부서 협의","—")))))))))))))</f>
        <v/>
      </c>
    </row>
    <row r="178">
      <c r="A178" s="5">
        <f>IF(B178="","",ROW()-4)</f>
        <v/>
      </c>
      <c r="B178" s="13" t="n"/>
      <c r="C178" s="14" t="n"/>
      <c r="D178" s="15">
        <f>IF(B178="","",IFERROR(VLOOKUP(C178,'Reference Data 기준데이터'!$E$8:$F$30,2,FALSE),""))</f>
        <v/>
      </c>
      <c r="E178" s="14" t="n"/>
      <c r="F178" s="15">
        <f>IF(B178="","",IFERROR(VLOOKUP(E178,'Reference Data 기준데이터'!$A$8:$F$30,2,FALSE),""))</f>
        <v/>
      </c>
      <c r="G178" s="15">
        <f>IF(B178="","",IFERROR(VLOOKUP(B178&amp;"_"&amp;C178,'Reference Data 기준데이터'!$A$33:$B$51,2,FALSE),""))</f>
        <v/>
      </c>
      <c r="H178" s="16">
        <f>IF(B178="","",IFERROR(VLOOKUP(B178,'Reference Data 기준데이터'!$A$2:$J$5,3,FALSE),""))</f>
        <v/>
      </c>
      <c r="I178" s="16">
        <f>IF(B178="","",IFERROR(H178+VLOOKUP(B178,'Reference Data 기준데이터'!$A$2:$J$5,7,FALSE),""))</f>
        <v/>
      </c>
      <c r="J178" s="20" t="n"/>
      <c r="K178" s="13" t="n"/>
      <c r="L178" s="16">
        <f>IF(B178="","",IFERROR(H178+VLOOKUP(B178,'Reference Data 기준데이터'!$A$2:$J$5,8,FALSE),""))</f>
        <v/>
      </c>
      <c r="M178" s="20" t="n"/>
      <c r="N178" s="16">
        <f>IF(B178="","",IFERROR(IF(ISNUMBER(SEARCH("Vehicle",F178)),MAX(H178+VLOOKUP(B178,'Reference Data 기준데이터'!$A$2:$J$5,9,FALSE),VLOOKUP(B178,'Reference Data 기준데이터'!$A$2:$J$5,4,FALSE)),H178+VLOOKUP(B178,'Reference Data 기준데이터'!$A$2:$J$5,9,FALSE)),""))</f>
        <v/>
      </c>
      <c r="O178" s="20" t="n"/>
      <c r="P178" s="16">
        <f>IF(B178="","",IFERROR(N178+VLOOKUP(E178,'Reference Data 기준데이터'!$A$8:$F$30,4,FALSE),""))</f>
        <v/>
      </c>
      <c r="Q178" s="20" t="n"/>
      <c r="R178" s="16">
        <f>IF(B178="","",IFERROR(MIN(H178+VLOOKUP(B178,'Reference Data 기준데이터'!$A$2:$J$5,10,FALSE),VLOOKUP(B178,'Reference Data 기준데이터'!$A$2:$J$5,6,FALSE)),""))</f>
        <v/>
      </c>
      <c r="S178" s="20" t="n"/>
      <c r="T178" s="13" t="n"/>
      <c r="U178" s="17">
        <f>IF(B178="","",IF(T178&lt;&gt;"",T178,IF(AND(S178&lt;&gt;"",Q178&lt;&gt;""),"11-결과등록완료",IF(AND(Q178&lt;&gt;"",S178=""),"10-시험완료",IF(AND(O178&lt;&gt;"",Q178=""),"09-시험준비중",IF(AND(M178&lt;&gt;"",O178=""),"08-단품준비완료",IF(K178="Approved","05-계획서승인",IF(K178="Revision Needed","04-검토중_조건불만족",IF(K178="Under Review","03-검토중_조건충족",IF(AND(J178&lt;&gt;"",K178=""),"02-계획서제출_미검토","01-계획서미제출"))))))))))</f>
        <v/>
      </c>
      <c r="V178" s="18">
        <f>IF(B178="","",IFS(U178="01-계획서미제출",0,U178="02-계획서제출_미검토",0.05,U178="03-검토중_조건충족",0.1,U178="04-검토중_조건불만족",0.05,U178="05-계획서승인",0.2,U178="06-BIW생산중단",0.15,U178="07-생산완료_미인수",0.3,U178="08-단품준비완료",0.4,U178="09-시험준비중",0.55,U178="10-시험완료",0.85,U178="11-결과등록완료",1,U178="12-조건부승인검토",0.9,TRUE,0))</f>
        <v/>
      </c>
      <c r="W178" s="5">
        <f>IF(B178="","",IF(S178&lt;&gt;"","-",IF(R178="","N/A",R178-TODAY())))</f>
        <v/>
      </c>
      <c r="X178" s="17">
        <f>IF(B178="","",IF(U178="11-결과등록완료","DONE",IF(OR(U178="06-BIW생산중단",AND(U178="01-계획서미제출",I178&lt;TODAY())),"CRITICAL",IF(OR(U178="04-검토중_조건불만족",U178="07-생산완료_미인수",U178="12-조건부승인검토"),"ACTION",IF(AND(ISNUMBER(W178),W178&lt;=0),"OVERDUE",IF(AND(ISNUMBER(W178),W178&lt;=14),"WARNING","ON TRACK"))))))</f>
        <v/>
      </c>
      <c r="Y178" s="19">
        <f>IF(B178="","",IF(U178="11-결과등록완료","— 완료",IF(U178="01-계획서미제출",IF(I178&lt;TODAY(),"계획서 제출 독촉 (OVERDUE)","계획서 제출 대기"),IF(U178="02-계획서제출_미검토","설계자: 계획서 검토 착수",IF(U178="03-검토중_조건충족","설계자: 승인 처리",IF(U178="04-검토중_조건불만족","보완 요청 → 협력사 재제출 독촉",IF(U178="05-계획서승인","시험편 준비 현황 확인",IF(U178="06-BIW생산중단","BIW 생산팀 확인 → 일정 재수립",IF(U178="07-생산완료_미인수","협력사 인수 독촉",IF(U178="08-단품준비완료","시험 일정 확인",IF(U178="09-시험준비중","시험 진행 모니터링",IF(U178="10-시험완료","결과 보고서 전산 등록 독촉",IF(U178="12-조건부승인검토","조건부 승인 여부 판단 → 관련부서 협의","—")))))))))))))</f>
        <v/>
      </c>
    </row>
    <row r="179">
      <c r="A179" s="5">
        <f>IF(B179="","",ROW()-4)</f>
        <v/>
      </c>
      <c r="B179" s="13" t="n"/>
      <c r="C179" s="14" t="n"/>
      <c r="D179" s="15">
        <f>IF(B179="","",IFERROR(VLOOKUP(C179,'Reference Data 기준데이터'!$E$8:$F$30,2,FALSE),""))</f>
        <v/>
      </c>
      <c r="E179" s="14" t="n"/>
      <c r="F179" s="15">
        <f>IF(B179="","",IFERROR(VLOOKUP(E179,'Reference Data 기준데이터'!$A$8:$F$30,2,FALSE),""))</f>
        <v/>
      </c>
      <c r="G179" s="15">
        <f>IF(B179="","",IFERROR(VLOOKUP(B179&amp;"_"&amp;C179,'Reference Data 기준데이터'!$A$33:$B$51,2,FALSE),""))</f>
        <v/>
      </c>
      <c r="H179" s="16">
        <f>IF(B179="","",IFERROR(VLOOKUP(B179,'Reference Data 기준데이터'!$A$2:$J$5,3,FALSE),""))</f>
        <v/>
      </c>
      <c r="I179" s="16">
        <f>IF(B179="","",IFERROR(H179+VLOOKUP(B179,'Reference Data 기준데이터'!$A$2:$J$5,7,FALSE),""))</f>
        <v/>
      </c>
      <c r="J179" s="20" t="n"/>
      <c r="K179" s="13" t="n"/>
      <c r="L179" s="16">
        <f>IF(B179="","",IFERROR(H179+VLOOKUP(B179,'Reference Data 기준데이터'!$A$2:$J$5,8,FALSE),""))</f>
        <v/>
      </c>
      <c r="M179" s="20" t="n"/>
      <c r="N179" s="16">
        <f>IF(B179="","",IFERROR(IF(ISNUMBER(SEARCH("Vehicle",F179)),MAX(H179+VLOOKUP(B179,'Reference Data 기준데이터'!$A$2:$J$5,9,FALSE),VLOOKUP(B179,'Reference Data 기준데이터'!$A$2:$J$5,4,FALSE)),H179+VLOOKUP(B179,'Reference Data 기준데이터'!$A$2:$J$5,9,FALSE)),""))</f>
        <v/>
      </c>
      <c r="O179" s="20" t="n"/>
      <c r="P179" s="16">
        <f>IF(B179="","",IFERROR(N179+VLOOKUP(E179,'Reference Data 기준데이터'!$A$8:$F$30,4,FALSE),""))</f>
        <v/>
      </c>
      <c r="Q179" s="20" t="n"/>
      <c r="R179" s="16">
        <f>IF(B179="","",IFERROR(MIN(H179+VLOOKUP(B179,'Reference Data 기준데이터'!$A$2:$J$5,10,FALSE),VLOOKUP(B179,'Reference Data 기준데이터'!$A$2:$J$5,6,FALSE)),""))</f>
        <v/>
      </c>
      <c r="S179" s="20" t="n"/>
      <c r="T179" s="13" t="n"/>
      <c r="U179" s="17">
        <f>IF(B179="","",IF(T179&lt;&gt;"",T179,IF(AND(S179&lt;&gt;"",Q179&lt;&gt;""),"11-결과등록완료",IF(AND(Q179&lt;&gt;"",S179=""),"10-시험완료",IF(AND(O179&lt;&gt;"",Q179=""),"09-시험준비중",IF(AND(M179&lt;&gt;"",O179=""),"08-단품준비완료",IF(K179="Approved","05-계획서승인",IF(K179="Revision Needed","04-검토중_조건불만족",IF(K179="Under Review","03-검토중_조건충족",IF(AND(J179&lt;&gt;"",K179=""),"02-계획서제출_미검토","01-계획서미제출"))))))))))</f>
        <v/>
      </c>
      <c r="V179" s="18">
        <f>IF(B179="","",IFS(U179="01-계획서미제출",0,U179="02-계획서제출_미검토",0.05,U179="03-검토중_조건충족",0.1,U179="04-검토중_조건불만족",0.05,U179="05-계획서승인",0.2,U179="06-BIW생산중단",0.15,U179="07-생산완료_미인수",0.3,U179="08-단품준비완료",0.4,U179="09-시험준비중",0.55,U179="10-시험완료",0.85,U179="11-결과등록완료",1,U179="12-조건부승인검토",0.9,TRUE,0))</f>
        <v/>
      </c>
      <c r="W179" s="5">
        <f>IF(B179="","",IF(S179&lt;&gt;"","-",IF(R179="","N/A",R179-TODAY())))</f>
        <v/>
      </c>
      <c r="X179" s="17">
        <f>IF(B179="","",IF(U179="11-결과등록완료","DONE",IF(OR(U179="06-BIW생산중단",AND(U179="01-계획서미제출",I179&lt;TODAY())),"CRITICAL",IF(OR(U179="04-검토중_조건불만족",U179="07-생산완료_미인수",U179="12-조건부승인검토"),"ACTION",IF(AND(ISNUMBER(W179),W179&lt;=0),"OVERDUE",IF(AND(ISNUMBER(W179),W179&lt;=14),"WARNING","ON TRACK"))))))</f>
        <v/>
      </c>
      <c r="Y179" s="19">
        <f>IF(B179="","",IF(U179="11-결과등록완료","— 완료",IF(U179="01-계획서미제출",IF(I179&lt;TODAY(),"계획서 제출 독촉 (OVERDUE)","계획서 제출 대기"),IF(U179="02-계획서제출_미검토","설계자: 계획서 검토 착수",IF(U179="03-검토중_조건충족","설계자: 승인 처리",IF(U179="04-검토중_조건불만족","보완 요청 → 협력사 재제출 독촉",IF(U179="05-계획서승인","시험편 준비 현황 확인",IF(U179="06-BIW생산중단","BIW 생산팀 확인 → 일정 재수립",IF(U179="07-생산완료_미인수","협력사 인수 독촉",IF(U179="08-단품준비완료","시험 일정 확인",IF(U179="09-시험준비중","시험 진행 모니터링",IF(U179="10-시험완료","결과 보고서 전산 등록 독촉",IF(U179="12-조건부승인검토","조건부 승인 여부 판단 → 관련부서 협의","—")))))))))))))</f>
        <v/>
      </c>
    </row>
    <row r="180">
      <c r="A180" s="5">
        <f>IF(B180="","",ROW()-4)</f>
        <v/>
      </c>
      <c r="B180" s="13" t="n"/>
      <c r="C180" s="14" t="n"/>
      <c r="D180" s="15">
        <f>IF(B180="","",IFERROR(VLOOKUP(C180,'Reference Data 기준데이터'!$E$8:$F$30,2,FALSE),""))</f>
        <v/>
      </c>
      <c r="E180" s="14" t="n"/>
      <c r="F180" s="15">
        <f>IF(B180="","",IFERROR(VLOOKUP(E180,'Reference Data 기준데이터'!$A$8:$F$30,2,FALSE),""))</f>
        <v/>
      </c>
      <c r="G180" s="15">
        <f>IF(B180="","",IFERROR(VLOOKUP(B180&amp;"_"&amp;C180,'Reference Data 기준데이터'!$A$33:$B$51,2,FALSE),""))</f>
        <v/>
      </c>
      <c r="H180" s="16">
        <f>IF(B180="","",IFERROR(VLOOKUP(B180,'Reference Data 기준데이터'!$A$2:$J$5,3,FALSE),""))</f>
        <v/>
      </c>
      <c r="I180" s="16">
        <f>IF(B180="","",IFERROR(H180+VLOOKUP(B180,'Reference Data 기준데이터'!$A$2:$J$5,7,FALSE),""))</f>
        <v/>
      </c>
      <c r="J180" s="20" t="n"/>
      <c r="K180" s="13" t="n"/>
      <c r="L180" s="16">
        <f>IF(B180="","",IFERROR(H180+VLOOKUP(B180,'Reference Data 기준데이터'!$A$2:$J$5,8,FALSE),""))</f>
        <v/>
      </c>
      <c r="M180" s="20" t="n"/>
      <c r="N180" s="16">
        <f>IF(B180="","",IFERROR(IF(ISNUMBER(SEARCH("Vehicle",F180)),MAX(H180+VLOOKUP(B180,'Reference Data 기준데이터'!$A$2:$J$5,9,FALSE),VLOOKUP(B180,'Reference Data 기준데이터'!$A$2:$J$5,4,FALSE)),H180+VLOOKUP(B180,'Reference Data 기준데이터'!$A$2:$J$5,9,FALSE)),""))</f>
        <v/>
      </c>
      <c r="O180" s="20" t="n"/>
      <c r="P180" s="16">
        <f>IF(B180="","",IFERROR(N180+VLOOKUP(E180,'Reference Data 기준데이터'!$A$8:$F$30,4,FALSE),""))</f>
        <v/>
      </c>
      <c r="Q180" s="20" t="n"/>
      <c r="R180" s="16">
        <f>IF(B180="","",IFERROR(MIN(H180+VLOOKUP(B180,'Reference Data 기준데이터'!$A$2:$J$5,10,FALSE),VLOOKUP(B180,'Reference Data 기준데이터'!$A$2:$J$5,6,FALSE)),""))</f>
        <v/>
      </c>
      <c r="S180" s="20" t="n"/>
      <c r="T180" s="13" t="n"/>
      <c r="U180" s="17">
        <f>IF(B180="","",IF(T180&lt;&gt;"",T180,IF(AND(S180&lt;&gt;"",Q180&lt;&gt;""),"11-결과등록완료",IF(AND(Q180&lt;&gt;"",S180=""),"10-시험완료",IF(AND(O180&lt;&gt;"",Q180=""),"09-시험준비중",IF(AND(M180&lt;&gt;"",O180=""),"08-단품준비완료",IF(K180="Approved","05-계획서승인",IF(K180="Revision Needed","04-검토중_조건불만족",IF(K180="Under Review","03-검토중_조건충족",IF(AND(J180&lt;&gt;"",K180=""),"02-계획서제출_미검토","01-계획서미제출"))))))))))</f>
        <v/>
      </c>
      <c r="V180" s="18">
        <f>IF(B180="","",IFS(U180="01-계획서미제출",0,U180="02-계획서제출_미검토",0.05,U180="03-검토중_조건충족",0.1,U180="04-검토중_조건불만족",0.05,U180="05-계획서승인",0.2,U180="06-BIW생산중단",0.15,U180="07-생산완료_미인수",0.3,U180="08-단품준비완료",0.4,U180="09-시험준비중",0.55,U180="10-시험완료",0.85,U180="11-결과등록완료",1,U180="12-조건부승인검토",0.9,TRUE,0))</f>
        <v/>
      </c>
      <c r="W180" s="5">
        <f>IF(B180="","",IF(S180&lt;&gt;"","-",IF(R180="","N/A",R180-TODAY())))</f>
        <v/>
      </c>
      <c r="X180" s="17">
        <f>IF(B180="","",IF(U180="11-결과등록완료","DONE",IF(OR(U180="06-BIW생산중단",AND(U180="01-계획서미제출",I180&lt;TODAY())),"CRITICAL",IF(OR(U180="04-검토중_조건불만족",U180="07-생산완료_미인수",U180="12-조건부승인검토"),"ACTION",IF(AND(ISNUMBER(W180),W180&lt;=0),"OVERDUE",IF(AND(ISNUMBER(W180),W180&lt;=14),"WARNING","ON TRACK"))))))</f>
        <v/>
      </c>
      <c r="Y180" s="19">
        <f>IF(B180="","",IF(U180="11-결과등록완료","— 완료",IF(U180="01-계획서미제출",IF(I180&lt;TODAY(),"계획서 제출 독촉 (OVERDUE)","계획서 제출 대기"),IF(U180="02-계획서제출_미검토","설계자: 계획서 검토 착수",IF(U180="03-검토중_조건충족","설계자: 승인 처리",IF(U180="04-검토중_조건불만족","보완 요청 → 협력사 재제출 독촉",IF(U180="05-계획서승인","시험편 준비 현황 확인",IF(U180="06-BIW생산중단","BIW 생산팀 확인 → 일정 재수립",IF(U180="07-생산완료_미인수","협력사 인수 독촉",IF(U180="08-단품준비완료","시험 일정 확인",IF(U180="09-시험준비중","시험 진행 모니터링",IF(U180="10-시험완료","결과 보고서 전산 등록 독촉",IF(U180="12-조건부승인검토","조건부 승인 여부 판단 → 관련부서 협의","—")))))))))))))</f>
        <v/>
      </c>
    </row>
    <row r="181">
      <c r="A181" s="5">
        <f>IF(B181="","",ROW()-4)</f>
        <v/>
      </c>
      <c r="B181" s="13" t="n"/>
      <c r="C181" s="14" t="n"/>
      <c r="D181" s="15">
        <f>IF(B181="","",IFERROR(VLOOKUP(C181,'Reference Data 기준데이터'!$E$8:$F$30,2,FALSE),""))</f>
        <v/>
      </c>
      <c r="E181" s="14" t="n"/>
      <c r="F181" s="15">
        <f>IF(B181="","",IFERROR(VLOOKUP(E181,'Reference Data 기준데이터'!$A$8:$F$30,2,FALSE),""))</f>
        <v/>
      </c>
      <c r="G181" s="15">
        <f>IF(B181="","",IFERROR(VLOOKUP(B181&amp;"_"&amp;C181,'Reference Data 기준데이터'!$A$33:$B$51,2,FALSE),""))</f>
        <v/>
      </c>
      <c r="H181" s="16">
        <f>IF(B181="","",IFERROR(VLOOKUP(B181,'Reference Data 기준데이터'!$A$2:$J$5,3,FALSE),""))</f>
        <v/>
      </c>
      <c r="I181" s="16">
        <f>IF(B181="","",IFERROR(H181+VLOOKUP(B181,'Reference Data 기준데이터'!$A$2:$J$5,7,FALSE),""))</f>
        <v/>
      </c>
      <c r="J181" s="20" t="n"/>
      <c r="K181" s="13" t="n"/>
      <c r="L181" s="16">
        <f>IF(B181="","",IFERROR(H181+VLOOKUP(B181,'Reference Data 기준데이터'!$A$2:$J$5,8,FALSE),""))</f>
        <v/>
      </c>
      <c r="M181" s="20" t="n"/>
      <c r="N181" s="16">
        <f>IF(B181="","",IFERROR(IF(ISNUMBER(SEARCH("Vehicle",F181)),MAX(H181+VLOOKUP(B181,'Reference Data 기준데이터'!$A$2:$J$5,9,FALSE),VLOOKUP(B181,'Reference Data 기준데이터'!$A$2:$J$5,4,FALSE)),H181+VLOOKUP(B181,'Reference Data 기준데이터'!$A$2:$J$5,9,FALSE)),""))</f>
        <v/>
      </c>
      <c r="O181" s="20" t="n"/>
      <c r="P181" s="16">
        <f>IF(B181="","",IFERROR(N181+VLOOKUP(E181,'Reference Data 기준데이터'!$A$8:$F$30,4,FALSE),""))</f>
        <v/>
      </c>
      <c r="Q181" s="20" t="n"/>
      <c r="R181" s="16">
        <f>IF(B181="","",IFERROR(MIN(H181+VLOOKUP(B181,'Reference Data 기준데이터'!$A$2:$J$5,10,FALSE),VLOOKUP(B181,'Reference Data 기준데이터'!$A$2:$J$5,6,FALSE)),""))</f>
        <v/>
      </c>
      <c r="S181" s="20" t="n"/>
      <c r="T181" s="13" t="n"/>
      <c r="U181" s="17">
        <f>IF(B181="","",IF(T181&lt;&gt;"",T181,IF(AND(S181&lt;&gt;"",Q181&lt;&gt;""),"11-결과등록완료",IF(AND(Q181&lt;&gt;"",S181=""),"10-시험완료",IF(AND(O181&lt;&gt;"",Q181=""),"09-시험준비중",IF(AND(M181&lt;&gt;"",O181=""),"08-단품준비완료",IF(K181="Approved","05-계획서승인",IF(K181="Revision Needed","04-검토중_조건불만족",IF(K181="Under Review","03-검토중_조건충족",IF(AND(J181&lt;&gt;"",K181=""),"02-계획서제출_미검토","01-계획서미제출"))))))))))</f>
        <v/>
      </c>
      <c r="V181" s="18">
        <f>IF(B181="","",IFS(U181="01-계획서미제출",0,U181="02-계획서제출_미검토",0.05,U181="03-검토중_조건충족",0.1,U181="04-검토중_조건불만족",0.05,U181="05-계획서승인",0.2,U181="06-BIW생산중단",0.15,U181="07-생산완료_미인수",0.3,U181="08-단품준비완료",0.4,U181="09-시험준비중",0.55,U181="10-시험완료",0.85,U181="11-결과등록완료",1,U181="12-조건부승인검토",0.9,TRUE,0))</f>
        <v/>
      </c>
      <c r="W181" s="5">
        <f>IF(B181="","",IF(S181&lt;&gt;"","-",IF(R181="","N/A",R181-TODAY())))</f>
        <v/>
      </c>
      <c r="X181" s="17">
        <f>IF(B181="","",IF(U181="11-결과등록완료","DONE",IF(OR(U181="06-BIW생산중단",AND(U181="01-계획서미제출",I181&lt;TODAY())),"CRITICAL",IF(OR(U181="04-검토중_조건불만족",U181="07-생산완료_미인수",U181="12-조건부승인검토"),"ACTION",IF(AND(ISNUMBER(W181),W181&lt;=0),"OVERDUE",IF(AND(ISNUMBER(W181),W181&lt;=14),"WARNING","ON TRACK"))))))</f>
        <v/>
      </c>
      <c r="Y181" s="19">
        <f>IF(B181="","",IF(U181="11-결과등록완료","— 완료",IF(U181="01-계획서미제출",IF(I181&lt;TODAY(),"계획서 제출 독촉 (OVERDUE)","계획서 제출 대기"),IF(U181="02-계획서제출_미검토","설계자: 계획서 검토 착수",IF(U181="03-검토중_조건충족","설계자: 승인 처리",IF(U181="04-검토중_조건불만족","보완 요청 → 협력사 재제출 독촉",IF(U181="05-계획서승인","시험편 준비 현황 확인",IF(U181="06-BIW생산중단","BIW 생산팀 확인 → 일정 재수립",IF(U181="07-생산완료_미인수","협력사 인수 독촉",IF(U181="08-단품준비완료","시험 일정 확인",IF(U181="09-시험준비중","시험 진행 모니터링",IF(U181="10-시험완료","결과 보고서 전산 등록 독촉",IF(U181="12-조건부승인검토","조건부 승인 여부 판단 → 관련부서 협의","—")))))))))))))</f>
        <v/>
      </c>
    </row>
    <row r="182">
      <c r="A182" s="5">
        <f>IF(B182="","",ROW()-4)</f>
        <v/>
      </c>
      <c r="B182" s="13" t="n"/>
      <c r="C182" s="14" t="n"/>
      <c r="D182" s="15">
        <f>IF(B182="","",IFERROR(VLOOKUP(C182,'Reference Data 기준데이터'!$E$8:$F$30,2,FALSE),""))</f>
        <v/>
      </c>
      <c r="E182" s="14" t="n"/>
      <c r="F182" s="15">
        <f>IF(B182="","",IFERROR(VLOOKUP(E182,'Reference Data 기준데이터'!$A$8:$F$30,2,FALSE),""))</f>
        <v/>
      </c>
      <c r="G182" s="15">
        <f>IF(B182="","",IFERROR(VLOOKUP(B182&amp;"_"&amp;C182,'Reference Data 기준데이터'!$A$33:$B$51,2,FALSE),""))</f>
        <v/>
      </c>
      <c r="H182" s="16">
        <f>IF(B182="","",IFERROR(VLOOKUP(B182,'Reference Data 기준데이터'!$A$2:$J$5,3,FALSE),""))</f>
        <v/>
      </c>
      <c r="I182" s="16">
        <f>IF(B182="","",IFERROR(H182+VLOOKUP(B182,'Reference Data 기준데이터'!$A$2:$J$5,7,FALSE),""))</f>
        <v/>
      </c>
      <c r="J182" s="20" t="n"/>
      <c r="K182" s="13" t="n"/>
      <c r="L182" s="16">
        <f>IF(B182="","",IFERROR(H182+VLOOKUP(B182,'Reference Data 기준데이터'!$A$2:$J$5,8,FALSE),""))</f>
        <v/>
      </c>
      <c r="M182" s="20" t="n"/>
      <c r="N182" s="16">
        <f>IF(B182="","",IFERROR(IF(ISNUMBER(SEARCH("Vehicle",F182)),MAX(H182+VLOOKUP(B182,'Reference Data 기준데이터'!$A$2:$J$5,9,FALSE),VLOOKUP(B182,'Reference Data 기준데이터'!$A$2:$J$5,4,FALSE)),H182+VLOOKUP(B182,'Reference Data 기준데이터'!$A$2:$J$5,9,FALSE)),""))</f>
        <v/>
      </c>
      <c r="O182" s="20" t="n"/>
      <c r="P182" s="16">
        <f>IF(B182="","",IFERROR(N182+VLOOKUP(E182,'Reference Data 기준데이터'!$A$8:$F$30,4,FALSE),""))</f>
        <v/>
      </c>
      <c r="Q182" s="20" t="n"/>
      <c r="R182" s="16">
        <f>IF(B182="","",IFERROR(MIN(H182+VLOOKUP(B182,'Reference Data 기준데이터'!$A$2:$J$5,10,FALSE),VLOOKUP(B182,'Reference Data 기준데이터'!$A$2:$J$5,6,FALSE)),""))</f>
        <v/>
      </c>
      <c r="S182" s="20" t="n"/>
      <c r="T182" s="13" t="n"/>
      <c r="U182" s="17">
        <f>IF(B182="","",IF(T182&lt;&gt;"",T182,IF(AND(S182&lt;&gt;"",Q182&lt;&gt;""),"11-결과등록완료",IF(AND(Q182&lt;&gt;"",S182=""),"10-시험완료",IF(AND(O182&lt;&gt;"",Q182=""),"09-시험준비중",IF(AND(M182&lt;&gt;"",O182=""),"08-단품준비완료",IF(K182="Approved","05-계획서승인",IF(K182="Revision Needed","04-검토중_조건불만족",IF(K182="Under Review","03-검토중_조건충족",IF(AND(J182&lt;&gt;"",K182=""),"02-계획서제출_미검토","01-계획서미제출"))))))))))</f>
        <v/>
      </c>
      <c r="V182" s="18">
        <f>IF(B182="","",IFS(U182="01-계획서미제출",0,U182="02-계획서제출_미검토",0.05,U182="03-검토중_조건충족",0.1,U182="04-검토중_조건불만족",0.05,U182="05-계획서승인",0.2,U182="06-BIW생산중단",0.15,U182="07-생산완료_미인수",0.3,U182="08-단품준비완료",0.4,U182="09-시험준비중",0.55,U182="10-시험완료",0.85,U182="11-결과등록완료",1,U182="12-조건부승인검토",0.9,TRUE,0))</f>
        <v/>
      </c>
      <c r="W182" s="5">
        <f>IF(B182="","",IF(S182&lt;&gt;"","-",IF(R182="","N/A",R182-TODAY())))</f>
        <v/>
      </c>
      <c r="X182" s="17">
        <f>IF(B182="","",IF(U182="11-결과등록완료","DONE",IF(OR(U182="06-BIW생산중단",AND(U182="01-계획서미제출",I182&lt;TODAY())),"CRITICAL",IF(OR(U182="04-검토중_조건불만족",U182="07-생산완료_미인수",U182="12-조건부승인검토"),"ACTION",IF(AND(ISNUMBER(W182),W182&lt;=0),"OVERDUE",IF(AND(ISNUMBER(W182),W182&lt;=14),"WARNING","ON TRACK"))))))</f>
        <v/>
      </c>
      <c r="Y182" s="19">
        <f>IF(B182="","",IF(U182="11-결과등록완료","— 완료",IF(U182="01-계획서미제출",IF(I182&lt;TODAY(),"계획서 제출 독촉 (OVERDUE)","계획서 제출 대기"),IF(U182="02-계획서제출_미검토","설계자: 계획서 검토 착수",IF(U182="03-검토중_조건충족","설계자: 승인 처리",IF(U182="04-검토중_조건불만족","보완 요청 → 협력사 재제출 독촉",IF(U182="05-계획서승인","시험편 준비 현황 확인",IF(U182="06-BIW생산중단","BIW 생산팀 확인 → 일정 재수립",IF(U182="07-생산완료_미인수","협력사 인수 독촉",IF(U182="08-단품준비완료","시험 일정 확인",IF(U182="09-시험준비중","시험 진행 모니터링",IF(U182="10-시험완료","결과 보고서 전산 등록 독촉",IF(U182="12-조건부승인검토","조건부 승인 여부 판단 → 관련부서 협의","—")))))))))))))</f>
        <v/>
      </c>
    </row>
    <row r="183">
      <c r="A183" s="5">
        <f>IF(B183="","",ROW()-4)</f>
        <v/>
      </c>
      <c r="B183" s="13" t="n"/>
      <c r="C183" s="14" t="n"/>
      <c r="D183" s="15">
        <f>IF(B183="","",IFERROR(VLOOKUP(C183,'Reference Data 기준데이터'!$E$8:$F$30,2,FALSE),""))</f>
        <v/>
      </c>
      <c r="E183" s="14" t="n"/>
      <c r="F183" s="15">
        <f>IF(B183="","",IFERROR(VLOOKUP(E183,'Reference Data 기준데이터'!$A$8:$F$30,2,FALSE),""))</f>
        <v/>
      </c>
      <c r="G183" s="15">
        <f>IF(B183="","",IFERROR(VLOOKUP(B183&amp;"_"&amp;C183,'Reference Data 기준데이터'!$A$33:$B$51,2,FALSE),""))</f>
        <v/>
      </c>
      <c r="H183" s="16">
        <f>IF(B183="","",IFERROR(VLOOKUP(B183,'Reference Data 기준데이터'!$A$2:$J$5,3,FALSE),""))</f>
        <v/>
      </c>
      <c r="I183" s="16">
        <f>IF(B183="","",IFERROR(H183+VLOOKUP(B183,'Reference Data 기준데이터'!$A$2:$J$5,7,FALSE),""))</f>
        <v/>
      </c>
      <c r="J183" s="20" t="n"/>
      <c r="K183" s="13" t="n"/>
      <c r="L183" s="16">
        <f>IF(B183="","",IFERROR(H183+VLOOKUP(B183,'Reference Data 기준데이터'!$A$2:$J$5,8,FALSE),""))</f>
        <v/>
      </c>
      <c r="M183" s="20" t="n"/>
      <c r="N183" s="16">
        <f>IF(B183="","",IFERROR(IF(ISNUMBER(SEARCH("Vehicle",F183)),MAX(H183+VLOOKUP(B183,'Reference Data 기준데이터'!$A$2:$J$5,9,FALSE),VLOOKUP(B183,'Reference Data 기준데이터'!$A$2:$J$5,4,FALSE)),H183+VLOOKUP(B183,'Reference Data 기준데이터'!$A$2:$J$5,9,FALSE)),""))</f>
        <v/>
      </c>
      <c r="O183" s="20" t="n"/>
      <c r="P183" s="16">
        <f>IF(B183="","",IFERROR(N183+VLOOKUP(E183,'Reference Data 기준데이터'!$A$8:$F$30,4,FALSE),""))</f>
        <v/>
      </c>
      <c r="Q183" s="20" t="n"/>
      <c r="R183" s="16">
        <f>IF(B183="","",IFERROR(MIN(H183+VLOOKUP(B183,'Reference Data 기준데이터'!$A$2:$J$5,10,FALSE),VLOOKUP(B183,'Reference Data 기준데이터'!$A$2:$J$5,6,FALSE)),""))</f>
        <v/>
      </c>
      <c r="S183" s="20" t="n"/>
      <c r="T183" s="13" t="n"/>
      <c r="U183" s="17">
        <f>IF(B183="","",IF(T183&lt;&gt;"",T183,IF(AND(S183&lt;&gt;"",Q183&lt;&gt;""),"11-결과등록완료",IF(AND(Q183&lt;&gt;"",S183=""),"10-시험완료",IF(AND(O183&lt;&gt;"",Q183=""),"09-시험준비중",IF(AND(M183&lt;&gt;"",O183=""),"08-단품준비완료",IF(K183="Approved","05-계획서승인",IF(K183="Revision Needed","04-검토중_조건불만족",IF(K183="Under Review","03-검토중_조건충족",IF(AND(J183&lt;&gt;"",K183=""),"02-계획서제출_미검토","01-계획서미제출"))))))))))</f>
        <v/>
      </c>
      <c r="V183" s="18">
        <f>IF(B183="","",IFS(U183="01-계획서미제출",0,U183="02-계획서제출_미검토",0.05,U183="03-검토중_조건충족",0.1,U183="04-검토중_조건불만족",0.05,U183="05-계획서승인",0.2,U183="06-BIW생산중단",0.15,U183="07-생산완료_미인수",0.3,U183="08-단품준비완료",0.4,U183="09-시험준비중",0.55,U183="10-시험완료",0.85,U183="11-결과등록완료",1,U183="12-조건부승인검토",0.9,TRUE,0))</f>
        <v/>
      </c>
      <c r="W183" s="5">
        <f>IF(B183="","",IF(S183&lt;&gt;"","-",IF(R183="","N/A",R183-TODAY())))</f>
        <v/>
      </c>
      <c r="X183" s="17">
        <f>IF(B183="","",IF(U183="11-결과등록완료","DONE",IF(OR(U183="06-BIW생산중단",AND(U183="01-계획서미제출",I183&lt;TODAY())),"CRITICAL",IF(OR(U183="04-검토중_조건불만족",U183="07-생산완료_미인수",U183="12-조건부승인검토"),"ACTION",IF(AND(ISNUMBER(W183),W183&lt;=0),"OVERDUE",IF(AND(ISNUMBER(W183),W183&lt;=14),"WARNING","ON TRACK"))))))</f>
        <v/>
      </c>
      <c r="Y183" s="19">
        <f>IF(B183="","",IF(U183="11-결과등록완료","— 완료",IF(U183="01-계획서미제출",IF(I183&lt;TODAY(),"계획서 제출 독촉 (OVERDUE)","계획서 제출 대기"),IF(U183="02-계획서제출_미검토","설계자: 계획서 검토 착수",IF(U183="03-검토중_조건충족","설계자: 승인 처리",IF(U183="04-검토중_조건불만족","보완 요청 → 협력사 재제출 독촉",IF(U183="05-계획서승인","시험편 준비 현황 확인",IF(U183="06-BIW생산중단","BIW 생산팀 확인 → 일정 재수립",IF(U183="07-생산완료_미인수","협력사 인수 독촉",IF(U183="08-단품준비완료","시험 일정 확인",IF(U183="09-시험준비중","시험 진행 모니터링",IF(U183="10-시험완료","결과 보고서 전산 등록 독촉",IF(U183="12-조건부승인검토","조건부 승인 여부 판단 → 관련부서 협의","—")))))))))))))</f>
        <v/>
      </c>
    </row>
    <row r="184">
      <c r="A184" s="5">
        <f>IF(B184="","",ROW()-4)</f>
        <v/>
      </c>
      <c r="B184" s="13" t="n"/>
      <c r="C184" s="14" t="n"/>
      <c r="D184" s="15">
        <f>IF(B184="","",IFERROR(VLOOKUP(C184,'Reference Data 기준데이터'!$E$8:$F$30,2,FALSE),""))</f>
        <v/>
      </c>
      <c r="E184" s="14" t="n"/>
      <c r="F184" s="15">
        <f>IF(B184="","",IFERROR(VLOOKUP(E184,'Reference Data 기준데이터'!$A$8:$F$30,2,FALSE),""))</f>
        <v/>
      </c>
      <c r="G184" s="15">
        <f>IF(B184="","",IFERROR(VLOOKUP(B184&amp;"_"&amp;C184,'Reference Data 기준데이터'!$A$33:$B$51,2,FALSE),""))</f>
        <v/>
      </c>
      <c r="H184" s="16">
        <f>IF(B184="","",IFERROR(VLOOKUP(B184,'Reference Data 기준데이터'!$A$2:$J$5,3,FALSE),""))</f>
        <v/>
      </c>
      <c r="I184" s="16">
        <f>IF(B184="","",IFERROR(H184+VLOOKUP(B184,'Reference Data 기준데이터'!$A$2:$J$5,7,FALSE),""))</f>
        <v/>
      </c>
      <c r="J184" s="20" t="n"/>
      <c r="K184" s="13" t="n"/>
      <c r="L184" s="16">
        <f>IF(B184="","",IFERROR(H184+VLOOKUP(B184,'Reference Data 기준데이터'!$A$2:$J$5,8,FALSE),""))</f>
        <v/>
      </c>
      <c r="M184" s="20" t="n"/>
      <c r="N184" s="16">
        <f>IF(B184="","",IFERROR(IF(ISNUMBER(SEARCH("Vehicle",F184)),MAX(H184+VLOOKUP(B184,'Reference Data 기준데이터'!$A$2:$J$5,9,FALSE),VLOOKUP(B184,'Reference Data 기준데이터'!$A$2:$J$5,4,FALSE)),H184+VLOOKUP(B184,'Reference Data 기준데이터'!$A$2:$J$5,9,FALSE)),""))</f>
        <v/>
      </c>
      <c r="O184" s="20" t="n"/>
      <c r="P184" s="16">
        <f>IF(B184="","",IFERROR(N184+VLOOKUP(E184,'Reference Data 기준데이터'!$A$8:$F$30,4,FALSE),""))</f>
        <v/>
      </c>
      <c r="Q184" s="20" t="n"/>
      <c r="R184" s="16">
        <f>IF(B184="","",IFERROR(MIN(H184+VLOOKUP(B184,'Reference Data 기준데이터'!$A$2:$J$5,10,FALSE),VLOOKUP(B184,'Reference Data 기준데이터'!$A$2:$J$5,6,FALSE)),""))</f>
        <v/>
      </c>
      <c r="S184" s="20" t="n"/>
      <c r="T184" s="13" t="n"/>
      <c r="U184" s="17">
        <f>IF(B184="","",IF(T184&lt;&gt;"",T184,IF(AND(S184&lt;&gt;"",Q184&lt;&gt;""),"11-결과등록완료",IF(AND(Q184&lt;&gt;"",S184=""),"10-시험완료",IF(AND(O184&lt;&gt;"",Q184=""),"09-시험준비중",IF(AND(M184&lt;&gt;"",O184=""),"08-단품준비완료",IF(K184="Approved","05-계획서승인",IF(K184="Revision Needed","04-검토중_조건불만족",IF(K184="Under Review","03-검토중_조건충족",IF(AND(J184&lt;&gt;"",K184=""),"02-계획서제출_미검토","01-계획서미제출"))))))))))</f>
        <v/>
      </c>
      <c r="V184" s="18">
        <f>IF(B184="","",IFS(U184="01-계획서미제출",0,U184="02-계획서제출_미검토",0.05,U184="03-검토중_조건충족",0.1,U184="04-검토중_조건불만족",0.05,U184="05-계획서승인",0.2,U184="06-BIW생산중단",0.15,U184="07-생산완료_미인수",0.3,U184="08-단품준비완료",0.4,U184="09-시험준비중",0.55,U184="10-시험완료",0.85,U184="11-결과등록완료",1,U184="12-조건부승인검토",0.9,TRUE,0))</f>
        <v/>
      </c>
      <c r="W184" s="5">
        <f>IF(B184="","",IF(S184&lt;&gt;"","-",IF(R184="","N/A",R184-TODAY())))</f>
        <v/>
      </c>
      <c r="X184" s="17">
        <f>IF(B184="","",IF(U184="11-결과등록완료","DONE",IF(OR(U184="06-BIW생산중단",AND(U184="01-계획서미제출",I184&lt;TODAY())),"CRITICAL",IF(OR(U184="04-검토중_조건불만족",U184="07-생산완료_미인수",U184="12-조건부승인검토"),"ACTION",IF(AND(ISNUMBER(W184),W184&lt;=0),"OVERDUE",IF(AND(ISNUMBER(W184),W184&lt;=14),"WARNING","ON TRACK"))))))</f>
        <v/>
      </c>
      <c r="Y184" s="19">
        <f>IF(B184="","",IF(U184="11-결과등록완료","— 완료",IF(U184="01-계획서미제출",IF(I184&lt;TODAY(),"계획서 제출 독촉 (OVERDUE)","계획서 제출 대기"),IF(U184="02-계획서제출_미검토","설계자: 계획서 검토 착수",IF(U184="03-검토중_조건충족","설계자: 승인 처리",IF(U184="04-검토중_조건불만족","보완 요청 → 협력사 재제출 독촉",IF(U184="05-계획서승인","시험편 준비 현황 확인",IF(U184="06-BIW생산중단","BIW 생산팀 확인 → 일정 재수립",IF(U184="07-생산완료_미인수","협력사 인수 독촉",IF(U184="08-단품준비완료","시험 일정 확인",IF(U184="09-시험준비중","시험 진행 모니터링",IF(U184="10-시험완료","결과 보고서 전산 등록 독촉",IF(U184="12-조건부승인검토","조건부 승인 여부 판단 → 관련부서 협의","—")))))))))))))</f>
        <v/>
      </c>
    </row>
    <row r="185">
      <c r="A185" s="5">
        <f>IF(B185="","",ROW()-4)</f>
        <v/>
      </c>
      <c r="B185" s="13" t="n"/>
      <c r="C185" s="14" t="n"/>
      <c r="D185" s="15">
        <f>IF(B185="","",IFERROR(VLOOKUP(C185,'Reference Data 기준데이터'!$E$8:$F$30,2,FALSE),""))</f>
        <v/>
      </c>
      <c r="E185" s="14" t="n"/>
      <c r="F185" s="15">
        <f>IF(B185="","",IFERROR(VLOOKUP(E185,'Reference Data 기준데이터'!$A$8:$F$30,2,FALSE),""))</f>
        <v/>
      </c>
      <c r="G185" s="15">
        <f>IF(B185="","",IFERROR(VLOOKUP(B185&amp;"_"&amp;C185,'Reference Data 기준데이터'!$A$33:$B$51,2,FALSE),""))</f>
        <v/>
      </c>
      <c r="H185" s="16">
        <f>IF(B185="","",IFERROR(VLOOKUP(B185,'Reference Data 기준데이터'!$A$2:$J$5,3,FALSE),""))</f>
        <v/>
      </c>
      <c r="I185" s="16">
        <f>IF(B185="","",IFERROR(H185+VLOOKUP(B185,'Reference Data 기준데이터'!$A$2:$J$5,7,FALSE),""))</f>
        <v/>
      </c>
      <c r="J185" s="20" t="n"/>
      <c r="K185" s="13" t="n"/>
      <c r="L185" s="16">
        <f>IF(B185="","",IFERROR(H185+VLOOKUP(B185,'Reference Data 기준데이터'!$A$2:$J$5,8,FALSE),""))</f>
        <v/>
      </c>
      <c r="M185" s="20" t="n"/>
      <c r="N185" s="16">
        <f>IF(B185="","",IFERROR(IF(ISNUMBER(SEARCH("Vehicle",F185)),MAX(H185+VLOOKUP(B185,'Reference Data 기준데이터'!$A$2:$J$5,9,FALSE),VLOOKUP(B185,'Reference Data 기준데이터'!$A$2:$J$5,4,FALSE)),H185+VLOOKUP(B185,'Reference Data 기준데이터'!$A$2:$J$5,9,FALSE)),""))</f>
        <v/>
      </c>
      <c r="O185" s="20" t="n"/>
      <c r="P185" s="16">
        <f>IF(B185="","",IFERROR(N185+VLOOKUP(E185,'Reference Data 기준데이터'!$A$8:$F$30,4,FALSE),""))</f>
        <v/>
      </c>
      <c r="Q185" s="20" t="n"/>
      <c r="R185" s="16">
        <f>IF(B185="","",IFERROR(MIN(H185+VLOOKUP(B185,'Reference Data 기준데이터'!$A$2:$J$5,10,FALSE),VLOOKUP(B185,'Reference Data 기준데이터'!$A$2:$J$5,6,FALSE)),""))</f>
        <v/>
      </c>
      <c r="S185" s="20" t="n"/>
      <c r="T185" s="13" t="n"/>
      <c r="U185" s="17">
        <f>IF(B185="","",IF(T185&lt;&gt;"",T185,IF(AND(S185&lt;&gt;"",Q185&lt;&gt;""),"11-결과등록완료",IF(AND(Q185&lt;&gt;"",S185=""),"10-시험완료",IF(AND(O185&lt;&gt;"",Q185=""),"09-시험준비중",IF(AND(M185&lt;&gt;"",O185=""),"08-단품준비완료",IF(K185="Approved","05-계획서승인",IF(K185="Revision Needed","04-검토중_조건불만족",IF(K185="Under Review","03-검토중_조건충족",IF(AND(J185&lt;&gt;"",K185=""),"02-계획서제출_미검토","01-계획서미제출"))))))))))</f>
        <v/>
      </c>
      <c r="V185" s="18">
        <f>IF(B185="","",IFS(U185="01-계획서미제출",0,U185="02-계획서제출_미검토",0.05,U185="03-검토중_조건충족",0.1,U185="04-검토중_조건불만족",0.05,U185="05-계획서승인",0.2,U185="06-BIW생산중단",0.15,U185="07-생산완료_미인수",0.3,U185="08-단품준비완료",0.4,U185="09-시험준비중",0.55,U185="10-시험완료",0.85,U185="11-결과등록완료",1,U185="12-조건부승인검토",0.9,TRUE,0))</f>
        <v/>
      </c>
      <c r="W185" s="5">
        <f>IF(B185="","",IF(S185&lt;&gt;"","-",IF(R185="","N/A",R185-TODAY())))</f>
        <v/>
      </c>
      <c r="X185" s="17">
        <f>IF(B185="","",IF(U185="11-결과등록완료","DONE",IF(OR(U185="06-BIW생산중단",AND(U185="01-계획서미제출",I185&lt;TODAY())),"CRITICAL",IF(OR(U185="04-검토중_조건불만족",U185="07-생산완료_미인수",U185="12-조건부승인검토"),"ACTION",IF(AND(ISNUMBER(W185),W185&lt;=0),"OVERDUE",IF(AND(ISNUMBER(W185),W185&lt;=14),"WARNING","ON TRACK"))))))</f>
        <v/>
      </c>
      <c r="Y185" s="19">
        <f>IF(B185="","",IF(U185="11-결과등록완료","— 완료",IF(U185="01-계획서미제출",IF(I185&lt;TODAY(),"계획서 제출 독촉 (OVERDUE)","계획서 제출 대기"),IF(U185="02-계획서제출_미검토","설계자: 계획서 검토 착수",IF(U185="03-검토중_조건충족","설계자: 승인 처리",IF(U185="04-검토중_조건불만족","보완 요청 → 협력사 재제출 독촉",IF(U185="05-계획서승인","시험편 준비 현황 확인",IF(U185="06-BIW생산중단","BIW 생산팀 확인 → 일정 재수립",IF(U185="07-생산완료_미인수","협력사 인수 독촉",IF(U185="08-단품준비완료","시험 일정 확인",IF(U185="09-시험준비중","시험 진행 모니터링",IF(U185="10-시험완료","결과 보고서 전산 등록 독촉",IF(U185="12-조건부승인검토","조건부 승인 여부 판단 → 관련부서 협의","—")))))))))))))</f>
        <v/>
      </c>
    </row>
    <row r="186">
      <c r="A186" s="5">
        <f>IF(B186="","",ROW()-4)</f>
        <v/>
      </c>
      <c r="B186" s="13" t="n"/>
      <c r="C186" s="14" t="n"/>
      <c r="D186" s="15">
        <f>IF(B186="","",IFERROR(VLOOKUP(C186,'Reference Data 기준데이터'!$E$8:$F$30,2,FALSE),""))</f>
        <v/>
      </c>
      <c r="E186" s="14" t="n"/>
      <c r="F186" s="15">
        <f>IF(B186="","",IFERROR(VLOOKUP(E186,'Reference Data 기준데이터'!$A$8:$F$30,2,FALSE),""))</f>
        <v/>
      </c>
      <c r="G186" s="15">
        <f>IF(B186="","",IFERROR(VLOOKUP(B186&amp;"_"&amp;C186,'Reference Data 기준데이터'!$A$33:$B$51,2,FALSE),""))</f>
        <v/>
      </c>
      <c r="H186" s="16">
        <f>IF(B186="","",IFERROR(VLOOKUP(B186,'Reference Data 기준데이터'!$A$2:$J$5,3,FALSE),""))</f>
        <v/>
      </c>
      <c r="I186" s="16">
        <f>IF(B186="","",IFERROR(H186+VLOOKUP(B186,'Reference Data 기준데이터'!$A$2:$J$5,7,FALSE),""))</f>
        <v/>
      </c>
      <c r="J186" s="20" t="n"/>
      <c r="K186" s="13" t="n"/>
      <c r="L186" s="16">
        <f>IF(B186="","",IFERROR(H186+VLOOKUP(B186,'Reference Data 기준데이터'!$A$2:$J$5,8,FALSE),""))</f>
        <v/>
      </c>
      <c r="M186" s="20" t="n"/>
      <c r="N186" s="16">
        <f>IF(B186="","",IFERROR(IF(ISNUMBER(SEARCH("Vehicle",F186)),MAX(H186+VLOOKUP(B186,'Reference Data 기준데이터'!$A$2:$J$5,9,FALSE),VLOOKUP(B186,'Reference Data 기준데이터'!$A$2:$J$5,4,FALSE)),H186+VLOOKUP(B186,'Reference Data 기준데이터'!$A$2:$J$5,9,FALSE)),""))</f>
        <v/>
      </c>
      <c r="O186" s="20" t="n"/>
      <c r="P186" s="16">
        <f>IF(B186="","",IFERROR(N186+VLOOKUP(E186,'Reference Data 기준데이터'!$A$8:$F$30,4,FALSE),""))</f>
        <v/>
      </c>
      <c r="Q186" s="20" t="n"/>
      <c r="R186" s="16">
        <f>IF(B186="","",IFERROR(MIN(H186+VLOOKUP(B186,'Reference Data 기준데이터'!$A$2:$J$5,10,FALSE),VLOOKUP(B186,'Reference Data 기준데이터'!$A$2:$J$5,6,FALSE)),""))</f>
        <v/>
      </c>
      <c r="S186" s="20" t="n"/>
      <c r="T186" s="13" t="n"/>
      <c r="U186" s="17">
        <f>IF(B186="","",IF(T186&lt;&gt;"",T186,IF(AND(S186&lt;&gt;"",Q186&lt;&gt;""),"11-결과등록완료",IF(AND(Q186&lt;&gt;"",S186=""),"10-시험완료",IF(AND(O186&lt;&gt;"",Q186=""),"09-시험준비중",IF(AND(M186&lt;&gt;"",O186=""),"08-단품준비완료",IF(K186="Approved","05-계획서승인",IF(K186="Revision Needed","04-검토중_조건불만족",IF(K186="Under Review","03-검토중_조건충족",IF(AND(J186&lt;&gt;"",K186=""),"02-계획서제출_미검토","01-계획서미제출"))))))))))</f>
        <v/>
      </c>
      <c r="V186" s="18">
        <f>IF(B186="","",IFS(U186="01-계획서미제출",0,U186="02-계획서제출_미검토",0.05,U186="03-검토중_조건충족",0.1,U186="04-검토중_조건불만족",0.05,U186="05-계획서승인",0.2,U186="06-BIW생산중단",0.15,U186="07-생산완료_미인수",0.3,U186="08-단품준비완료",0.4,U186="09-시험준비중",0.55,U186="10-시험완료",0.85,U186="11-결과등록완료",1,U186="12-조건부승인검토",0.9,TRUE,0))</f>
        <v/>
      </c>
      <c r="W186" s="5">
        <f>IF(B186="","",IF(S186&lt;&gt;"","-",IF(R186="","N/A",R186-TODAY())))</f>
        <v/>
      </c>
      <c r="X186" s="17">
        <f>IF(B186="","",IF(U186="11-결과등록완료","DONE",IF(OR(U186="06-BIW생산중단",AND(U186="01-계획서미제출",I186&lt;TODAY())),"CRITICAL",IF(OR(U186="04-검토중_조건불만족",U186="07-생산완료_미인수",U186="12-조건부승인검토"),"ACTION",IF(AND(ISNUMBER(W186),W186&lt;=0),"OVERDUE",IF(AND(ISNUMBER(W186),W186&lt;=14),"WARNING","ON TRACK"))))))</f>
        <v/>
      </c>
      <c r="Y186" s="19">
        <f>IF(B186="","",IF(U186="11-결과등록완료","— 완료",IF(U186="01-계획서미제출",IF(I186&lt;TODAY(),"계획서 제출 독촉 (OVERDUE)","계획서 제출 대기"),IF(U186="02-계획서제출_미검토","설계자: 계획서 검토 착수",IF(U186="03-검토중_조건충족","설계자: 승인 처리",IF(U186="04-검토중_조건불만족","보완 요청 → 협력사 재제출 독촉",IF(U186="05-계획서승인","시험편 준비 현황 확인",IF(U186="06-BIW생산중단","BIW 생산팀 확인 → 일정 재수립",IF(U186="07-생산완료_미인수","협력사 인수 독촉",IF(U186="08-단품준비완료","시험 일정 확인",IF(U186="09-시험준비중","시험 진행 모니터링",IF(U186="10-시험완료","결과 보고서 전산 등록 독촉",IF(U186="12-조건부승인검토","조건부 승인 여부 판단 → 관련부서 협의","—")))))))))))))</f>
        <v/>
      </c>
    </row>
    <row r="187">
      <c r="A187" s="5">
        <f>IF(B187="","",ROW()-4)</f>
        <v/>
      </c>
      <c r="B187" s="13" t="n"/>
      <c r="C187" s="14" t="n"/>
      <c r="D187" s="15">
        <f>IF(B187="","",IFERROR(VLOOKUP(C187,'Reference Data 기준데이터'!$E$8:$F$30,2,FALSE),""))</f>
        <v/>
      </c>
      <c r="E187" s="14" t="n"/>
      <c r="F187" s="15">
        <f>IF(B187="","",IFERROR(VLOOKUP(E187,'Reference Data 기준데이터'!$A$8:$F$30,2,FALSE),""))</f>
        <v/>
      </c>
      <c r="G187" s="15">
        <f>IF(B187="","",IFERROR(VLOOKUP(B187&amp;"_"&amp;C187,'Reference Data 기준데이터'!$A$33:$B$51,2,FALSE),""))</f>
        <v/>
      </c>
      <c r="H187" s="16">
        <f>IF(B187="","",IFERROR(VLOOKUP(B187,'Reference Data 기준데이터'!$A$2:$J$5,3,FALSE),""))</f>
        <v/>
      </c>
      <c r="I187" s="16">
        <f>IF(B187="","",IFERROR(H187+VLOOKUP(B187,'Reference Data 기준데이터'!$A$2:$J$5,7,FALSE),""))</f>
        <v/>
      </c>
      <c r="J187" s="20" t="n"/>
      <c r="K187" s="13" t="n"/>
      <c r="L187" s="16">
        <f>IF(B187="","",IFERROR(H187+VLOOKUP(B187,'Reference Data 기준데이터'!$A$2:$J$5,8,FALSE),""))</f>
        <v/>
      </c>
      <c r="M187" s="20" t="n"/>
      <c r="N187" s="16">
        <f>IF(B187="","",IFERROR(IF(ISNUMBER(SEARCH("Vehicle",F187)),MAX(H187+VLOOKUP(B187,'Reference Data 기준데이터'!$A$2:$J$5,9,FALSE),VLOOKUP(B187,'Reference Data 기준데이터'!$A$2:$J$5,4,FALSE)),H187+VLOOKUP(B187,'Reference Data 기준데이터'!$A$2:$J$5,9,FALSE)),""))</f>
        <v/>
      </c>
      <c r="O187" s="20" t="n"/>
      <c r="P187" s="16">
        <f>IF(B187="","",IFERROR(N187+VLOOKUP(E187,'Reference Data 기준데이터'!$A$8:$F$30,4,FALSE),""))</f>
        <v/>
      </c>
      <c r="Q187" s="20" t="n"/>
      <c r="R187" s="16">
        <f>IF(B187="","",IFERROR(MIN(H187+VLOOKUP(B187,'Reference Data 기준데이터'!$A$2:$J$5,10,FALSE),VLOOKUP(B187,'Reference Data 기준데이터'!$A$2:$J$5,6,FALSE)),""))</f>
        <v/>
      </c>
      <c r="S187" s="20" t="n"/>
      <c r="T187" s="13" t="n"/>
      <c r="U187" s="17">
        <f>IF(B187="","",IF(T187&lt;&gt;"",T187,IF(AND(S187&lt;&gt;"",Q187&lt;&gt;""),"11-결과등록완료",IF(AND(Q187&lt;&gt;"",S187=""),"10-시험완료",IF(AND(O187&lt;&gt;"",Q187=""),"09-시험준비중",IF(AND(M187&lt;&gt;"",O187=""),"08-단품준비완료",IF(K187="Approved","05-계획서승인",IF(K187="Revision Needed","04-검토중_조건불만족",IF(K187="Under Review","03-검토중_조건충족",IF(AND(J187&lt;&gt;"",K187=""),"02-계획서제출_미검토","01-계획서미제출"))))))))))</f>
        <v/>
      </c>
      <c r="V187" s="18">
        <f>IF(B187="","",IFS(U187="01-계획서미제출",0,U187="02-계획서제출_미검토",0.05,U187="03-검토중_조건충족",0.1,U187="04-검토중_조건불만족",0.05,U187="05-계획서승인",0.2,U187="06-BIW생산중단",0.15,U187="07-생산완료_미인수",0.3,U187="08-단품준비완료",0.4,U187="09-시험준비중",0.55,U187="10-시험완료",0.85,U187="11-결과등록완료",1,U187="12-조건부승인검토",0.9,TRUE,0))</f>
        <v/>
      </c>
      <c r="W187" s="5">
        <f>IF(B187="","",IF(S187&lt;&gt;"","-",IF(R187="","N/A",R187-TODAY())))</f>
        <v/>
      </c>
      <c r="X187" s="17">
        <f>IF(B187="","",IF(U187="11-결과등록완료","DONE",IF(OR(U187="06-BIW생산중단",AND(U187="01-계획서미제출",I187&lt;TODAY())),"CRITICAL",IF(OR(U187="04-검토중_조건불만족",U187="07-생산완료_미인수",U187="12-조건부승인검토"),"ACTION",IF(AND(ISNUMBER(W187),W187&lt;=0),"OVERDUE",IF(AND(ISNUMBER(W187),W187&lt;=14),"WARNING","ON TRACK"))))))</f>
        <v/>
      </c>
      <c r="Y187" s="19">
        <f>IF(B187="","",IF(U187="11-결과등록완료","— 완료",IF(U187="01-계획서미제출",IF(I187&lt;TODAY(),"계획서 제출 독촉 (OVERDUE)","계획서 제출 대기"),IF(U187="02-계획서제출_미검토","설계자: 계획서 검토 착수",IF(U187="03-검토중_조건충족","설계자: 승인 처리",IF(U187="04-검토중_조건불만족","보완 요청 → 협력사 재제출 독촉",IF(U187="05-계획서승인","시험편 준비 현황 확인",IF(U187="06-BIW생산중단","BIW 생산팀 확인 → 일정 재수립",IF(U187="07-생산완료_미인수","협력사 인수 독촉",IF(U187="08-단품준비완료","시험 일정 확인",IF(U187="09-시험준비중","시험 진행 모니터링",IF(U187="10-시험완료","결과 보고서 전산 등록 독촉",IF(U187="12-조건부승인검토","조건부 승인 여부 판단 → 관련부서 협의","—")))))))))))))</f>
        <v/>
      </c>
    </row>
    <row r="188">
      <c r="A188" s="5">
        <f>IF(B188="","",ROW()-4)</f>
        <v/>
      </c>
      <c r="B188" s="13" t="n"/>
      <c r="C188" s="14" t="n"/>
      <c r="D188" s="15">
        <f>IF(B188="","",IFERROR(VLOOKUP(C188,'Reference Data 기준데이터'!$E$8:$F$30,2,FALSE),""))</f>
        <v/>
      </c>
      <c r="E188" s="14" t="n"/>
      <c r="F188" s="15">
        <f>IF(B188="","",IFERROR(VLOOKUP(E188,'Reference Data 기준데이터'!$A$8:$F$30,2,FALSE),""))</f>
        <v/>
      </c>
      <c r="G188" s="15">
        <f>IF(B188="","",IFERROR(VLOOKUP(B188&amp;"_"&amp;C188,'Reference Data 기준데이터'!$A$33:$B$51,2,FALSE),""))</f>
        <v/>
      </c>
      <c r="H188" s="16">
        <f>IF(B188="","",IFERROR(VLOOKUP(B188,'Reference Data 기준데이터'!$A$2:$J$5,3,FALSE),""))</f>
        <v/>
      </c>
      <c r="I188" s="16">
        <f>IF(B188="","",IFERROR(H188+VLOOKUP(B188,'Reference Data 기준데이터'!$A$2:$J$5,7,FALSE),""))</f>
        <v/>
      </c>
      <c r="J188" s="20" t="n"/>
      <c r="K188" s="13" t="n"/>
      <c r="L188" s="16">
        <f>IF(B188="","",IFERROR(H188+VLOOKUP(B188,'Reference Data 기준데이터'!$A$2:$J$5,8,FALSE),""))</f>
        <v/>
      </c>
      <c r="M188" s="20" t="n"/>
      <c r="N188" s="16">
        <f>IF(B188="","",IFERROR(IF(ISNUMBER(SEARCH("Vehicle",F188)),MAX(H188+VLOOKUP(B188,'Reference Data 기준데이터'!$A$2:$J$5,9,FALSE),VLOOKUP(B188,'Reference Data 기준데이터'!$A$2:$J$5,4,FALSE)),H188+VLOOKUP(B188,'Reference Data 기준데이터'!$A$2:$J$5,9,FALSE)),""))</f>
        <v/>
      </c>
      <c r="O188" s="20" t="n"/>
      <c r="P188" s="16">
        <f>IF(B188="","",IFERROR(N188+VLOOKUP(E188,'Reference Data 기준데이터'!$A$8:$F$30,4,FALSE),""))</f>
        <v/>
      </c>
      <c r="Q188" s="20" t="n"/>
      <c r="R188" s="16">
        <f>IF(B188="","",IFERROR(MIN(H188+VLOOKUP(B188,'Reference Data 기준데이터'!$A$2:$J$5,10,FALSE),VLOOKUP(B188,'Reference Data 기준데이터'!$A$2:$J$5,6,FALSE)),""))</f>
        <v/>
      </c>
      <c r="S188" s="20" t="n"/>
      <c r="T188" s="13" t="n"/>
      <c r="U188" s="17">
        <f>IF(B188="","",IF(T188&lt;&gt;"",T188,IF(AND(S188&lt;&gt;"",Q188&lt;&gt;""),"11-결과등록완료",IF(AND(Q188&lt;&gt;"",S188=""),"10-시험완료",IF(AND(O188&lt;&gt;"",Q188=""),"09-시험준비중",IF(AND(M188&lt;&gt;"",O188=""),"08-단품준비완료",IF(K188="Approved","05-계획서승인",IF(K188="Revision Needed","04-검토중_조건불만족",IF(K188="Under Review","03-검토중_조건충족",IF(AND(J188&lt;&gt;"",K188=""),"02-계획서제출_미검토","01-계획서미제출"))))))))))</f>
        <v/>
      </c>
      <c r="V188" s="18">
        <f>IF(B188="","",IFS(U188="01-계획서미제출",0,U188="02-계획서제출_미검토",0.05,U188="03-검토중_조건충족",0.1,U188="04-검토중_조건불만족",0.05,U188="05-계획서승인",0.2,U188="06-BIW생산중단",0.15,U188="07-생산완료_미인수",0.3,U188="08-단품준비완료",0.4,U188="09-시험준비중",0.55,U188="10-시험완료",0.85,U188="11-결과등록완료",1,U188="12-조건부승인검토",0.9,TRUE,0))</f>
        <v/>
      </c>
      <c r="W188" s="5">
        <f>IF(B188="","",IF(S188&lt;&gt;"","-",IF(R188="","N/A",R188-TODAY())))</f>
        <v/>
      </c>
      <c r="X188" s="17">
        <f>IF(B188="","",IF(U188="11-결과등록완료","DONE",IF(OR(U188="06-BIW생산중단",AND(U188="01-계획서미제출",I188&lt;TODAY())),"CRITICAL",IF(OR(U188="04-검토중_조건불만족",U188="07-생산완료_미인수",U188="12-조건부승인검토"),"ACTION",IF(AND(ISNUMBER(W188),W188&lt;=0),"OVERDUE",IF(AND(ISNUMBER(W188),W188&lt;=14),"WARNING","ON TRACK"))))))</f>
        <v/>
      </c>
      <c r="Y188" s="19">
        <f>IF(B188="","",IF(U188="11-결과등록완료","— 완료",IF(U188="01-계획서미제출",IF(I188&lt;TODAY(),"계획서 제출 독촉 (OVERDUE)","계획서 제출 대기"),IF(U188="02-계획서제출_미검토","설계자: 계획서 검토 착수",IF(U188="03-검토중_조건충족","설계자: 승인 처리",IF(U188="04-검토중_조건불만족","보완 요청 → 협력사 재제출 독촉",IF(U188="05-계획서승인","시험편 준비 현황 확인",IF(U188="06-BIW생산중단","BIW 생산팀 확인 → 일정 재수립",IF(U188="07-생산완료_미인수","협력사 인수 독촉",IF(U188="08-단품준비완료","시험 일정 확인",IF(U188="09-시험준비중","시험 진행 모니터링",IF(U188="10-시험완료","결과 보고서 전산 등록 독촉",IF(U188="12-조건부승인검토","조건부 승인 여부 판단 → 관련부서 협의","—")))))))))))))</f>
        <v/>
      </c>
    </row>
    <row r="189">
      <c r="A189" s="5">
        <f>IF(B189="","",ROW()-4)</f>
        <v/>
      </c>
      <c r="B189" s="13" t="n"/>
      <c r="C189" s="14" t="n"/>
      <c r="D189" s="15">
        <f>IF(B189="","",IFERROR(VLOOKUP(C189,'Reference Data 기준데이터'!$E$8:$F$30,2,FALSE),""))</f>
        <v/>
      </c>
      <c r="E189" s="14" t="n"/>
      <c r="F189" s="15">
        <f>IF(B189="","",IFERROR(VLOOKUP(E189,'Reference Data 기준데이터'!$A$8:$F$30,2,FALSE),""))</f>
        <v/>
      </c>
      <c r="G189" s="15">
        <f>IF(B189="","",IFERROR(VLOOKUP(B189&amp;"_"&amp;C189,'Reference Data 기준데이터'!$A$33:$B$51,2,FALSE),""))</f>
        <v/>
      </c>
      <c r="H189" s="16">
        <f>IF(B189="","",IFERROR(VLOOKUP(B189,'Reference Data 기준데이터'!$A$2:$J$5,3,FALSE),""))</f>
        <v/>
      </c>
      <c r="I189" s="16">
        <f>IF(B189="","",IFERROR(H189+VLOOKUP(B189,'Reference Data 기준데이터'!$A$2:$J$5,7,FALSE),""))</f>
        <v/>
      </c>
      <c r="J189" s="20" t="n"/>
      <c r="K189" s="13" t="n"/>
      <c r="L189" s="16">
        <f>IF(B189="","",IFERROR(H189+VLOOKUP(B189,'Reference Data 기준데이터'!$A$2:$J$5,8,FALSE),""))</f>
        <v/>
      </c>
      <c r="M189" s="20" t="n"/>
      <c r="N189" s="16">
        <f>IF(B189="","",IFERROR(IF(ISNUMBER(SEARCH("Vehicle",F189)),MAX(H189+VLOOKUP(B189,'Reference Data 기준데이터'!$A$2:$J$5,9,FALSE),VLOOKUP(B189,'Reference Data 기준데이터'!$A$2:$J$5,4,FALSE)),H189+VLOOKUP(B189,'Reference Data 기준데이터'!$A$2:$J$5,9,FALSE)),""))</f>
        <v/>
      </c>
      <c r="O189" s="20" t="n"/>
      <c r="P189" s="16">
        <f>IF(B189="","",IFERROR(N189+VLOOKUP(E189,'Reference Data 기준데이터'!$A$8:$F$30,4,FALSE),""))</f>
        <v/>
      </c>
      <c r="Q189" s="20" t="n"/>
      <c r="R189" s="16">
        <f>IF(B189="","",IFERROR(MIN(H189+VLOOKUP(B189,'Reference Data 기준데이터'!$A$2:$J$5,10,FALSE),VLOOKUP(B189,'Reference Data 기준데이터'!$A$2:$J$5,6,FALSE)),""))</f>
        <v/>
      </c>
      <c r="S189" s="20" t="n"/>
      <c r="T189" s="13" t="n"/>
      <c r="U189" s="17">
        <f>IF(B189="","",IF(T189&lt;&gt;"",T189,IF(AND(S189&lt;&gt;"",Q189&lt;&gt;""),"11-결과등록완료",IF(AND(Q189&lt;&gt;"",S189=""),"10-시험완료",IF(AND(O189&lt;&gt;"",Q189=""),"09-시험준비중",IF(AND(M189&lt;&gt;"",O189=""),"08-단품준비완료",IF(K189="Approved","05-계획서승인",IF(K189="Revision Needed","04-검토중_조건불만족",IF(K189="Under Review","03-검토중_조건충족",IF(AND(J189&lt;&gt;"",K189=""),"02-계획서제출_미검토","01-계획서미제출"))))))))))</f>
        <v/>
      </c>
      <c r="V189" s="18">
        <f>IF(B189="","",IFS(U189="01-계획서미제출",0,U189="02-계획서제출_미검토",0.05,U189="03-검토중_조건충족",0.1,U189="04-검토중_조건불만족",0.05,U189="05-계획서승인",0.2,U189="06-BIW생산중단",0.15,U189="07-생산완료_미인수",0.3,U189="08-단품준비완료",0.4,U189="09-시험준비중",0.55,U189="10-시험완료",0.85,U189="11-결과등록완료",1,U189="12-조건부승인검토",0.9,TRUE,0))</f>
        <v/>
      </c>
      <c r="W189" s="5">
        <f>IF(B189="","",IF(S189&lt;&gt;"","-",IF(R189="","N/A",R189-TODAY())))</f>
        <v/>
      </c>
      <c r="X189" s="17">
        <f>IF(B189="","",IF(U189="11-결과등록완료","DONE",IF(OR(U189="06-BIW생산중단",AND(U189="01-계획서미제출",I189&lt;TODAY())),"CRITICAL",IF(OR(U189="04-검토중_조건불만족",U189="07-생산완료_미인수",U189="12-조건부승인검토"),"ACTION",IF(AND(ISNUMBER(W189),W189&lt;=0),"OVERDUE",IF(AND(ISNUMBER(W189),W189&lt;=14),"WARNING","ON TRACK"))))))</f>
        <v/>
      </c>
      <c r="Y189" s="19">
        <f>IF(B189="","",IF(U189="11-결과등록완료","— 완료",IF(U189="01-계획서미제출",IF(I189&lt;TODAY(),"계획서 제출 독촉 (OVERDUE)","계획서 제출 대기"),IF(U189="02-계획서제출_미검토","설계자: 계획서 검토 착수",IF(U189="03-검토중_조건충족","설계자: 승인 처리",IF(U189="04-검토중_조건불만족","보완 요청 → 협력사 재제출 독촉",IF(U189="05-계획서승인","시험편 준비 현황 확인",IF(U189="06-BIW생산중단","BIW 생산팀 확인 → 일정 재수립",IF(U189="07-생산완료_미인수","협력사 인수 독촉",IF(U189="08-단품준비완료","시험 일정 확인",IF(U189="09-시험준비중","시험 진행 모니터링",IF(U189="10-시험완료","결과 보고서 전산 등록 독촉",IF(U189="12-조건부승인검토","조건부 승인 여부 판단 → 관련부서 협의","—")))))))))))))</f>
        <v/>
      </c>
    </row>
    <row r="190">
      <c r="A190" s="5">
        <f>IF(B190="","",ROW()-4)</f>
        <v/>
      </c>
      <c r="B190" s="13" t="n"/>
      <c r="C190" s="14" t="n"/>
      <c r="D190" s="15">
        <f>IF(B190="","",IFERROR(VLOOKUP(C190,'Reference Data 기준데이터'!$E$8:$F$30,2,FALSE),""))</f>
        <v/>
      </c>
      <c r="E190" s="14" t="n"/>
      <c r="F190" s="15">
        <f>IF(B190="","",IFERROR(VLOOKUP(E190,'Reference Data 기준데이터'!$A$8:$F$30,2,FALSE),""))</f>
        <v/>
      </c>
      <c r="G190" s="15">
        <f>IF(B190="","",IFERROR(VLOOKUP(B190&amp;"_"&amp;C190,'Reference Data 기준데이터'!$A$33:$B$51,2,FALSE),""))</f>
        <v/>
      </c>
      <c r="H190" s="16">
        <f>IF(B190="","",IFERROR(VLOOKUP(B190,'Reference Data 기준데이터'!$A$2:$J$5,3,FALSE),""))</f>
        <v/>
      </c>
      <c r="I190" s="16">
        <f>IF(B190="","",IFERROR(H190+VLOOKUP(B190,'Reference Data 기준데이터'!$A$2:$J$5,7,FALSE),""))</f>
        <v/>
      </c>
      <c r="J190" s="20" t="n"/>
      <c r="K190" s="13" t="n"/>
      <c r="L190" s="16">
        <f>IF(B190="","",IFERROR(H190+VLOOKUP(B190,'Reference Data 기준데이터'!$A$2:$J$5,8,FALSE),""))</f>
        <v/>
      </c>
      <c r="M190" s="20" t="n"/>
      <c r="N190" s="16">
        <f>IF(B190="","",IFERROR(IF(ISNUMBER(SEARCH("Vehicle",F190)),MAX(H190+VLOOKUP(B190,'Reference Data 기준데이터'!$A$2:$J$5,9,FALSE),VLOOKUP(B190,'Reference Data 기준데이터'!$A$2:$J$5,4,FALSE)),H190+VLOOKUP(B190,'Reference Data 기준데이터'!$A$2:$J$5,9,FALSE)),""))</f>
        <v/>
      </c>
      <c r="O190" s="20" t="n"/>
      <c r="P190" s="16">
        <f>IF(B190="","",IFERROR(N190+VLOOKUP(E190,'Reference Data 기준데이터'!$A$8:$F$30,4,FALSE),""))</f>
        <v/>
      </c>
      <c r="Q190" s="20" t="n"/>
      <c r="R190" s="16">
        <f>IF(B190="","",IFERROR(MIN(H190+VLOOKUP(B190,'Reference Data 기준데이터'!$A$2:$J$5,10,FALSE),VLOOKUP(B190,'Reference Data 기준데이터'!$A$2:$J$5,6,FALSE)),""))</f>
        <v/>
      </c>
      <c r="S190" s="20" t="n"/>
      <c r="T190" s="13" t="n"/>
      <c r="U190" s="17">
        <f>IF(B190="","",IF(T190&lt;&gt;"",T190,IF(AND(S190&lt;&gt;"",Q190&lt;&gt;""),"11-결과등록완료",IF(AND(Q190&lt;&gt;"",S190=""),"10-시험완료",IF(AND(O190&lt;&gt;"",Q190=""),"09-시험준비중",IF(AND(M190&lt;&gt;"",O190=""),"08-단품준비완료",IF(K190="Approved","05-계획서승인",IF(K190="Revision Needed","04-검토중_조건불만족",IF(K190="Under Review","03-검토중_조건충족",IF(AND(J190&lt;&gt;"",K190=""),"02-계획서제출_미검토","01-계획서미제출"))))))))))</f>
        <v/>
      </c>
      <c r="V190" s="18">
        <f>IF(B190="","",IFS(U190="01-계획서미제출",0,U190="02-계획서제출_미검토",0.05,U190="03-검토중_조건충족",0.1,U190="04-검토중_조건불만족",0.05,U190="05-계획서승인",0.2,U190="06-BIW생산중단",0.15,U190="07-생산완료_미인수",0.3,U190="08-단품준비완료",0.4,U190="09-시험준비중",0.55,U190="10-시험완료",0.85,U190="11-결과등록완료",1,U190="12-조건부승인검토",0.9,TRUE,0))</f>
        <v/>
      </c>
      <c r="W190" s="5">
        <f>IF(B190="","",IF(S190&lt;&gt;"","-",IF(R190="","N/A",R190-TODAY())))</f>
        <v/>
      </c>
      <c r="X190" s="17">
        <f>IF(B190="","",IF(U190="11-결과등록완료","DONE",IF(OR(U190="06-BIW생산중단",AND(U190="01-계획서미제출",I190&lt;TODAY())),"CRITICAL",IF(OR(U190="04-검토중_조건불만족",U190="07-생산완료_미인수",U190="12-조건부승인검토"),"ACTION",IF(AND(ISNUMBER(W190),W190&lt;=0),"OVERDUE",IF(AND(ISNUMBER(W190),W190&lt;=14),"WARNING","ON TRACK"))))))</f>
        <v/>
      </c>
      <c r="Y190" s="19">
        <f>IF(B190="","",IF(U190="11-결과등록완료","— 완료",IF(U190="01-계획서미제출",IF(I190&lt;TODAY(),"계획서 제출 독촉 (OVERDUE)","계획서 제출 대기"),IF(U190="02-계획서제출_미검토","설계자: 계획서 검토 착수",IF(U190="03-검토중_조건충족","설계자: 승인 처리",IF(U190="04-검토중_조건불만족","보완 요청 → 협력사 재제출 독촉",IF(U190="05-계획서승인","시험편 준비 현황 확인",IF(U190="06-BIW생산중단","BIW 생산팀 확인 → 일정 재수립",IF(U190="07-생산완료_미인수","협력사 인수 독촉",IF(U190="08-단품준비완료","시험 일정 확인",IF(U190="09-시험준비중","시험 진행 모니터링",IF(U190="10-시험완료","결과 보고서 전산 등록 독촉",IF(U190="12-조건부승인검토","조건부 승인 여부 판단 → 관련부서 협의","—")))))))))))))</f>
        <v/>
      </c>
    </row>
    <row r="191">
      <c r="A191" s="5">
        <f>IF(B191="","",ROW()-4)</f>
        <v/>
      </c>
      <c r="B191" s="13" t="n"/>
      <c r="C191" s="14" t="n"/>
      <c r="D191" s="15">
        <f>IF(B191="","",IFERROR(VLOOKUP(C191,'Reference Data 기준데이터'!$E$8:$F$30,2,FALSE),""))</f>
        <v/>
      </c>
      <c r="E191" s="14" t="n"/>
      <c r="F191" s="15">
        <f>IF(B191="","",IFERROR(VLOOKUP(E191,'Reference Data 기준데이터'!$A$8:$F$30,2,FALSE),""))</f>
        <v/>
      </c>
      <c r="G191" s="15">
        <f>IF(B191="","",IFERROR(VLOOKUP(B191&amp;"_"&amp;C191,'Reference Data 기준데이터'!$A$33:$B$51,2,FALSE),""))</f>
        <v/>
      </c>
      <c r="H191" s="16">
        <f>IF(B191="","",IFERROR(VLOOKUP(B191,'Reference Data 기준데이터'!$A$2:$J$5,3,FALSE),""))</f>
        <v/>
      </c>
      <c r="I191" s="16">
        <f>IF(B191="","",IFERROR(H191+VLOOKUP(B191,'Reference Data 기준데이터'!$A$2:$J$5,7,FALSE),""))</f>
        <v/>
      </c>
      <c r="J191" s="20" t="n"/>
      <c r="K191" s="13" t="n"/>
      <c r="L191" s="16">
        <f>IF(B191="","",IFERROR(H191+VLOOKUP(B191,'Reference Data 기준데이터'!$A$2:$J$5,8,FALSE),""))</f>
        <v/>
      </c>
      <c r="M191" s="20" t="n"/>
      <c r="N191" s="16">
        <f>IF(B191="","",IFERROR(IF(ISNUMBER(SEARCH("Vehicle",F191)),MAX(H191+VLOOKUP(B191,'Reference Data 기준데이터'!$A$2:$J$5,9,FALSE),VLOOKUP(B191,'Reference Data 기준데이터'!$A$2:$J$5,4,FALSE)),H191+VLOOKUP(B191,'Reference Data 기준데이터'!$A$2:$J$5,9,FALSE)),""))</f>
        <v/>
      </c>
      <c r="O191" s="20" t="n"/>
      <c r="P191" s="16">
        <f>IF(B191="","",IFERROR(N191+VLOOKUP(E191,'Reference Data 기준데이터'!$A$8:$F$30,4,FALSE),""))</f>
        <v/>
      </c>
      <c r="Q191" s="20" t="n"/>
      <c r="R191" s="16">
        <f>IF(B191="","",IFERROR(MIN(H191+VLOOKUP(B191,'Reference Data 기준데이터'!$A$2:$J$5,10,FALSE),VLOOKUP(B191,'Reference Data 기준데이터'!$A$2:$J$5,6,FALSE)),""))</f>
        <v/>
      </c>
      <c r="S191" s="20" t="n"/>
      <c r="T191" s="13" t="n"/>
      <c r="U191" s="17">
        <f>IF(B191="","",IF(T191&lt;&gt;"",T191,IF(AND(S191&lt;&gt;"",Q191&lt;&gt;""),"11-결과등록완료",IF(AND(Q191&lt;&gt;"",S191=""),"10-시험완료",IF(AND(O191&lt;&gt;"",Q191=""),"09-시험준비중",IF(AND(M191&lt;&gt;"",O191=""),"08-단품준비완료",IF(K191="Approved","05-계획서승인",IF(K191="Revision Needed","04-검토중_조건불만족",IF(K191="Under Review","03-검토중_조건충족",IF(AND(J191&lt;&gt;"",K191=""),"02-계획서제출_미검토","01-계획서미제출"))))))))))</f>
        <v/>
      </c>
      <c r="V191" s="18">
        <f>IF(B191="","",IFS(U191="01-계획서미제출",0,U191="02-계획서제출_미검토",0.05,U191="03-검토중_조건충족",0.1,U191="04-검토중_조건불만족",0.05,U191="05-계획서승인",0.2,U191="06-BIW생산중단",0.15,U191="07-생산완료_미인수",0.3,U191="08-단품준비완료",0.4,U191="09-시험준비중",0.55,U191="10-시험완료",0.85,U191="11-결과등록완료",1,U191="12-조건부승인검토",0.9,TRUE,0))</f>
        <v/>
      </c>
      <c r="W191" s="5">
        <f>IF(B191="","",IF(S191&lt;&gt;"","-",IF(R191="","N/A",R191-TODAY())))</f>
        <v/>
      </c>
      <c r="X191" s="17">
        <f>IF(B191="","",IF(U191="11-결과등록완료","DONE",IF(OR(U191="06-BIW생산중단",AND(U191="01-계획서미제출",I191&lt;TODAY())),"CRITICAL",IF(OR(U191="04-검토중_조건불만족",U191="07-생산완료_미인수",U191="12-조건부승인검토"),"ACTION",IF(AND(ISNUMBER(W191),W191&lt;=0),"OVERDUE",IF(AND(ISNUMBER(W191),W191&lt;=14),"WARNING","ON TRACK"))))))</f>
        <v/>
      </c>
      <c r="Y191" s="19">
        <f>IF(B191="","",IF(U191="11-결과등록완료","— 완료",IF(U191="01-계획서미제출",IF(I191&lt;TODAY(),"계획서 제출 독촉 (OVERDUE)","계획서 제출 대기"),IF(U191="02-계획서제출_미검토","설계자: 계획서 검토 착수",IF(U191="03-검토중_조건충족","설계자: 승인 처리",IF(U191="04-검토중_조건불만족","보완 요청 → 협력사 재제출 독촉",IF(U191="05-계획서승인","시험편 준비 현황 확인",IF(U191="06-BIW생산중단","BIW 생산팀 확인 → 일정 재수립",IF(U191="07-생산완료_미인수","협력사 인수 독촉",IF(U191="08-단품준비완료","시험 일정 확인",IF(U191="09-시험준비중","시험 진행 모니터링",IF(U191="10-시험완료","결과 보고서 전산 등록 독촉",IF(U191="12-조건부승인검토","조건부 승인 여부 판단 → 관련부서 협의","—")))))))))))))</f>
        <v/>
      </c>
    </row>
    <row r="192">
      <c r="A192" s="5">
        <f>IF(B192="","",ROW()-4)</f>
        <v/>
      </c>
      <c r="B192" s="13" t="n"/>
      <c r="C192" s="14" t="n"/>
      <c r="D192" s="15">
        <f>IF(B192="","",IFERROR(VLOOKUP(C192,'Reference Data 기준데이터'!$E$8:$F$30,2,FALSE),""))</f>
        <v/>
      </c>
      <c r="E192" s="14" t="n"/>
      <c r="F192" s="15">
        <f>IF(B192="","",IFERROR(VLOOKUP(E192,'Reference Data 기준데이터'!$A$8:$F$30,2,FALSE),""))</f>
        <v/>
      </c>
      <c r="G192" s="15">
        <f>IF(B192="","",IFERROR(VLOOKUP(B192&amp;"_"&amp;C192,'Reference Data 기준데이터'!$A$33:$B$51,2,FALSE),""))</f>
        <v/>
      </c>
      <c r="H192" s="16">
        <f>IF(B192="","",IFERROR(VLOOKUP(B192,'Reference Data 기준데이터'!$A$2:$J$5,3,FALSE),""))</f>
        <v/>
      </c>
      <c r="I192" s="16">
        <f>IF(B192="","",IFERROR(H192+VLOOKUP(B192,'Reference Data 기준데이터'!$A$2:$J$5,7,FALSE),""))</f>
        <v/>
      </c>
      <c r="J192" s="20" t="n"/>
      <c r="K192" s="13" t="n"/>
      <c r="L192" s="16">
        <f>IF(B192="","",IFERROR(H192+VLOOKUP(B192,'Reference Data 기준데이터'!$A$2:$J$5,8,FALSE),""))</f>
        <v/>
      </c>
      <c r="M192" s="20" t="n"/>
      <c r="N192" s="16">
        <f>IF(B192="","",IFERROR(IF(ISNUMBER(SEARCH("Vehicle",F192)),MAX(H192+VLOOKUP(B192,'Reference Data 기준데이터'!$A$2:$J$5,9,FALSE),VLOOKUP(B192,'Reference Data 기준데이터'!$A$2:$J$5,4,FALSE)),H192+VLOOKUP(B192,'Reference Data 기준데이터'!$A$2:$J$5,9,FALSE)),""))</f>
        <v/>
      </c>
      <c r="O192" s="20" t="n"/>
      <c r="P192" s="16">
        <f>IF(B192="","",IFERROR(N192+VLOOKUP(E192,'Reference Data 기준데이터'!$A$8:$F$30,4,FALSE),""))</f>
        <v/>
      </c>
      <c r="Q192" s="20" t="n"/>
      <c r="R192" s="16">
        <f>IF(B192="","",IFERROR(MIN(H192+VLOOKUP(B192,'Reference Data 기준데이터'!$A$2:$J$5,10,FALSE),VLOOKUP(B192,'Reference Data 기준데이터'!$A$2:$J$5,6,FALSE)),""))</f>
        <v/>
      </c>
      <c r="S192" s="20" t="n"/>
      <c r="T192" s="13" t="n"/>
      <c r="U192" s="17">
        <f>IF(B192="","",IF(T192&lt;&gt;"",T192,IF(AND(S192&lt;&gt;"",Q192&lt;&gt;""),"11-결과등록완료",IF(AND(Q192&lt;&gt;"",S192=""),"10-시험완료",IF(AND(O192&lt;&gt;"",Q192=""),"09-시험준비중",IF(AND(M192&lt;&gt;"",O192=""),"08-단품준비완료",IF(K192="Approved","05-계획서승인",IF(K192="Revision Needed","04-검토중_조건불만족",IF(K192="Under Review","03-검토중_조건충족",IF(AND(J192&lt;&gt;"",K192=""),"02-계획서제출_미검토","01-계획서미제출"))))))))))</f>
        <v/>
      </c>
      <c r="V192" s="18">
        <f>IF(B192="","",IFS(U192="01-계획서미제출",0,U192="02-계획서제출_미검토",0.05,U192="03-검토중_조건충족",0.1,U192="04-검토중_조건불만족",0.05,U192="05-계획서승인",0.2,U192="06-BIW생산중단",0.15,U192="07-생산완료_미인수",0.3,U192="08-단품준비완료",0.4,U192="09-시험준비중",0.55,U192="10-시험완료",0.85,U192="11-결과등록완료",1,U192="12-조건부승인검토",0.9,TRUE,0))</f>
        <v/>
      </c>
      <c r="W192" s="5">
        <f>IF(B192="","",IF(S192&lt;&gt;"","-",IF(R192="","N/A",R192-TODAY())))</f>
        <v/>
      </c>
      <c r="X192" s="17">
        <f>IF(B192="","",IF(U192="11-결과등록완료","DONE",IF(OR(U192="06-BIW생산중단",AND(U192="01-계획서미제출",I192&lt;TODAY())),"CRITICAL",IF(OR(U192="04-검토중_조건불만족",U192="07-생산완료_미인수",U192="12-조건부승인검토"),"ACTION",IF(AND(ISNUMBER(W192),W192&lt;=0),"OVERDUE",IF(AND(ISNUMBER(W192),W192&lt;=14),"WARNING","ON TRACK"))))))</f>
        <v/>
      </c>
      <c r="Y192" s="19">
        <f>IF(B192="","",IF(U192="11-결과등록완료","— 완료",IF(U192="01-계획서미제출",IF(I192&lt;TODAY(),"계획서 제출 독촉 (OVERDUE)","계획서 제출 대기"),IF(U192="02-계획서제출_미검토","설계자: 계획서 검토 착수",IF(U192="03-검토중_조건충족","설계자: 승인 처리",IF(U192="04-검토중_조건불만족","보완 요청 → 협력사 재제출 독촉",IF(U192="05-계획서승인","시험편 준비 현황 확인",IF(U192="06-BIW생산중단","BIW 생산팀 확인 → 일정 재수립",IF(U192="07-생산완료_미인수","협력사 인수 독촉",IF(U192="08-단품준비완료","시험 일정 확인",IF(U192="09-시험준비중","시험 진행 모니터링",IF(U192="10-시험완료","결과 보고서 전산 등록 독촉",IF(U192="12-조건부승인검토","조건부 승인 여부 판단 → 관련부서 협의","—")))))))))))))</f>
        <v/>
      </c>
    </row>
    <row r="193">
      <c r="A193" s="5">
        <f>IF(B193="","",ROW()-4)</f>
        <v/>
      </c>
      <c r="B193" s="13" t="n"/>
      <c r="C193" s="14" t="n"/>
      <c r="D193" s="15">
        <f>IF(B193="","",IFERROR(VLOOKUP(C193,'Reference Data 기준데이터'!$E$8:$F$30,2,FALSE),""))</f>
        <v/>
      </c>
      <c r="E193" s="14" t="n"/>
      <c r="F193" s="15">
        <f>IF(B193="","",IFERROR(VLOOKUP(E193,'Reference Data 기준데이터'!$A$8:$F$30,2,FALSE),""))</f>
        <v/>
      </c>
      <c r="G193" s="15">
        <f>IF(B193="","",IFERROR(VLOOKUP(B193&amp;"_"&amp;C193,'Reference Data 기준데이터'!$A$33:$B$51,2,FALSE),""))</f>
        <v/>
      </c>
      <c r="H193" s="16">
        <f>IF(B193="","",IFERROR(VLOOKUP(B193,'Reference Data 기준데이터'!$A$2:$J$5,3,FALSE),""))</f>
        <v/>
      </c>
      <c r="I193" s="16">
        <f>IF(B193="","",IFERROR(H193+VLOOKUP(B193,'Reference Data 기준데이터'!$A$2:$J$5,7,FALSE),""))</f>
        <v/>
      </c>
      <c r="J193" s="20" t="n"/>
      <c r="K193" s="13" t="n"/>
      <c r="L193" s="16">
        <f>IF(B193="","",IFERROR(H193+VLOOKUP(B193,'Reference Data 기준데이터'!$A$2:$J$5,8,FALSE),""))</f>
        <v/>
      </c>
      <c r="M193" s="20" t="n"/>
      <c r="N193" s="16">
        <f>IF(B193="","",IFERROR(IF(ISNUMBER(SEARCH("Vehicle",F193)),MAX(H193+VLOOKUP(B193,'Reference Data 기준데이터'!$A$2:$J$5,9,FALSE),VLOOKUP(B193,'Reference Data 기준데이터'!$A$2:$J$5,4,FALSE)),H193+VLOOKUP(B193,'Reference Data 기준데이터'!$A$2:$J$5,9,FALSE)),""))</f>
        <v/>
      </c>
      <c r="O193" s="20" t="n"/>
      <c r="P193" s="16">
        <f>IF(B193="","",IFERROR(N193+VLOOKUP(E193,'Reference Data 기준데이터'!$A$8:$F$30,4,FALSE),""))</f>
        <v/>
      </c>
      <c r="Q193" s="20" t="n"/>
      <c r="R193" s="16">
        <f>IF(B193="","",IFERROR(MIN(H193+VLOOKUP(B193,'Reference Data 기준데이터'!$A$2:$J$5,10,FALSE),VLOOKUP(B193,'Reference Data 기준데이터'!$A$2:$J$5,6,FALSE)),""))</f>
        <v/>
      </c>
      <c r="S193" s="20" t="n"/>
      <c r="T193" s="13" t="n"/>
      <c r="U193" s="17">
        <f>IF(B193="","",IF(T193&lt;&gt;"",T193,IF(AND(S193&lt;&gt;"",Q193&lt;&gt;""),"11-결과등록완료",IF(AND(Q193&lt;&gt;"",S193=""),"10-시험완료",IF(AND(O193&lt;&gt;"",Q193=""),"09-시험준비중",IF(AND(M193&lt;&gt;"",O193=""),"08-단품준비완료",IF(K193="Approved","05-계획서승인",IF(K193="Revision Needed","04-검토중_조건불만족",IF(K193="Under Review","03-검토중_조건충족",IF(AND(J193&lt;&gt;"",K193=""),"02-계획서제출_미검토","01-계획서미제출"))))))))))</f>
        <v/>
      </c>
      <c r="V193" s="18">
        <f>IF(B193="","",IFS(U193="01-계획서미제출",0,U193="02-계획서제출_미검토",0.05,U193="03-검토중_조건충족",0.1,U193="04-검토중_조건불만족",0.05,U193="05-계획서승인",0.2,U193="06-BIW생산중단",0.15,U193="07-생산완료_미인수",0.3,U193="08-단품준비완료",0.4,U193="09-시험준비중",0.55,U193="10-시험완료",0.85,U193="11-결과등록완료",1,U193="12-조건부승인검토",0.9,TRUE,0))</f>
        <v/>
      </c>
      <c r="W193" s="5">
        <f>IF(B193="","",IF(S193&lt;&gt;"","-",IF(R193="","N/A",R193-TODAY())))</f>
        <v/>
      </c>
      <c r="X193" s="17">
        <f>IF(B193="","",IF(U193="11-결과등록완료","DONE",IF(OR(U193="06-BIW생산중단",AND(U193="01-계획서미제출",I193&lt;TODAY())),"CRITICAL",IF(OR(U193="04-검토중_조건불만족",U193="07-생산완료_미인수",U193="12-조건부승인검토"),"ACTION",IF(AND(ISNUMBER(W193),W193&lt;=0),"OVERDUE",IF(AND(ISNUMBER(W193),W193&lt;=14),"WARNING","ON TRACK"))))))</f>
        <v/>
      </c>
      <c r="Y193" s="19">
        <f>IF(B193="","",IF(U193="11-결과등록완료","— 완료",IF(U193="01-계획서미제출",IF(I193&lt;TODAY(),"계획서 제출 독촉 (OVERDUE)","계획서 제출 대기"),IF(U193="02-계획서제출_미검토","설계자: 계획서 검토 착수",IF(U193="03-검토중_조건충족","설계자: 승인 처리",IF(U193="04-검토중_조건불만족","보완 요청 → 협력사 재제출 독촉",IF(U193="05-계획서승인","시험편 준비 현황 확인",IF(U193="06-BIW생산중단","BIW 생산팀 확인 → 일정 재수립",IF(U193="07-생산완료_미인수","협력사 인수 독촉",IF(U193="08-단품준비완료","시험 일정 확인",IF(U193="09-시험준비중","시험 진행 모니터링",IF(U193="10-시험완료","결과 보고서 전산 등록 독촉",IF(U193="12-조건부승인검토","조건부 승인 여부 판단 → 관련부서 협의","—")))))))))))))</f>
        <v/>
      </c>
    </row>
    <row r="194">
      <c r="A194" s="5">
        <f>IF(B194="","",ROW()-4)</f>
        <v/>
      </c>
      <c r="B194" s="13" t="n"/>
      <c r="C194" s="14" t="n"/>
      <c r="D194" s="15">
        <f>IF(B194="","",IFERROR(VLOOKUP(C194,'Reference Data 기준데이터'!$E$8:$F$30,2,FALSE),""))</f>
        <v/>
      </c>
      <c r="E194" s="14" t="n"/>
      <c r="F194" s="15">
        <f>IF(B194="","",IFERROR(VLOOKUP(E194,'Reference Data 기준데이터'!$A$8:$F$30,2,FALSE),""))</f>
        <v/>
      </c>
      <c r="G194" s="15">
        <f>IF(B194="","",IFERROR(VLOOKUP(B194&amp;"_"&amp;C194,'Reference Data 기준데이터'!$A$33:$B$51,2,FALSE),""))</f>
        <v/>
      </c>
      <c r="H194" s="16">
        <f>IF(B194="","",IFERROR(VLOOKUP(B194,'Reference Data 기준데이터'!$A$2:$J$5,3,FALSE),""))</f>
        <v/>
      </c>
      <c r="I194" s="16">
        <f>IF(B194="","",IFERROR(H194+VLOOKUP(B194,'Reference Data 기준데이터'!$A$2:$J$5,7,FALSE),""))</f>
        <v/>
      </c>
      <c r="J194" s="20" t="n"/>
      <c r="K194" s="13" t="n"/>
      <c r="L194" s="16">
        <f>IF(B194="","",IFERROR(H194+VLOOKUP(B194,'Reference Data 기준데이터'!$A$2:$J$5,8,FALSE),""))</f>
        <v/>
      </c>
      <c r="M194" s="20" t="n"/>
      <c r="N194" s="16">
        <f>IF(B194="","",IFERROR(IF(ISNUMBER(SEARCH("Vehicle",F194)),MAX(H194+VLOOKUP(B194,'Reference Data 기준데이터'!$A$2:$J$5,9,FALSE),VLOOKUP(B194,'Reference Data 기준데이터'!$A$2:$J$5,4,FALSE)),H194+VLOOKUP(B194,'Reference Data 기준데이터'!$A$2:$J$5,9,FALSE)),""))</f>
        <v/>
      </c>
      <c r="O194" s="20" t="n"/>
      <c r="P194" s="16">
        <f>IF(B194="","",IFERROR(N194+VLOOKUP(E194,'Reference Data 기준데이터'!$A$8:$F$30,4,FALSE),""))</f>
        <v/>
      </c>
      <c r="Q194" s="20" t="n"/>
      <c r="R194" s="16">
        <f>IF(B194="","",IFERROR(MIN(H194+VLOOKUP(B194,'Reference Data 기준데이터'!$A$2:$J$5,10,FALSE),VLOOKUP(B194,'Reference Data 기준데이터'!$A$2:$J$5,6,FALSE)),""))</f>
        <v/>
      </c>
      <c r="S194" s="20" t="n"/>
      <c r="T194" s="13" t="n"/>
      <c r="U194" s="17">
        <f>IF(B194="","",IF(T194&lt;&gt;"",T194,IF(AND(S194&lt;&gt;"",Q194&lt;&gt;""),"11-결과등록완료",IF(AND(Q194&lt;&gt;"",S194=""),"10-시험완료",IF(AND(O194&lt;&gt;"",Q194=""),"09-시험준비중",IF(AND(M194&lt;&gt;"",O194=""),"08-단품준비완료",IF(K194="Approved","05-계획서승인",IF(K194="Revision Needed","04-검토중_조건불만족",IF(K194="Under Review","03-검토중_조건충족",IF(AND(J194&lt;&gt;"",K194=""),"02-계획서제출_미검토","01-계획서미제출"))))))))))</f>
        <v/>
      </c>
      <c r="V194" s="18">
        <f>IF(B194="","",IFS(U194="01-계획서미제출",0,U194="02-계획서제출_미검토",0.05,U194="03-검토중_조건충족",0.1,U194="04-검토중_조건불만족",0.05,U194="05-계획서승인",0.2,U194="06-BIW생산중단",0.15,U194="07-생산완료_미인수",0.3,U194="08-단품준비완료",0.4,U194="09-시험준비중",0.55,U194="10-시험완료",0.85,U194="11-결과등록완료",1,U194="12-조건부승인검토",0.9,TRUE,0))</f>
        <v/>
      </c>
      <c r="W194" s="5">
        <f>IF(B194="","",IF(S194&lt;&gt;"","-",IF(R194="","N/A",R194-TODAY())))</f>
        <v/>
      </c>
      <c r="X194" s="17">
        <f>IF(B194="","",IF(U194="11-결과등록완료","DONE",IF(OR(U194="06-BIW생산중단",AND(U194="01-계획서미제출",I194&lt;TODAY())),"CRITICAL",IF(OR(U194="04-검토중_조건불만족",U194="07-생산완료_미인수",U194="12-조건부승인검토"),"ACTION",IF(AND(ISNUMBER(W194),W194&lt;=0),"OVERDUE",IF(AND(ISNUMBER(W194),W194&lt;=14),"WARNING","ON TRACK"))))))</f>
        <v/>
      </c>
      <c r="Y194" s="19">
        <f>IF(B194="","",IF(U194="11-결과등록완료","— 완료",IF(U194="01-계획서미제출",IF(I194&lt;TODAY(),"계획서 제출 독촉 (OVERDUE)","계획서 제출 대기"),IF(U194="02-계획서제출_미검토","설계자: 계획서 검토 착수",IF(U194="03-검토중_조건충족","설계자: 승인 처리",IF(U194="04-검토중_조건불만족","보완 요청 → 협력사 재제출 독촉",IF(U194="05-계획서승인","시험편 준비 현황 확인",IF(U194="06-BIW생산중단","BIW 생산팀 확인 → 일정 재수립",IF(U194="07-생산완료_미인수","협력사 인수 독촉",IF(U194="08-단품준비완료","시험 일정 확인",IF(U194="09-시험준비중","시험 진행 모니터링",IF(U194="10-시험완료","결과 보고서 전산 등록 독촉",IF(U194="12-조건부승인검토","조건부 승인 여부 판단 → 관련부서 협의","—")))))))))))))</f>
        <v/>
      </c>
    </row>
    <row r="195">
      <c r="A195" s="5">
        <f>IF(B195="","",ROW()-4)</f>
        <v/>
      </c>
      <c r="B195" s="13" t="n"/>
      <c r="C195" s="14" t="n"/>
      <c r="D195" s="15">
        <f>IF(B195="","",IFERROR(VLOOKUP(C195,'Reference Data 기준데이터'!$E$8:$F$30,2,FALSE),""))</f>
        <v/>
      </c>
      <c r="E195" s="14" t="n"/>
      <c r="F195" s="15">
        <f>IF(B195="","",IFERROR(VLOOKUP(E195,'Reference Data 기준데이터'!$A$8:$F$30,2,FALSE),""))</f>
        <v/>
      </c>
      <c r="G195" s="15">
        <f>IF(B195="","",IFERROR(VLOOKUP(B195&amp;"_"&amp;C195,'Reference Data 기준데이터'!$A$33:$B$51,2,FALSE),""))</f>
        <v/>
      </c>
      <c r="H195" s="16">
        <f>IF(B195="","",IFERROR(VLOOKUP(B195,'Reference Data 기준데이터'!$A$2:$J$5,3,FALSE),""))</f>
        <v/>
      </c>
      <c r="I195" s="16">
        <f>IF(B195="","",IFERROR(H195+VLOOKUP(B195,'Reference Data 기준데이터'!$A$2:$J$5,7,FALSE),""))</f>
        <v/>
      </c>
      <c r="J195" s="20" t="n"/>
      <c r="K195" s="13" t="n"/>
      <c r="L195" s="16">
        <f>IF(B195="","",IFERROR(H195+VLOOKUP(B195,'Reference Data 기준데이터'!$A$2:$J$5,8,FALSE),""))</f>
        <v/>
      </c>
      <c r="M195" s="20" t="n"/>
      <c r="N195" s="16">
        <f>IF(B195="","",IFERROR(IF(ISNUMBER(SEARCH("Vehicle",F195)),MAX(H195+VLOOKUP(B195,'Reference Data 기준데이터'!$A$2:$J$5,9,FALSE),VLOOKUP(B195,'Reference Data 기준데이터'!$A$2:$J$5,4,FALSE)),H195+VLOOKUP(B195,'Reference Data 기준데이터'!$A$2:$J$5,9,FALSE)),""))</f>
        <v/>
      </c>
      <c r="O195" s="20" t="n"/>
      <c r="P195" s="16">
        <f>IF(B195="","",IFERROR(N195+VLOOKUP(E195,'Reference Data 기준데이터'!$A$8:$F$30,4,FALSE),""))</f>
        <v/>
      </c>
      <c r="Q195" s="20" t="n"/>
      <c r="R195" s="16">
        <f>IF(B195="","",IFERROR(MIN(H195+VLOOKUP(B195,'Reference Data 기준데이터'!$A$2:$J$5,10,FALSE),VLOOKUP(B195,'Reference Data 기준데이터'!$A$2:$J$5,6,FALSE)),""))</f>
        <v/>
      </c>
      <c r="S195" s="20" t="n"/>
      <c r="T195" s="13" t="n"/>
      <c r="U195" s="17">
        <f>IF(B195="","",IF(T195&lt;&gt;"",T195,IF(AND(S195&lt;&gt;"",Q195&lt;&gt;""),"11-결과등록완료",IF(AND(Q195&lt;&gt;"",S195=""),"10-시험완료",IF(AND(O195&lt;&gt;"",Q195=""),"09-시험준비중",IF(AND(M195&lt;&gt;"",O195=""),"08-단품준비완료",IF(K195="Approved","05-계획서승인",IF(K195="Revision Needed","04-검토중_조건불만족",IF(K195="Under Review","03-검토중_조건충족",IF(AND(J195&lt;&gt;"",K195=""),"02-계획서제출_미검토","01-계획서미제출"))))))))))</f>
        <v/>
      </c>
      <c r="V195" s="18">
        <f>IF(B195="","",IFS(U195="01-계획서미제출",0,U195="02-계획서제출_미검토",0.05,U195="03-검토중_조건충족",0.1,U195="04-검토중_조건불만족",0.05,U195="05-계획서승인",0.2,U195="06-BIW생산중단",0.15,U195="07-생산완료_미인수",0.3,U195="08-단품준비완료",0.4,U195="09-시험준비중",0.55,U195="10-시험완료",0.85,U195="11-결과등록완료",1,U195="12-조건부승인검토",0.9,TRUE,0))</f>
        <v/>
      </c>
      <c r="W195" s="5">
        <f>IF(B195="","",IF(S195&lt;&gt;"","-",IF(R195="","N/A",R195-TODAY())))</f>
        <v/>
      </c>
      <c r="X195" s="17">
        <f>IF(B195="","",IF(U195="11-결과등록완료","DONE",IF(OR(U195="06-BIW생산중단",AND(U195="01-계획서미제출",I195&lt;TODAY())),"CRITICAL",IF(OR(U195="04-검토중_조건불만족",U195="07-생산완료_미인수",U195="12-조건부승인검토"),"ACTION",IF(AND(ISNUMBER(W195),W195&lt;=0),"OVERDUE",IF(AND(ISNUMBER(W195),W195&lt;=14),"WARNING","ON TRACK"))))))</f>
        <v/>
      </c>
      <c r="Y195" s="19">
        <f>IF(B195="","",IF(U195="11-결과등록완료","— 완료",IF(U195="01-계획서미제출",IF(I195&lt;TODAY(),"계획서 제출 독촉 (OVERDUE)","계획서 제출 대기"),IF(U195="02-계획서제출_미검토","설계자: 계획서 검토 착수",IF(U195="03-검토중_조건충족","설계자: 승인 처리",IF(U195="04-검토중_조건불만족","보완 요청 → 협력사 재제출 독촉",IF(U195="05-계획서승인","시험편 준비 현황 확인",IF(U195="06-BIW생산중단","BIW 생산팀 확인 → 일정 재수립",IF(U195="07-생산완료_미인수","협력사 인수 독촉",IF(U195="08-단품준비완료","시험 일정 확인",IF(U195="09-시험준비중","시험 진행 모니터링",IF(U195="10-시험완료","결과 보고서 전산 등록 독촉",IF(U195="12-조건부승인검토","조건부 승인 여부 판단 → 관련부서 협의","—")))))))))))))</f>
        <v/>
      </c>
    </row>
    <row r="196">
      <c r="A196" s="5">
        <f>IF(B196="","",ROW()-4)</f>
        <v/>
      </c>
      <c r="B196" s="13" t="n"/>
      <c r="C196" s="14" t="n"/>
      <c r="D196" s="15">
        <f>IF(B196="","",IFERROR(VLOOKUP(C196,'Reference Data 기준데이터'!$E$8:$F$30,2,FALSE),""))</f>
        <v/>
      </c>
      <c r="E196" s="14" t="n"/>
      <c r="F196" s="15">
        <f>IF(B196="","",IFERROR(VLOOKUP(E196,'Reference Data 기준데이터'!$A$8:$F$30,2,FALSE),""))</f>
        <v/>
      </c>
      <c r="G196" s="15">
        <f>IF(B196="","",IFERROR(VLOOKUP(B196&amp;"_"&amp;C196,'Reference Data 기준데이터'!$A$33:$B$51,2,FALSE),""))</f>
        <v/>
      </c>
      <c r="H196" s="16">
        <f>IF(B196="","",IFERROR(VLOOKUP(B196,'Reference Data 기준데이터'!$A$2:$J$5,3,FALSE),""))</f>
        <v/>
      </c>
      <c r="I196" s="16">
        <f>IF(B196="","",IFERROR(H196+VLOOKUP(B196,'Reference Data 기준데이터'!$A$2:$J$5,7,FALSE),""))</f>
        <v/>
      </c>
      <c r="J196" s="20" t="n"/>
      <c r="K196" s="13" t="n"/>
      <c r="L196" s="16">
        <f>IF(B196="","",IFERROR(H196+VLOOKUP(B196,'Reference Data 기준데이터'!$A$2:$J$5,8,FALSE),""))</f>
        <v/>
      </c>
      <c r="M196" s="20" t="n"/>
      <c r="N196" s="16">
        <f>IF(B196="","",IFERROR(IF(ISNUMBER(SEARCH("Vehicle",F196)),MAX(H196+VLOOKUP(B196,'Reference Data 기준데이터'!$A$2:$J$5,9,FALSE),VLOOKUP(B196,'Reference Data 기준데이터'!$A$2:$J$5,4,FALSE)),H196+VLOOKUP(B196,'Reference Data 기준데이터'!$A$2:$J$5,9,FALSE)),""))</f>
        <v/>
      </c>
      <c r="O196" s="20" t="n"/>
      <c r="P196" s="16">
        <f>IF(B196="","",IFERROR(N196+VLOOKUP(E196,'Reference Data 기준데이터'!$A$8:$F$30,4,FALSE),""))</f>
        <v/>
      </c>
      <c r="Q196" s="20" t="n"/>
      <c r="R196" s="16">
        <f>IF(B196="","",IFERROR(MIN(H196+VLOOKUP(B196,'Reference Data 기준데이터'!$A$2:$J$5,10,FALSE),VLOOKUP(B196,'Reference Data 기준데이터'!$A$2:$J$5,6,FALSE)),""))</f>
        <v/>
      </c>
      <c r="S196" s="20" t="n"/>
      <c r="T196" s="13" t="n"/>
      <c r="U196" s="17">
        <f>IF(B196="","",IF(T196&lt;&gt;"",T196,IF(AND(S196&lt;&gt;"",Q196&lt;&gt;""),"11-결과등록완료",IF(AND(Q196&lt;&gt;"",S196=""),"10-시험완료",IF(AND(O196&lt;&gt;"",Q196=""),"09-시험준비중",IF(AND(M196&lt;&gt;"",O196=""),"08-단품준비완료",IF(K196="Approved","05-계획서승인",IF(K196="Revision Needed","04-검토중_조건불만족",IF(K196="Under Review","03-검토중_조건충족",IF(AND(J196&lt;&gt;"",K196=""),"02-계획서제출_미검토","01-계획서미제출"))))))))))</f>
        <v/>
      </c>
      <c r="V196" s="18">
        <f>IF(B196="","",IFS(U196="01-계획서미제출",0,U196="02-계획서제출_미검토",0.05,U196="03-검토중_조건충족",0.1,U196="04-검토중_조건불만족",0.05,U196="05-계획서승인",0.2,U196="06-BIW생산중단",0.15,U196="07-생산완료_미인수",0.3,U196="08-단품준비완료",0.4,U196="09-시험준비중",0.55,U196="10-시험완료",0.85,U196="11-결과등록완료",1,U196="12-조건부승인검토",0.9,TRUE,0))</f>
        <v/>
      </c>
      <c r="W196" s="5">
        <f>IF(B196="","",IF(S196&lt;&gt;"","-",IF(R196="","N/A",R196-TODAY())))</f>
        <v/>
      </c>
      <c r="X196" s="17">
        <f>IF(B196="","",IF(U196="11-결과등록완료","DONE",IF(OR(U196="06-BIW생산중단",AND(U196="01-계획서미제출",I196&lt;TODAY())),"CRITICAL",IF(OR(U196="04-검토중_조건불만족",U196="07-생산완료_미인수",U196="12-조건부승인검토"),"ACTION",IF(AND(ISNUMBER(W196),W196&lt;=0),"OVERDUE",IF(AND(ISNUMBER(W196),W196&lt;=14),"WARNING","ON TRACK"))))))</f>
        <v/>
      </c>
      <c r="Y196" s="19">
        <f>IF(B196="","",IF(U196="11-결과등록완료","— 완료",IF(U196="01-계획서미제출",IF(I196&lt;TODAY(),"계획서 제출 독촉 (OVERDUE)","계획서 제출 대기"),IF(U196="02-계획서제출_미검토","설계자: 계획서 검토 착수",IF(U196="03-검토중_조건충족","설계자: 승인 처리",IF(U196="04-검토중_조건불만족","보완 요청 → 협력사 재제출 독촉",IF(U196="05-계획서승인","시험편 준비 현황 확인",IF(U196="06-BIW생산중단","BIW 생산팀 확인 → 일정 재수립",IF(U196="07-생산완료_미인수","협력사 인수 독촉",IF(U196="08-단품준비완료","시험 일정 확인",IF(U196="09-시험준비중","시험 진행 모니터링",IF(U196="10-시험완료","결과 보고서 전산 등록 독촉",IF(U196="12-조건부승인검토","조건부 승인 여부 판단 → 관련부서 협의","—")))))))))))))</f>
        <v/>
      </c>
    </row>
    <row r="197">
      <c r="A197" s="5">
        <f>IF(B197="","",ROW()-4)</f>
        <v/>
      </c>
      <c r="B197" s="13" t="n"/>
      <c r="C197" s="14" t="n"/>
      <c r="D197" s="15">
        <f>IF(B197="","",IFERROR(VLOOKUP(C197,'Reference Data 기준데이터'!$E$8:$F$30,2,FALSE),""))</f>
        <v/>
      </c>
      <c r="E197" s="14" t="n"/>
      <c r="F197" s="15">
        <f>IF(B197="","",IFERROR(VLOOKUP(E197,'Reference Data 기준데이터'!$A$8:$F$30,2,FALSE),""))</f>
        <v/>
      </c>
      <c r="G197" s="15">
        <f>IF(B197="","",IFERROR(VLOOKUP(B197&amp;"_"&amp;C197,'Reference Data 기준데이터'!$A$33:$B$51,2,FALSE),""))</f>
        <v/>
      </c>
      <c r="H197" s="16">
        <f>IF(B197="","",IFERROR(VLOOKUP(B197,'Reference Data 기준데이터'!$A$2:$J$5,3,FALSE),""))</f>
        <v/>
      </c>
      <c r="I197" s="16">
        <f>IF(B197="","",IFERROR(H197+VLOOKUP(B197,'Reference Data 기준데이터'!$A$2:$J$5,7,FALSE),""))</f>
        <v/>
      </c>
      <c r="J197" s="20" t="n"/>
      <c r="K197" s="13" t="n"/>
      <c r="L197" s="16">
        <f>IF(B197="","",IFERROR(H197+VLOOKUP(B197,'Reference Data 기준데이터'!$A$2:$J$5,8,FALSE),""))</f>
        <v/>
      </c>
      <c r="M197" s="20" t="n"/>
      <c r="N197" s="16">
        <f>IF(B197="","",IFERROR(IF(ISNUMBER(SEARCH("Vehicle",F197)),MAX(H197+VLOOKUP(B197,'Reference Data 기준데이터'!$A$2:$J$5,9,FALSE),VLOOKUP(B197,'Reference Data 기준데이터'!$A$2:$J$5,4,FALSE)),H197+VLOOKUP(B197,'Reference Data 기준데이터'!$A$2:$J$5,9,FALSE)),""))</f>
        <v/>
      </c>
      <c r="O197" s="20" t="n"/>
      <c r="P197" s="16">
        <f>IF(B197="","",IFERROR(N197+VLOOKUP(E197,'Reference Data 기준데이터'!$A$8:$F$30,4,FALSE),""))</f>
        <v/>
      </c>
      <c r="Q197" s="20" t="n"/>
      <c r="R197" s="16">
        <f>IF(B197="","",IFERROR(MIN(H197+VLOOKUP(B197,'Reference Data 기준데이터'!$A$2:$J$5,10,FALSE),VLOOKUP(B197,'Reference Data 기준데이터'!$A$2:$J$5,6,FALSE)),""))</f>
        <v/>
      </c>
      <c r="S197" s="20" t="n"/>
      <c r="T197" s="13" t="n"/>
      <c r="U197" s="17">
        <f>IF(B197="","",IF(T197&lt;&gt;"",T197,IF(AND(S197&lt;&gt;"",Q197&lt;&gt;""),"11-결과등록완료",IF(AND(Q197&lt;&gt;"",S197=""),"10-시험완료",IF(AND(O197&lt;&gt;"",Q197=""),"09-시험준비중",IF(AND(M197&lt;&gt;"",O197=""),"08-단품준비완료",IF(K197="Approved","05-계획서승인",IF(K197="Revision Needed","04-검토중_조건불만족",IF(K197="Under Review","03-검토중_조건충족",IF(AND(J197&lt;&gt;"",K197=""),"02-계획서제출_미검토","01-계획서미제출"))))))))))</f>
        <v/>
      </c>
      <c r="V197" s="18">
        <f>IF(B197="","",IFS(U197="01-계획서미제출",0,U197="02-계획서제출_미검토",0.05,U197="03-검토중_조건충족",0.1,U197="04-검토중_조건불만족",0.05,U197="05-계획서승인",0.2,U197="06-BIW생산중단",0.15,U197="07-생산완료_미인수",0.3,U197="08-단품준비완료",0.4,U197="09-시험준비중",0.55,U197="10-시험완료",0.85,U197="11-결과등록완료",1,U197="12-조건부승인검토",0.9,TRUE,0))</f>
        <v/>
      </c>
      <c r="W197" s="5">
        <f>IF(B197="","",IF(S197&lt;&gt;"","-",IF(R197="","N/A",R197-TODAY())))</f>
        <v/>
      </c>
      <c r="X197" s="17">
        <f>IF(B197="","",IF(U197="11-결과등록완료","DONE",IF(OR(U197="06-BIW생산중단",AND(U197="01-계획서미제출",I197&lt;TODAY())),"CRITICAL",IF(OR(U197="04-검토중_조건불만족",U197="07-생산완료_미인수",U197="12-조건부승인검토"),"ACTION",IF(AND(ISNUMBER(W197),W197&lt;=0),"OVERDUE",IF(AND(ISNUMBER(W197),W197&lt;=14),"WARNING","ON TRACK"))))))</f>
        <v/>
      </c>
      <c r="Y197" s="19">
        <f>IF(B197="","",IF(U197="11-결과등록완료","— 완료",IF(U197="01-계획서미제출",IF(I197&lt;TODAY(),"계획서 제출 독촉 (OVERDUE)","계획서 제출 대기"),IF(U197="02-계획서제출_미검토","설계자: 계획서 검토 착수",IF(U197="03-검토중_조건충족","설계자: 승인 처리",IF(U197="04-검토중_조건불만족","보완 요청 → 협력사 재제출 독촉",IF(U197="05-계획서승인","시험편 준비 현황 확인",IF(U197="06-BIW생산중단","BIW 생산팀 확인 → 일정 재수립",IF(U197="07-생산완료_미인수","협력사 인수 독촉",IF(U197="08-단품준비완료","시험 일정 확인",IF(U197="09-시험준비중","시험 진행 모니터링",IF(U197="10-시험완료","결과 보고서 전산 등록 독촉",IF(U197="12-조건부승인검토","조건부 승인 여부 판단 → 관련부서 협의","—")))))))))))))</f>
        <v/>
      </c>
    </row>
    <row r="198">
      <c r="A198" s="5">
        <f>IF(B198="","",ROW()-4)</f>
        <v/>
      </c>
      <c r="B198" s="13" t="n"/>
      <c r="C198" s="14" t="n"/>
      <c r="D198" s="15">
        <f>IF(B198="","",IFERROR(VLOOKUP(C198,'Reference Data 기준데이터'!$E$8:$F$30,2,FALSE),""))</f>
        <v/>
      </c>
      <c r="E198" s="14" t="n"/>
      <c r="F198" s="15">
        <f>IF(B198="","",IFERROR(VLOOKUP(E198,'Reference Data 기준데이터'!$A$8:$F$30,2,FALSE),""))</f>
        <v/>
      </c>
      <c r="G198" s="15">
        <f>IF(B198="","",IFERROR(VLOOKUP(B198&amp;"_"&amp;C198,'Reference Data 기준데이터'!$A$33:$B$51,2,FALSE),""))</f>
        <v/>
      </c>
      <c r="H198" s="16">
        <f>IF(B198="","",IFERROR(VLOOKUP(B198,'Reference Data 기준데이터'!$A$2:$J$5,3,FALSE),""))</f>
        <v/>
      </c>
      <c r="I198" s="16">
        <f>IF(B198="","",IFERROR(H198+VLOOKUP(B198,'Reference Data 기준데이터'!$A$2:$J$5,7,FALSE),""))</f>
        <v/>
      </c>
      <c r="J198" s="20" t="n"/>
      <c r="K198" s="13" t="n"/>
      <c r="L198" s="16">
        <f>IF(B198="","",IFERROR(H198+VLOOKUP(B198,'Reference Data 기준데이터'!$A$2:$J$5,8,FALSE),""))</f>
        <v/>
      </c>
      <c r="M198" s="20" t="n"/>
      <c r="N198" s="16">
        <f>IF(B198="","",IFERROR(IF(ISNUMBER(SEARCH("Vehicle",F198)),MAX(H198+VLOOKUP(B198,'Reference Data 기준데이터'!$A$2:$J$5,9,FALSE),VLOOKUP(B198,'Reference Data 기준데이터'!$A$2:$J$5,4,FALSE)),H198+VLOOKUP(B198,'Reference Data 기준데이터'!$A$2:$J$5,9,FALSE)),""))</f>
        <v/>
      </c>
      <c r="O198" s="20" t="n"/>
      <c r="P198" s="16">
        <f>IF(B198="","",IFERROR(N198+VLOOKUP(E198,'Reference Data 기준데이터'!$A$8:$F$30,4,FALSE),""))</f>
        <v/>
      </c>
      <c r="Q198" s="20" t="n"/>
      <c r="R198" s="16">
        <f>IF(B198="","",IFERROR(MIN(H198+VLOOKUP(B198,'Reference Data 기준데이터'!$A$2:$J$5,10,FALSE),VLOOKUP(B198,'Reference Data 기준데이터'!$A$2:$J$5,6,FALSE)),""))</f>
        <v/>
      </c>
      <c r="S198" s="20" t="n"/>
      <c r="T198" s="13" t="n"/>
      <c r="U198" s="17">
        <f>IF(B198="","",IF(T198&lt;&gt;"",T198,IF(AND(S198&lt;&gt;"",Q198&lt;&gt;""),"11-결과등록완료",IF(AND(Q198&lt;&gt;"",S198=""),"10-시험완료",IF(AND(O198&lt;&gt;"",Q198=""),"09-시험준비중",IF(AND(M198&lt;&gt;"",O198=""),"08-단품준비완료",IF(K198="Approved","05-계획서승인",IF(K198="Revision Needed","04-검토중_조건불만족",IF(K198="Under Review","03-검토중_조건충족",IF(AND(J198&lt;&gt;"",K198=""),"02-계획서제출_미검토","01-계획서미제출"))))))))))</f>
        <v/>
      </c>
      <c r="V198" s="18">
        <f>IF(B198="","",IFS(U198="01-계획서미제출",0,U198="02-계획서제출_미검토",0.05,U198="03-검토중_조건충족",0.1,U198="04-검토중_조건불만족",0.05,U198="05-계획서승인",0.2,U198="06-BIW생산중단",0.15,U198="07-생산완료_미인수",0.3,U198="08-단품준비완료",0.4,U198="09-시험준비중",0.55,U198="10-시험완료",0.85,U198="11-결과등록완료",1,U198="12-조건부승인검토",0.9,TRUE,0))</f>
        <v/>
      </c>
      <c r="W198" s="5">
        <f>IF(B198="","",IF(S198&lt;&gt;"","-",IF(R198="","N/A",R198-TODAY())))</f>
        <v/>
      </c>
      <c r="X198" s="17">
        <f>IF(B198="","",IF(U198="11-결과등록완료","DONE",IF(OR(U198="06-BIW생산중단",AND(U198="01-계획서미제출",I198&lt;TODAY())),"CRITICAL",IF(OR(U198="04-검토중_조건불만족",U198="07-생산완료_미인수",U198="12-조건부승인검토"),"ACTION",IF(AND(ISNUMBER(W198),W198&lt;=0),"OVERDUE",IF(AND(ISNUMBER(W198),W198&lt;=14),"WARNING","ON TRACK"))))))</f>
        <v/>
      </c>
      <c r="Y198" s="19">
        <f>IF(B198="","",IF(U198="11-결과등록완료","— 완료",IF(U198="01-계획서미제출",IF(I198&lt;TODAY(),"계획서 제출 독촉 (OVERDUE)","계획서 제출 대기"),IF(U198="02-계획서제출_미검토","설계자: 계획서 검토 착수",IF(U198="03-검토중_조건충족","설계자: 승인 처리",IF(U198="04-검토중_조건불만족","보완 요청 → 협력사 재제출 독촉",IF(U198="05-계획서승인","시험편 준비 현황 확인",IF(U198="06-BIW생산중단","BIW 생산팀 확인 → 일정 재수립",IF(U198="07-생산완료_미인수","협력사 인수 독촉",IF(U198="08-단품준비완료","시험 일정 확인",IF(U198="09-시험준비중","시험 진행 모니터링",IF(U198="10-시험완료","결과 보고서 전산 등록 독촉",IF(U198="12-조건부승인검토","조건부 승인 여부 판단 → 관련부서 협의","—")))))))))))))</f>
        <v/>
      </c>
    </row>
    <row r="199">
      <c r="A199" s="5">
        <f>IF(B199="","",ROW()-4)</f>
        <v/>
      </c>
      <c r="B199" s="13" t="n"/>
      <c r="C199" s="14" t="n"/>
      <c r="D199" s="15">
        <f>IF(B199="","",IFERROR(VLOOKUP(C199,'Reference Data 기준데이터'!$E$8:$F$30,2,FALSE),""))</f>
        <v/>
      </c>
      <c r="E199" s="14" t="n"/>
      <c r="F199" s="15">
        <f>IF(B199="","",IFERROR(VLOOKUP(E199,'Reference Data 기준데이터'!$A$8:$F$30,2,FALSE),""))</f>
        <v/>
      </c>
      <c r="G199" s="15">
        <f>IF(B199="","",IFERROR(VLOOKUP(B199&amp;"_"&amp;C199,'Reference Data 기준데이터'!$A$33:$B$51,2,FALSE),""))</f>
        <v/>
      </c>
      <c r="H199" s="16">
        <f>IF(B199="","",IFERROR(VLOOKUP(B199,'Reference Data 기준데이터'!$A$2:$J$5,3,FALSE),""))</f>
        <v/>
      </c>
      <c r="I199" s="16">
        <f>IF(B199="","",IFERROR(H199+VLOOKUP(B199,'Reference Data 기준데이터'!$A$2:$J$5,7,FALSE),""))</f>
        <v/>
      </c>
      <c r="J199" s="20" t="n"/>
      <c r="K199" s="13" t="n"/>
      <c r="L199" s="16">
        <f>IF(B199="","",IFERROR(H199+VLOOKUP(B199,'Reference Data 기준데이터'!$A$2:$J$5,8,FALSE),""))</f>
        <v/>
      </c>
      <c r="M199" s="20" t="n"/>
      <c r="N199" s="16">
        <f>IF(B199="","",IFERROR(IF(ISNUMBER(SEARCH("Vehicle",F199)),MAX(H199+VLOOKUP(B199,'Reference Data 기준데이터'!$A$2:$J$5,9,FALSE),VLOOKUP(B199,'Reference Data 기준데이터'!$A$2:$J$5,4,FALSE)),H199+VLOOKUP(B199,'Reference Data 기준데이터'!$A$2:$J$5,9,FALSE)),""))</f>
        <v/>
      </c>
      <c r="O199" s="20" t="n"/>
      <c r="P199" s="16">
        <f>IF(B199="","",IFERROR(N199+VLOOKUP(E199,'Reference Data 기준데이터'!$A$8:$F$30,4,FALSE),""))</f>
        <v/>
      </c>
      <c r="Q199" s="20" t="n"/>
      <c r="R199" s="16">
        <f>IF(B199="","",IFERROR(MIN(H199+VLOOKUP(B199,'Reference Data 기준데이터'!$A$2:$J$5,10,FALSE),VLOOKUP(B199,'Reference Data 기준데이터'!$A$2:$J$5,6,FALSE)),""))</f>
        <v/>
      </c>
      <c r="S199" s="20" t="n"/>
      <c r="T199" s="13" t="n"/>
      <c r="U199" s="17">
        <f>IF(B199="","",IF(T199&lt;&gt;"",T199,IF(AND(S199&lt;&gt;"",Q199&lt;&gt;""),"11-결과등록완료",IF(AND(Q199&lt;&gt;"",S199=""),"10-시험완료",IF(AND(O199&lt;&gt;"",Q199=""),"09-시험준비중",IF(AND(M199&lt;&gt;"",O199=""),"08-단품준비완료",IF(K199="Approved","05-계획서승인",IF(K199="Revision Needed","04-검토중_조건불만족",IF(K199="Under Review","03-검토중_조건충족",IF(AND(J199&lt;&gt;"",K199=""),"02-계획서제출_미검토","01-계획서미제출"))))))))))</f>
        <v/>
      </c>
      <c r="V199" s="18">
        <f>IF(B199="","",IFS(U199="01-계획서미제출",0,U199="02-계획서제출_미검토",0.05,U199="03-검토중_조건충족",0.1,U199="04-검토중_조건불만족",0.05,U199="05-계획서승인",0.2,U199="06-BIW생산중단",0.15,U199="07-생산완료_미인수",0.3,U199="08-단품준비완료",0.4,U199="09-시험준비중",0.55,U199="10-시험완료",0.85,U199="11-결과등록완료",1,U199="12-조건부승인검토",0.9,TRUE,0))</f>
        <v/>
      </c>
      <c r="W199" s="5">
        <f>IF(B199="","",IF(S199&lt;&gt;"","-",IF(R199="","N/A",R199-TODAY())))</f>
        <v/>
      </c>
      <c r="X199" s="17">
        <f>IF(B199="","",IF(U199="11-결과등록완료","DONE",IF(OR(U199="06-BIW생산중단",AND(U199="01-계획서미제출",I199&lt;TODAY())),"CRITICAL",IF(OR(U199="04-검토중_조건불만족",U199="07-생산완료_미인수",U199="12-조건부승인검토"),"ACTION",IF(AND(ISNUMBER(W199),W199&lt;=0),"OVERDUE",IF(AND(ISNUMBER(W199),W199&lt;=14),"WARNING","ON TRACK"))))))</f>
        <v/>
      </c>
      <c r="Y199" s="19">
        <f>IF(B199="","",IF(U199="11-결과등록완료","— 완료",IF(U199="01-계획서미제출",IF(I199&lt;TODAY(),"계획서 제출 독촉 (OVERDUE)","계획서 제출 대기"),IF(U199="02-계획서제출_미검토","설계자: 계획서 검토 착수",IF(U199="03-검토중_조건충족","설계자: 승인 처리",IF(U199="04-검토중_조건불만족","보완 요청 → 협력사 재제출 독촉",IF(U199="05-계획서승인","시험편 준비 현황 확인",IF(U199="06-BIW생산중단","BIW 생산팀 확인 → 일정 재수립",IF(U199="07-생산완료_미인수","협력사 인수 독촉",IF(U199="08-단품준비완료","시험 일정 확인",IF(U199="09-시험준비중","시험 진행 모니터링",IF(U199="10-시험완료","결과 보고서 전산 등록 독촉",IF(U199="12-조건부승인검토","조건부 승인 여부 판단 → 관련부서 협의","—")))))))))))))</f>
        <v/>
      </c>
    </row>
    <row r="200">
      <c r="A200" s="5">
        <f>IF(B200="","",ROW()-4)</f>
        <v/>
      </c>
      <c r="B200" s="13" t="n"/>
      <c r="C200" s="14" t="n"/>
      <c r="D200" s="15">
        <f>IF(B200="","",IFERROR(VLOOKUP(C200,'Reference Data 기준데이터'!$E$8:$F$30,2,FALSE),""))</f>
        <v/>
      </c>
      <c r="E200" s="14" t="n"/>
      <c r="F200" s="15">
        <f>IF(B200="","",IFERROR(VLOOKUP(E200,'Reference Data 기준데이터'!$A$8:$F$30,2,FALSE),""))</f>
        <v/>
      </c>
      <c r="G200" s="15">
        <f>IF(B200="","",IFERROR(VLOOKUP(B200&amp;"_"&amp;C200,'Reference Data 기준데이터'!$A$33:$B$51,2,FALSE),""))</f>
        <v/>
      </c>
      <c r="H200" s="16">
        <f>IF(B200="","",IFERROR(VLOOKUP(B200,'Reference Data 기준데이터'!$A$2:$J$5,3,FALSE),""))</f>
        <v/>
      </c>
      <c r="I200" s="16">
        <f>IF(B200="","",IFERROR(H200+VLOOKUP(B200,'Reference Data 기준데이터'!$A$2:$J$5,7,FALSE),""))</f>
        <v/>
      </c>
      <c r="J200" s="20" t="n"/>
      <c r="K200" s="13" t="n"/>
      <c r="L200" s="16">
        <f>IF(B200="","",IFERROR(H200+VLOOKUP(B200,'Reference Data 기준데이터'!$A$2:$J$5,8,FALSE),""))</f>
        <v/>
      </c>
      <c r="M200" s="20" t="n"/>
      <c r="N200" s="16">
        <f>IF(B200="","",IFERROR(IF(ISNUMBER(SEARCH("Vehicle",F200)),MAX(H200+VLOOKUP(B200,'Reference Data 기준데이터'!$A$2:$J$5,9,FALSE),VLOOKUP(B200,'Reference Data 기준데이터'!$A$2:$J$5,4,FALSE)),H200+VLOOKUP(B200,'Reference Data 기준데이터'!$A$2:$J$5,9,FALSE)),""))</f>
        <v/>
      </c>
      <c r="O200" s="20" t="n"/>
      <c r="P200" s="16">
        <f>IF(B200="","",IFERROR(N200+VLOOKUP(E200,'Reference Data 기준데이터'!$A$8:$F$30,4,FALSE),""))</f>
        <v/>
      </c>
      <c r="Q200" s="20" t="n"/>
      <c r="R200" s="16">
        <f>IF(B200="","",IFERROR(MIN(H200+VLOOKUP(B200,'Reference Data 기준데이터'!$A$2:$J$5,10,FALSE),VLOOKUP(B200,'Reference Data 기준데이터'!$A$2:$J$5,6,FALSE)),""))</f>
        <v/>
      </c>
      <c r="S200" s="20" t="n"/>
      <c r="T200" s="13" t="n"/>
      <c r="U200" s="17">
        <f>IF(B200="","",IF(T200&lt;&gt;"",T200,IF(AND(S200&lt;&gt;"",Q200&lt;&gt;""),"11-결과등록완료",IF(AND(Q200&lt;&gt;"",S200=""),"10-시험완료",IF(AND(O200&lt;&gt;"",Q200=""),"09-시험준비중",IF(AND(M200&lt;&gt;"",O200=""),"08-단품준비완료",IF(K200="Approved","05-계획서승인",IF(K200="Revision Needed","04-검토중_조건불만족",IF(K200="Under Review","03-검토중_조건충족",IF(AND(J200&lt;&gt;"",K200=""),"02-계획서제출_미검토","01-계획서미제출"))))))))))</f>
        <v/>
      </c>
      <c r="V200" s="18">
        <f>IF(B200="","",IFS(U200="01-계획서미제출",0,U200="02-계획서제출_미검토",0.05,U200="03-검토중_조건충족",0.1,U200="04-검토중_조건불만족",0.05,U200="05-계획서승인",0.2,U200="06-BIW생산중단",0.15,U200="07-생산완료_미인수",0.3,U200="08-단품준비완료",0.4,U200="09-시험준비중",0.55,U200="10-시험완료",0.85,U200="11-결과등록완료",1,U200="12-조건부승인검토",0.9,TRUE,0))</f>
        <v/>
      </c>
      <c r="W200" s="5">
        <f>IF(B200="","",IF(S200&lt;&gt;"","-",IF(R200="","N/A",R200-TODAY())))</f>
        <v/>
      </c>
      <c r="X200" s="17">
        <f>IF(B200="","",IF(U200="11-결과등록완료","DONE",IF(OR(U200="06-BIW생산중단",AND(U200="01-계획서미제출",I200&lt;TODAY())),"CRITICAL",IF(OR(U200="04-검토중_조건불만족",U200="07-생산완료_미인수",U200="12-조건부승인검토"),"ACTION",IF(AND(ISNUMBER(W200),W200&lt;=0),"OVERDUE",IF(AND(ISNUMBER(W200),W200&lt;=14),"WARNING","ON TRACK"))))))</f>
        <v/>
      </c>
      <c r="Y200" s="19">
        <f>IF(B200="","",IF(U200="11-결과등록완료","— 완료",IF(U200="01-계획서미제출",IF(I200&lt;TODAY(),"계획서 제출 독촉 (OVERDUE)","계획서 제출 대기"),IF(U200="02-계획서제출_미검토","설계자: 계획서 검토 착수",IF(U200="03-검토중_조건충족","설계자: 승인 처리",IF(U200="04-검토중_조건불만족","보완 요청 → 협력사 재제출 독촉",IF(U200="05-계획서승인","시험편 준비 현황 확인",IF(U200="06-BIW생산중단","BIW 생산팀 확인 → 일정 재수립",IF(U200="07-생산완료_미인수","협력사 인수 독촉",IF(U200="08-단품준비완료","시험 일정 확인",IF(U200="09-시험준비중","시험 진행 모니터링",IF(U200="10-시험완료","결과 보고서 전산 등록 독촉",IF(U200="12-조건부승인검토","조건부 승인 여부 판단 → 관련부서 협의","—")))))))))))))</f>
        <v/>
      </c>
    </row>
  </sheetData>
  <autoFilter ref="A4:Y200"/>
  <mergeCells count="1">
    <mergeCell ref="A1:Y2"/>
  </mergeCells>
  <conditionalFormatting sqref="U5:U200">
    <cfRule type="cellIs" priority="1" operator="equal" dxfId="0">
      <formula>"01-계획서미제출"</formula>
    </cfRule>
    <cfRule type="cellIs" priority="2" operator="equal" dxfId="1">
      <formula>"02-계획서제출_미검토"</formula>
    </cfRule>
    <cfRule type="cellIs" priority="3" operator="equal" dxfId="2">
      <formula>"03-검토중_조건충족"</formula>
    </cfRule>
    <cfRule type="cellIs" priority="4" operator="equal" dxfId="3">
      <formula>"04-검토중_조건불만족"</formula>
    </cfRule>
    <cfRule type="cellIs" priority="5" operator="equal" dxfId="4">
      <formula>"05-계획서승인"</formula>
    </cfRule>
    <cfRule type="cellIs" priority="6" operator="equal" dxfId="5">
      <formula>"06-BIW생산중단"</formula>
    </cfRule>
    <cfRule type="cellIs" priority="7" operator="equal" dxfId="6">
      <formula>"07-생산완료_미인수"</formula>
    </cfRule>
    <cfRule type="cellIs" priority="8" operator="equal" dxfId="7">
      <formula>"08-단품준비완료"</formula>
    </cfRule>
    <cfRule type="cellIs" priority="9" operator="equal" dxfId="7">
      <formula>"09-시험준비중"</formula>
    </cfRule>
    <cfRule type="cellIs" priority="10" operator="equal" dxfId="8">
      <formula>"10-시험완료"</formula>
    </cfRule>
    <cfRule type="cellIs" priority="11" operator="equal" dxfId="9">
      <formula>"11-결과등록완료"</formula>
    </cfRule>
    <cfRule type="cellIs" priority="12" operator="equal" dxfId="10">
      <formula>"12-조건부승인검토"</formula>
    </cfRule>
  </conditionalFormatting>
  <conditionalFormatting sqref="X5:X200">
    <cfRule type="cellIs" priority="13" operator="equal" dxfId="7">
      <formula>"DONE"</formula>
    </cfRule>
    <cfRule type="cellIs" priority="14" operator="equal" dxfId="5">
      <formula>"CRITICAL"</formula>
    </cfRule>
    <cfRule type="cellIs" priority="15" operator="equal" dxfId="5">
      <formula>"OVERDUE"</formula>
    </cfRule>
    <cfRule type="cellIs" priority="16" operator="equal" dxfId="11">
      <formula>"WARNING"</formula>
    </cfRule>
    <cfRule type="cellIs" priority="17" operator="equal" dxfId="6">
      <formula>"ACTION"</formula>
    </cfRule>
    <cfRule type="cellIs" priority="18" operator="equal" dxfId="7">
      <formula>"ON TRACK"</formula>
    </cfRule>
  </conditionalFormatting>
  <conditionalFormatting sqref="W5:W200">
    <cfRule type="cellIs" priority="19" operator="lessThanOrEqual" dxfId="5">
      <formula>0</formula>
    </cfRule>
    <cfRule type="cellIs" priority="20" operator="lessThanOrEqual" dxfId="11">
      <formula>14</formula>
    </cfRule>
  </conditionalFormatting>
  <conditionalFormatting sqref="V5:V200">
    <cfRule type="dataBar" priority="21">
      <dataBar>
        <cfvo type="num" val="0"/>
        <cfvo type="num" val="1"/>
        <color rgb="003B5998"/>
      </dataBar>
    </cfRule>
  </conditionalFormatting>
  <conditionalFormatting sqref="I5:I200">
    <cfRule type="expression" priority="22" dxfId="12">
      <formula>AND(I5&lt;TODAY(),J5="")</formula>
    </cfRule>
  </conditionalFormatting>
  <conditionalFormatting sqref="L5:L200">
    <cfRule type="expression" priority="23" dxfId="12">
      <formula>AND(L5&lt;TODAY(),M5="")</formula>
    </cfRule>
  </conditionalFormatting>
  <conditionalFormatting sqref="N5:N200">
    <cfRule type="expression" priority="24" dxfId="12">
      <formula>AND(N5&lt;TODAY(),O5="")</formula>
    </cfRule>
  </conditionalFormatting>
  <conditionalFormatting sqref="P5:P200">
    <cfRule type="expression" priority="25" dxfId="12">
      <formula>AND(P5&lt;TODAY(),Q5="")</formula>
    </cfRule>
  </conditionalFormatting>
  <conditionalFormatting sqref="R5:R200">
    <cfRule type="expression" priority="26" dxfId="12">
      <formula>AND(R5&lt;TODAY(),S5="")</formula>
    </cfRule>
  </conditionalFormatting>
  <dataValidations count="5">
    <dataValidation sqref="B5:B200" showDropDown="0" showInputMessage="0" showErrorMessage="0" allowBlank="1" prompt="Select vehicle" type="list">
      <formula1>'Reference Data 기준데이터'!$A$3:$A$5</formula1>
    </dataValidation>
    <dataValidation sqref="C5:C200" showDropDown="0" showInputMessage="0" showErrorMessage="0" allowBlank="1" prompt="Select part" type="list">
      <formula1>'Reference Data 기준데이터'!$A$54:$A$59</formula1>
    </dataValidation>
    <dataValidation sqref="E5:E200" showDropDown="0" showInputMessage="0" showErrorMessage="0" allowBlank="1" prompt="Select test" type="list">
      <formula1>'Reference Data 기준데이터'!$A$61:$A$75</formula1>
    </dataValidation>
    <dataValidation sqref="K5:K200" showDropDown="0" showInputMessage="0" showErrorMessage="0" allowBlank="1" prompt="Select review result" type="list">
      <formula1>"Under Review,Approved,Revision Needed"</formula1>
    </dataValidation>
    <dataValidation sqref="T5:T200" showDropDown="0" showInputMessage="0" showErrorMessage="0" allowBlank="1" prompt="Select override status" type="list">
      <formula1>"06-BIW생산중단,07-생산완료_미인수,12-조건부승인검토"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8" t="inlineStr">
        <is>
          <t>ESIR Dashboard V3</t>
        </is>
      </c>
      <c r="B1" s="9" t="n"/>
      <c r="C1" s="9" t="n"/>
      <c r="D1" s="9" t="n"/>
      <c r="E1" s="9" t="n"/>
      <c r="F1" s="9" t="n"/>
      <c r="G1" s="9" t="n"/>
      <c r="H1" s="9" t="n"/>
    </row>
    <row r="2">
      <c r="A2" s="9" t="n"/>
      <c r="B2" s="9" t="n"/>
      <c r="C2" s="9" t="n"/>
      <c r="D2" s="9" t="n"/>
      <c r="E2" s="9" t="n"/>
      <c r="F2" s="9" t="n"/>
      <c r="G2" s="9" t="n"/>
      <c r="H2" s="9" t="n"/>
    </row>
    <row r="3">
      <c r="A3" s="5" t="inlineStr"/>
      <c r="B3" s="21" t="inlineStr">
        <is>
          <t>Selected Vehicle:</t>
        </is>
      </c>
      <c r="C3" s="22">
        <f>Config!$A$1</f>
        <v/>
      </c>
      <c r="D3" s="23" t="inlineStr">
        <is>
          <t>T0:</t>
        </is>
      </c>
      <c r="E3" s="24">
        <f>IFERROR(VLOOKUP(C3,'Reference Data 기준데이터'!$A$2:$J$5,3,FALSE),"")</f>
        <v/>
      </c>
      <c r="F3" s="23" t="inlineStr">
        <is>
          <t>Proto:</t>
        </is>
      </c>
      <c r="G3" s="24">
        <f>IFERROR(VLOOKUP(C3,'Reference Data 기준데이터'!$A$2:$J$5,4,FALSE),"")</f>
        <v/>
      </c>
      <c r="H3" s="5" t="inlineStr"/>
    </row>
    <row r="4">
      <c r="A4" s="5" t="inlineStr"/>
      <c r="B4" s="25" t="inlineStr">
        <is>
          <t>D-Day:</t>
        </is>
      </c>
      <c r="C4" s="26">
        <f>IFERROR(VLOOKUP(C3,'Reference Data 기준데이터'!$A$2:$J$5,6,FALSE)-TODAY(),"")</f>
        <v/>
      </c>
      <c r="D4" s="23" t="inlineStr">
        <is>
          <t>MC:</t>
        </is>
      </c>
      <c r="E4" s="24">
        <f>IFERROR(VLOOKUP(C3,'Reference Data 기준데이터'!$A$2:$J$5,5,FALSE),"")</f>
        <v/>
      </c>
      <c r="F4" s="23" t="inlineStr">
        <is>
          <t>Deadline:</t>
        </is>
      </c>
      <c r="G4" s="24">
        <f>IFERROR(VLOOKUP(C3,'Reference Data 기준데이터'!$A$2:$J$5,6,FALSE),"")</f>
        <v/>
      </c>
      <c r="H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27" t="inlineStr">
        <is>
          <t>KPI Summary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8" t="inlineStr"/>
      <c r="B7" s="28" t="inlineStr">
        <is>
          <t>Total</t>
        </is>
      </c>
      <c r="C7" s="28" t="inlineStr">
        <is>
          <t>Complete 완료</t>
        </is>
      </c>
      <c r="D7" s="28" t="inlineStr">
        <is>
          <t>In Progress 진행중</t>
        </is>
      </c>
      <c r="E7" s="28" t="inlineStr">
        <is>
          <t>At Risk 지연</t>
        </is>
      </c>
      <c r="F7" s="28" t="inlineStr">
        <is>
          <t>Avg Progress</t>
        </is>
      </c>
      <c r="G7" s="28" t="inlineStr"/>
      <c r="H7" s="28" t="inlineStr"/>
    </row>
    <row r="8">
      <c r="A8" s="5" t="inlineStr"/>
      <c r="B8" s="29">
        <f>COUNTIF('Master Tracker 마스터추적표'!$B$5:$B$200,Config!$A$1)</f>
        <v/>
      </c>
      <c r="C8" s="30">
        <f>COUNTIFS('Master Tracker 마스터추적표'!$B$5:$B$200,Config!$A$1,'Master Tracker 마스터추적표'!$U$5:$U$200,"11-*")</f>
        <v/>
      </c>
      <c r="D8" s="31">
        <f>B8-C8-COUNTIFS('Master Tracker 마스터추적표'!$B$5:$B$200,Config!$A$1,'Master Tracker 마스터추적표'!$U$5:$U$200,"01-*")</f>
        <v/>
      </c>
      <c r="E8" s="32">
        <f>COUNTIFS('Master Tracker 마스터추적표'!$B$5:$B$200,Config!$A$1,'Master Tracker 마스터추적표'!$X$5:$X$200,"CRITICAL")+COUNTIFS('Master Tracker 마스터추적표'!$B$5:$B$200,Config!$A$1,'Master Tracker 마스터추적표'!$X$5:$X$200,"OVERDUE")+COUNTIFS('Master Tracker 마스터추적표'!$B$5:$B$200,Config!$A$1,'Master Tracker 마스터추적표'!$X$5:$X$200,"WARNING")</f>
        <v/>
      </c>
      <c r="F8" s="33">
        <f>IFERROR(AVERAGEIFS('Master Tracker 마스터추적표'!$V$5:$V$200,'Master Tracker 마스터추적표'!$B$5:$B$200,Config!$A$1),0)</f>
        <v/>
      </c>
      <c r="G8" s="5" t="inlineStr"/>
      <c r="H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27" t="inlineStr">
        <is>
          <t>Part Progress 부품별 현황 (Selected Vehicle)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4" t="inlineStr"/>
      <c r="B11" s="4" t="inlineStr">
        <is>
          <t>부품명</t>
        </is>
      </c>
      <c r="C11" s="4" t="inlineStr">
        <is>
          <t>시험수</t>
        </is>
      </c>
      <c r="D11" s="4" t="inlineStr">
        <is>
          <t>완료</t>
        </is>
      </c>
      <c r="E11" s="4" t="inlineStr">
        <is>
          <t>진행중</t>
        </is>
      </c>
      <c r="F11" s="4" t="inlineStr">
        <is>
          <t>지연</t>
        </is>
      </c>
      <c r="G11" s="4" t="inlineStr">
        <is>
          <t>진행률</t>
        </is>
      </c>
      <c r="H11" s="4" t="inlineStr">
        <is>
          <t>최소잔여일</t>
        </is>
      </c>
    </row>
    <row r="12">
      <c r="A12" s="5" t="n">
        <v>1</v>
      </c>
      <c r="B12" s="7" t="inlineStr">
        <is>
          <t>Center Console Assy</t>
        </is>
      </c>
      <c r="C12" s="5">
        <f>COUNTIFS('Master Tracker 마스터추적표'!$B$5:$B$200,Config!$A$1,'Master Tracker 마스터추적표'!$C$5:$C$200,B12)</f>
        <v/>
      </c>
      <c r="D12" s="34">
        <f>COUNTIFS('Master Tracker 마스터추적표'!$B$5:$B$200,Config!$A$1,'Master Tracker 마스터추적표'!$C$5:$C$200,B12,'Master Tracker 마스터추적표'!$U$5:$U$200,"11-*")</f>
        <v/>
      </c>
      <c r="E12" s="5">
        <f>C12-D12-F12</f>
        <v/>
      </c>
      <c r="F12" s="5">
        <f>COUNTIFS('Master Tracker 마스터추적표'!$B$5:$B$200,Config!$A$1,'Master Tracker 마스터추적표'!$C$5:$C$200,B12,'Master Tracker 마스터추적표'!$X$5:$X$200,"CRITICAL")+COUNTIFS('Master Tracker 마스터추적표'!$B$5:$B$200,Config!$A$1,'Master Tracker 마스터추적표'!$C$5:$C$200,B12,'Master Tracker 마스터추적표'!$X$5:$X$200,"OVERDUE")+COUNTIFS('Master Tracker 마스터추적표'!$B$5:$B$200,Config!$A$1,'Master Tracker 마스터추적표'!$C$5:$C$200,B12,'Master Tracker 마스터추적표'!$X$5:$X$200,"WARNING")</f>
        <v/>
      </c>
      <c r="G12" s="18">
        <f>IFERROR(AVERAGEIFS('Master Tracker 마스터추적표'!$V$5:$V$200,'Master Tracker 마스터추적표'!$B$5:$B$200,Config!$A$1,'Master Tracker 마스터추적표'!$C$5:$C$200,B12),0)</f>
        <v/>
      </c>
      <c r="H12" s="5">
        <f>IFERROR(MINIFS('Master Tracker 마스터추적표'!$W$5:$W$200,'Master Tracker 마스터추적표'!$B$5:$B$200,Config!$A$1,'Master Tracker 마스터추적표'!$C$5:$C$200,B12,'Master Tracker 마스터추적표'!$X$5:$X$200,"&lt;&gt;DONE"),"—")</f>
        <v/>
      </c>
    </row>
    <row r="13">
      <c r="A13" s="5" t="n">
        <v>2</v>
      </c>
      <c r="B13" s="7" t="inlineStr">
        <is>
          <t>Console Lid Assy</t>
        </is>
      </c>
      <c r="C13" s="5">
        <f>COUNTIFS('Master Tracker 마스터추적표'!$B$5:$B$200,Config!$A$1,'Master Tracker 마스터추적표'!$C$5:$C$200,B13)</f>
        <v/>
      </c>
      <c r="D13" s="34">
        <f>COUNTIFS('Master Tracker 마스터추적표'!$B$5:$B$200,Config!$A$1,'Master Tracker 마스터추적표'!$C$5:$C$200,B13,'Master Tracker 마스터추적표'!$U$5:$U$200,"11-*")</f>
        <v/>
      </c>
      <c r="E13" s="5">
        <f>C13-D13-F13</f>
        <v/>
      </c>
      <c r="F13" s="5">
        <f>COUNTIFS('Master Tracker 마스터추적표'!$B$5:$B$200,Config!$A$1,'Master Tracker 마스터추적표'!$C$5:$C$200,B13,'Master Tracker 마스터추적표'!$X$5:$X$200,"CRITICAL")+COUNTIFS('Master Tracker 마스터추적표'!$B$5:$B$200,Config!$A$1,'Master Tracker 마스터추적표'!$C$5:$C$200,B13,'Master Tracker 마스터추적표'!$X$5:$X$200,"OVERDUE")+COUNTIFS('Master Tracker 마스터추적표'!$B$5:$B$200,Config!$A$1,'Master Tracker 마스터추적표'!$C$5:$C$200,B13,'Master Tracker 마스터추적표'!$X$5:$X$200,"WARNING")</f>
        <v/>
      </c>
      <c r="G13" s="18">
        <f>IFERROR(AVERAGEIFS('Master Tracker 마스터추적표'!$V$5:$V$200,'Master Tracker 마스터추적표'!$B$5:$B$200,Config!$A$1,'Master Tracker 마스터추적표'!$C$5:$C$200,B13),0)</f>
        <v/>
      </c>
      <c r="H13" s="5">
        <f>IFERROR(MINIFS('Master Tracker 마스터추적표'!$W$5:$W$200,'Master Tracker 마스터추적표'!$B$5:$B$200,Config!$A$1,'Master Tracker 마스터추적표'!$C$5:$C$200,B13,'Master Tracker 마스터추적표'!$X$5:$X$200,"&lt;&gt;DONE"),"—")</f>
        <v/>
      </c>
    </row>
    <row r="14">
      <c r="A14" s="5" t="n">
        <v>3</v>
      </c>
      <c r="B14" s="7" t="inlineStr">
        <is>
          <t>Door Trim LH</t>
        </is>
      </c>
      <c r="C14" s="5">
        <f>COUNTIFS('Master Tracker 마스터추적표'!$B$5:$B$200,Config!$A$1,'Master Tracker 마스터추적표'!$C$5:$C$200,B14)</f>
        <v/>
      </c>
      <c r="D14" s="34">
        <f>COUNTIFS('Master Tracker 마스터추적표'!$B$5:$B$200,Config!$A$1,'Master Tracker 마스터추적표'!$C$5:$C$200,B14,'Master Tracker 마스터추적표'!$U$5:$U$200,"11-*")</f>
        <v/>
      </c>
      <c r="E14" s="5">
        <f>C14-D14-F14</f>
        <v/>
      </c>
      <c r="F14" s="5">
        <f>COUNTIFS('Master Tracker 마스터추적표'!$B$5:$B$200,Config!$A$1,'Master Tracker 마스터추적표'!$C$5:$C$200,B14,'Master Tracker 마스터추적표'!$X$5:$X$200,"CRITICAL")+COUNTIFS('Master Tracker 마스터추적표'!$B$5:$B$200,Config!$A$1,'Master Tracker 마스터추적표'!$C$5:$C$200,B14,'Master Tracker 마스터추적표'!$X$5:$X$200,"OVERDUE")+COUNTIFS('Master Tracker 마스터추적표'!$B$5:$B$200,Config!$A$1,'Master Tracker 마스터추적표'!$C$5:$C$200,B14,'Master Tracker 마스터추적표'!$X$5:$X$200,"WARNING")</f>
        <v/>
      </c>
      <c r="G14" s="18">
        <f>IFERROR(AVERAGEIFS('Master Tracker 마스터추적표'!$V$5:$V$200,'Master Tracker 마스터추적표'!$B$5:$B$200,Config!$A$1,'Master Tracker 마스터추적표'!$C$5:$C$200,B14),0)</f>
        <v/>
      </c>
      <c r="H14" s="5">
        <f>IFERROR(MINIFS('Master Tracker 마스터추적표'!$W$5:$W$200,'Master Tracker 마스터추적표'!$B$5:$B$200,Config!$A$1,'Master Tracker 마스터추적표'!$C$5:$C$200,B14,'Master Tracker 마스터추적표'!$X$5:$X$200,"&lt;&gt;DONE"),"—")</f>
        <v/>
      </c>
    </row>
    <row r="15">
      <c r="A15" s="5" t="n">
        <v>4</v>
      </c>
      <c r="B15" s="7" t="inlineStr">
        <is>
          <t>Pillar Trim C</t>
        </is>
      </c>
      <c r="C15" s="5">
        <f>COUNTIFS('Master Tracker 마스터추적표'!$B$5:$B$200,Config!$A$1,'Master Tracker 마스터추적표'!$C$5:$C$200,B15)</f>
        <v/>
      </c>
      <c r="D15" s="34">
        <f>COUNTIFS('Master Tracker 마스터추적표'!$B$5:$B$200,Config!$A$1,'Master Tracker 마스터추적표'!$C$5:$C$200,B15,'Master Tracker 마스터추적표'!$U$5:$U$200,"11-*")</f>
        <v/>
      </c>
      <c r="E15" s="5">
        <f>C15-D15-F15</f>
        <v/>
      </c>
      <c r="F15" s="5">
        <f>COUNTIFS('Master Tracker 마스터추적표'!$B$5:$B$200,Config!$A$1,'Master Tracker 마스터추적표'!$C$5:$C$200,B15,'Master Tracker 마스터추적표'!$X$5:$X$200,"CRITICAL")+COUNTIFS('Master Tracker 마스터추적표'!$B$5:$B$200,Config!$A$1,'Master Tracker 마스터추적표'!$C$5:$C$200,B15,'Master Tracker 마스터추적표'!$X$5:$X$200,"OVERDUE")+COUNTIFS('Master Tracker 마스터추적표'!$B$5:$B$200,Config!$A$1,'Master Tracker 마스터추적표'!$C$5:$C$200,B15,'Master Tracker 마스터추적표'!$X$5:$X$200,"WARNING")</f>
        <v/>
      </c>
      <c r="G15" s="18">
        <f>IFERROR(AVERAGEIFS('Master Tracker 마스터추적표'!$V$5:$V$200,'Master Tracker 마스터추적표'!$B$5:$B$200,Config!$A$1,'Master Tracker 마스터추적표'!$C$5:$C$200,B15),0)</f>
        <v/>
      </c>
      <c r="H15" s="5">
        <f>IFERROR(MINIFS('Master Tracker 마스터추적표'!$W$5:$W$200,'Master Tracker 마스터추적표'!$B$5:$B$200,Config!$A$1,'Master Tracker 마스터추적표'!$C$5:$C$200,B15,'Master Tracker 마스터추적표'!$X$5:$X$200,"&lt;&gt;DONE"),"—")</f>
        <v/>
      </c>
    </row>
    <row r="16">
      <c r="A16" s="5" t="n">
        <v>5</v>
      </c>
      <c r="B16" s="7" t="inlineStr">
        <is>
          <t>Front Seat Assy LH</t>
        </is>
      </c>
      <c r="C16" s="5">
        <f>COUNTIFS('Master Tracker 마스터추적표'!$B$5:$B$200,Config!$A$1,'Master Tracker 마스터추적표'!$C$5:$C$200,B16)</f>
        <v/>
      </c>
      <c r="D16" s="34">
        <f>COUNTIFS('Master Tracker 마스터추적표'!$B$5:$B$200,Config!$A$1,'Master Tracker 마스터추적표'!$C$5:$C$200,B16,'Master Tracker 마스터추적표'!$U$5:$U$200,"11-*")</f>
        <v/>
      </c>
      <c r="E16" s="5">
        <f>C16-D16-F16</f>
        <v/>
      </c>
      <c r="F16" s="5">
        <f>COUNTIFS('Master Tracker 마스터추적표'!$B$5:$B$200,Config!$A$1,'Master Tracker 마스터추적표'!$C$5:$C$200,B16,'Master Tracker 마스터추적표'!$X$5:$X$200,"CRITICAL")+COUNTIFS('Master Tracker 마스터추적표'!$B$5:$B$200,Config!$A$1,'Master Tracker 마스터추적표'!$C$5:$C$200,B16,'Master Tracker 마스터추적표'!$X$5:$X$200,"OVERDUE")+COUNTIFS('Master Tracker 마스터추적표'!$B$5:$B$200,Config!$A$1,'Master Tracker 마스터추적표'!$C$5:$C$200,B16,'Master Tracker 마스터추적표'!$X$5:$X$200,"WARNING")</f>
        <v/>
      </c>
      <c r="G16" s="18">
        <f>IFERROR(AVERAGEIFS('Master Tracker 마스터추적표'!$V$5:$V$200,'Master Tracker 마스터추적표'!$B$5:$B$200,Config!$A$1,'Master Tracker 마스터추적표'!$C$5:$C$200,B16),0)</f>
        <v/>
      </c>
      <c r="H16" s="5">
        <f>IFERROR(MINIFS('Master Tracker 마스터추적표'!$W$5:$W$200,'Master Tracker 마스터추적표'!$B$5:$B$200,Config!$A$1,'Master Tracker 마스터추적표'!$C$5:$C$200,B16,'Master Tracker 마스터추적표'!$X$5:$X$200,"&lt;&gt;DONE"),"—")</f>
        <v/>
      </c>
    </row>
    <row r="17">
      <c r="A17" s="5" t="n">
        <v>6</v>
      </c>
      <c r="B17" s="7" t="inlineStr">
        <is>
          <t>Rear Seat Assy</t>
        </is>
      </c>
      <c r="C17" s="5">
        <f>COUNTIFS('Master Tracker 마스터추적표'!$B$5:$B$200,Config!$A$1,'Master Tracker 마스터추적표'!$C$5:$C$200,B17)</f>
        <v/>
      </c>
      <c r="D17" s="34">
        <f>COUNTIFS('Master Tracker 마스터추적표'!$B$5:$B$200,Config!$A$1,'Master Tracker 마스터추적표'!$C$5:$C$200,B17,'Master Tracker 마스터추적표'!$U$5:$U$200,"11-*")</f>
        <v/>
      </c>
      <c r="E17" s="5">
        <f>C17-D17-F17</f>
        <v/>
      </c>
      <c r="F17" s="5">
        <f>COUNTIFS('Master Tracker 마스터추적표'!$B$5:$B$200,Config!$A$1,'Master Tracker 마스터추적표'!$C$5:$C$200,B17,'Master Tracker 마스터추적표'!$X$5:$X$200,"CRITICAL")+COUNTIFS('Master Tracker 마스터추적표'!$B$5:$B$200,Config!$A$1,'Master Tracker 마스터추적표'!$C$5:$C$200,B17,'Master Tracker 마스터추적표'!$X$5:$X$200,"OVERDUE")+COUNTIFS('Master Tracker 마스터추적표'!$B$5:$B$200,Config!$A$1,'Master Tracker 마스터추적표'!$C$5:$C$200,B17,'Master Tracker 마스터추적표'!$X$5:$X$200,"WARNING")</f>
        <v/>
      </c>
      <c r="G17" s="18">
        <f>IFERROR(AVERAGEIFS('Master Tracker 마스터추적표'!$V$5:$V$200,'Master Tracker 마스터추적표'!$B$5:$B$200,Config!$A$1,'Master Tracker 마스터추적표'!$C$5:$C$200,B17),0)</f>
        <v/>
      </c>
      <c r="H17" s="5">
        <f>IFERROR(MINIFS('Master Tracker 마스터추적표'!$W$5:$W$200,'Master Tracker 마스터추적표'!$B$5:$B$200,Config!$A$1,'Master Tracker 마스터추적표'!$C$5:$C$200,B17,'Master Tracker 마스터추적표'!$X$5:$X$200,"&lt;&gt;DONE"),"—")</f>
        <v/>
      </c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27" t="inlineStr">
        <is>
          <t>Cross-Vehicle Comparison 차종간 비교</t>
        </is>
      </c>
      <c r="B19" s="9" t="n"/>
      <c r="C19" s="9" t="n"/>
      <c r="D19" s="9" t="n"/>
      <c r="E19" s="9" t="n"/>
      <c r="F19" s="9" t="n"/>
      <c r="G19" s="9" t="n"/>
      <c r="H19" s="9" t="n"/>
    </row>
    <row r="20">
      <c r="A20" s="4" t="inlineStr"/>
      <c r="B20" s="4" t="inlineStr">
        <is>
          <t>차종</t>
        </is>
      </c>
      <c r="C20" s="4" t="inlineStr">
        <is>
          <t>시험수</t>
        </is>
      </c>
      <c r="D20" s="4" t="inlineStr">
        <is>
          <t>완료</t>
        </is>
      </c>
      <c r="E20" s="4" t="inlineStr">
        <is>
          <t>지연</t>
        </is>
      </c>
      <c r="F20" s="4" t="inlineStr">
        <is>
          <t>진행률</t>
        </is>
      </c>
      <c r="G20" s="4" t="inlineStr"/>
      <c r="H20" s="4" t="inlineStr"/>
    </row>
    <row r="21">
      <c r="A21" s="5" t="n">
        <v>1</v>
      </c>
      <c r="B21" s="17" t="inlineStr">
        <is>
          <t>AE_PE</t>
        </is>
      </c>
      <c r="C21" s="5">
        <f>COUNTIF('Master Tracker 마스터추적표'!$B$5:$B$200,B21)</f>
        <v/>
      </c>
      <c r="D21" s="34">
        <f>COUNTIFS('Master Tracker 마스터추적표'!$B$5:$B$200,B21,'Master Tracker 마스터추적표'!$U$5:$U$200,"11-*")</f>
        <v/>
      </c>
      <c r="E21" s="5">
        <f>COUNTIFS('Master Tracker 마스터추적표'!$B$5:$B$200,B21,'Master Tracker 마스터추적표'!$X$5:$X$200,"CRITICAL")+COUNTIFS('Master Tracker 마스터추적표'!$B$5:$B$200,B21,'Master Tracker 마스터추적표'!$X$5:$X$200,"OVERDUE")+COUNTIFS('Master Tracker 마스터추적표'!$B$5:$B$200,B21,'Master Tracker 마스터추적표'!$X$5:$X$200,"WARNING")</f>
        <v/>
      </c>
      <c r="F21" s="18">
        <f>IFERROR(AVERAGEIFS('Master Tracker 마스터추적표'!$V$5:$V$200,'Master Tracker 마스터추적표'!$B$5:$B$200,B21),0)</f>
        <v/>
      </c>
      <c r="G21" s="5" t="inlineStr"/>
      <c r="H21" s="5" t="inlineStr"/>
    </row>
    <row r="22">
      <c r="A22" s="5" t="n">
        <v>2</v>
      </c>
      <c r="B22" s="17" t="inlineStr">
        <is>
          <t>SU2i</t>
        </is>
      </c>
      <c r="C22" s="5">
        <f>COUNTIF('Master Tracker 마스터추적표'!$B$5:$B$200,B22)</f>
        <v/>
      </c>
      <c r="D22" s="34">
        <f>COUNTIFS('Master Tracker 마스터추적표'!$B$5:$B$200,B22,'Master Tracker 마스터추적표'!$U$5:$U$200,"11-*")</f>
        <v/>
      </c>
      <c r="E22" s="5">
        <f>COUNTIFS('Master Tracker 마스터추적표'!$B$5:$B$200,B22,'Master Tracker 마스터추적표'!$X$5:$X$200,"CRITICAL")+COUNTIFS('Master Tracker 마스터추적표'!$B$5:$B$200,B22,'Master Tracker 마스터추적표'!$X$5:$X$200,"OVERDUE")+COUNTIFS('Master Tracker 마스터추적표'!$B$5:$B$200,B22,'Master Tracker 마스터추적표'!$X$5:$X$200,"WARNING")</f>
        <v/>
      </c>
      <c r="F22" s="18">
        <f>IFERROR(AVERAGEIFS('Master Tracker 마스터추적표'!$V$5:$V$200,'Master Tracker 마스터추적표'!$B$5:$B$200,B22),0)</f>
        <v/>
      </c>
      <c r="G22" s="5" t="inlineStr"/>
      <c r="H22" s="5" t="inlineStr"/>
    </row>
    <row r="23">
      <c r="A23" s="5" t="n">
        <v>3</v>
      </c>
      <c r="B23" s="17" t="inlineStr">
        <is>
          <t>EN_SUV</t>
        </is>
      </c>
      <c r="C23" s="5">
        <f>COUNTIF('Master Tracker 마스터추적표'!$B$5:$B$200,B23)</f>
        <v/>
      </c>
      <c r="D23" s="34">
        <f>COUNTIFS('Master Tracker 마스터추적표'!$B$5:$B$200,B23,'Master Tracker 마스터추적표'!$U$5:$U$200,"11-*")</f>
        <v/>
      </c>
      <c r="E23" s="5">
        <f>COUNTIFS('Master Tracker 마스터추적표'!$B$5:$B$200,B23,'Master Tracker 마스터추적표'!$X$5:$X$200,"CRITICAL")+COUNTIFS('Master Tracker 마스터추적표'!$B$5:$B$200,B23,'Master Tracker 마스터추적표'!$X$5:$X$200,"OVERDUE")+COUNTIFS('Master Tracker 마스터추적표'!$B$5:$B$200,B23,'Master Tracker 마스터추적표'!$X$5:$X$200,"WARNING")</f>
        <v/>
      </c>
      <c r="F23" s="18">
        <f>IFERROR(AVERAGEIFS('Master Tracker 마스터추적표'!$V$5:$V$200,'Master Tracker 마스터추적표'!$B$5:$B$200,B23),0)</f>
        <v/>
      </c>
      <c r="G23" s="5" t="inlineStr"/>
      <c r="H23" s="5" t="inlineStr"/>
    </row>
    <row r="24">
      <c r="A24" s="1" t="inlineStr"/>
      <c r="B24" s="1" t="inlineStr">
        <is>
          <t>TOTAL</t>
        </is>
      </c>
      <c r="C24" s="1">
        <f>SUM(C21:C23)</f>
        <v/>
      </c>
      <c r="D24" s="1">
        <f>SUM(D21:D23)</f>
        <v/>
      </c>
      <c r="E24" s="1">
        <f>SUM(E21:E23)</f>
        <v/>
      </c>
      <c r="F24" s="35">
        <f>IFERROR(AVERAGEIFS('Master Tracker 마스터추적표'!$V$5:$V$200,'Master Tracker 마스터추적표'!$B$5:$B$200,"&lt;&gt;"),0)</f>
        <v/>
      </c>
      <c r="G24" s="1" t="inlineStr"/>
      <c r="H24" s="1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  <row r="26">
      <c r="A26" s="27" t="inlineStr">
        <is>
          <t>Status Distribution 상태 분포 (Selected Vehicle)</t>
        </is>
      </c>
      <c r="B26" s="9" t="n"/>
      <c r="C26" s="9" t="n"/>
      <c r="D26" s="9" t="n"/>
      <c r="E26" s="9" t="n"/>
      <c r="F26" s="9" t="n"/>
      <c r="G26" s="9" t="n"/>
      <c r="H26" s="9" t="n"/>
    </row>
    <row r="27">
      <c r="A27" s="4" t="inlineStr"/>
      <c r="B27" s="4" t="inlineStr">
        <is>
          <t>상태</t>
        </is>
      </c>
      <c r="C27" s="4" t="inlineStr">
        <is>
          <t>건수</t>
        </is>
      </c>
      <c r="D27" s="4" t="inlineStr"/>
      <c r="E27" s="4" t="inlineStr"/>
      <c r="F27" s="4" t="inlineStr"/>
      <c r="G27" s="4" t="inlineStr"/>
      <c r="H27" s="4" t="inlineStr"/>
    </row>
    <row r="28">
      <c r="A28" s="5" t="n">
        <v>1</v>
      </c>
      <c r="B28" s="7" t="inlineStr">
        <is>
          <t>01-계획서미제출</t>
        </is>
      </c>
      <c r="C28" s="5">
        <f>COUNTIFS('Master Tracker 마스터추적표'!$B$5:$B$200,Config!$A$1,'Master Tracker 마스터추적표'!$U$5:$U$200,B28)</f>
        <v/>
      </c>
      <c r="D28" s="5" t="inlineStr"/>
      <c r="E28" s="5" t="inlineStr"/>
      <c r="F28" s="5" t="inlineStr"/>
      <c r="G28" s="5" t="inlineStr"/>
      <c r="H28" s="5" t="inlineStr"/>
    </row>
    <row r="29">
      <c r="A29" s="5" t="n">
        <v>2</v>
      </c>
      <c r="B29" s="7" t="inlineStr">
        <is>
          <t>02-계획서제출_미검토</t>
        </is>
      </c>
      <c r="C29" s="5">
        <f>COUNTIFS('Master Tracker 마스터추적표'!$B$5:$B$200,Config!$A$1,'Master Tracker 마스터추적표'!$U$5:$U$200,B29)</f>
        <v/>
      </c>
      <c r="D29" s="5" t="inlineStr"/>
      <c r="E29" s="5" t="inlineStr"/>
      <c r="F29" s="5" t="inlineStr"/>
      <c r="G29" s="5" t="inlineStr"/>
      <c r="H29" s="5" t="inlineStr"/>
    </row>
    <row r="30">
      <c r="A30" s="5" t="n">
        <v>3</v>
      </c>
      <c r="B30" s="7" t="inlineStr">
        <is>
          <t>03-검토중_조건충족</t>
        </is>
      </c>
      <c r="C30" s="5">
        <f>COUNTIFS('Master Tracker 마스터추적표'!$B$5:$B$200,Config!$A$1,'Master Tracker 마스터추적표'!$U$5:$U$200,B30)</f>
        <v/>
      </c>
      <c r="D30" s="5" t="inlineStr"/>
      <c r="E30" s="5" t="inlineStr"/>
      <c r="F30" s="5" t="inlineStr"/>
      <c r="G30" s="5" t="inlineStr"/>
      <c r="H30" s="5" t="inlineStr"/>
    </row>
    <row r="31">
      <c r="A31" s="5" t="n">
        <v>4</v>
      </c>
      <c r="B31" s="7" t="inlineStr">
        <is>
          <t>04-검토중_조건불만족</t>
        </is>
      </c>
      <c r="C31" s="5">
        <f>COUNTIFS('Master Tracker 마스터추적표'!$B$5:$B$200,Config!$A$1,'Master Tracker 마스터추적표'!$U$5:$U$200,B31)</f>
        <v/>
      </c>
      <c r="D31" s="5" t="inlineStr"/>
      <c r="E31" s="5" t="inlineStr"/>
      <c r="F31" s="5" t="inlineStr"/>
      <c r="G31" s="5" t="inlineStr"/>
      <c r="H31" s="5" t="inlineStr"/>
    </row>
    <row r="32">
      <c r="A32" s="5" t="n">
        <v>5</v>
      </c>
      <c r="B32" s="7" t="inlineStr">
        <is>
          <t>05-계획서승인</t>
        </is>
      </c>
      <c r="C32" s="5">
        <f>COUNTIFS('Master Tracker 마스터추적표'!$B$5:$B$200,Config!$A$1,'Master Tracker 마스터추적표'!$U$5:$U$200,B32)</f>
        <v/>
      </c>
      <c r="D32" s="5" t="inlineStr"/>
      <c r="E32" s="5" t="inlineStr"/>
      <c r="F32" s="5" t="inlineStr"/>
      <c r="G32" s="5" t="inlineStr"/>
      <c r="H32" s="5" t="inlineStr"/>
    </row>
    <row r="33">
      <c r="A33" s="5" t="n">
        <v>6</v>
      </c>
      <c r="B33" s="7" t="inlineStr">
        <is>
          <t>06-BIW생산중단</t>
        </is>
      </c>
      <c r="C33" s="5">
        <f>COUNTIFS('Master Tracker 마스터추적표'!$B$5:$B$200,Config!$A$1,'Master Tracker 마스터추적표'!$U$5:$U$200,B33)</f>
        <v/>
      </c>
      <c r="D33" s="5" t="inlineStr"/>
      <c r="E33" s="5" t="inlineStr"/>
      <c r="F33" s="5" t="inlineStr"/>
      <c r="G33" s="5" t="inlineStr"/>
      <c r="H33" s="5" t="inlineStr"/>
    </row>
    <row r="34">
      <c r="A34" s="5" t="n">
        <v>7</v>
      </c>
      <c r="B34" s="7" t="inlineStr">
        <is>
          <t>07-생산완료_미인수</t>
        </is>
      </c>
      <c r="C34" s="5">
        <f>COUNTIFS('Master Tracker 마스터추적표'!$B$5:$B$200,Config!$A$1,'Master Tracker 마스터추적표'!$U$5:$U$200,B34)</f>
        <v/>
      </c>
      <c r="D34" s="5" t="inlineStr"/>
      <c r="E34" s="5" t="inlineStr"/>
      <c r="F34" s="5" t="inlineStr"/>
      <c r="G34" s="5" t="inlineStr"/>
      <c r="H34" s="5" t="inlineStr"/>
    </row>
    <row r="35">
      <c r="A35" s="5" t="n">
        <v>8</v>
      </c>
      <c r="B35" s="7" t="inlineStr">
        <is>
          <t>08-단품준비완료</t>
        </is>
      </c>
      <c r="C35" s="5">
        <f>COUNTIFS('Master Tracker 마스터추적표'!$B$5:$B$200,Config!$A$1,'Master Tracker 마스터추적표'!$U$5:$U$200,B35)</f>
        <v/>
      </c>
      <c r="D35" s="5" t="inlineStr"/>
      <c r="E35" s="5" t="inlineStr"/>
      <c r="F35" s="5" t="inlineStr"/>
      <c r="G35" s="5" t="inlineStr"/>
      <c r="H35" s="5" t="inlineStr"/>
    </row>
    <row r="36">
      <c r="A36" s="5" t="n">
        <v>9</v>
      </c>
      <c r="B36" s="7" t="inlineStr">
        <is>
          <t>09-시험준비중</t>
        </is>
      </c>
      <c r="C36" s="5">
        <f>COUNTIFS('Master Tracker 마스터추적표'!$B$5:$B$200,Config!$A$1,'Master Tracker 마스터추적표'!$U$5:$U$200,B36)</f>
        <v/>
      </c>
      <c r="D36" s="5" t="inlineStr"/>
      <c r="E36" s="5" t="inlineStr"/>
      <c r="F36" s="5" t="inlineStr"/>
      <c r="G36" s="5" t="inlineStr"/>
      <c r="H36" s="5" t="inlineStr"/>
    </row>
    <row r="37">
      <c r="A37" s="5" t="n">
        <v>10</v>
      </c>
      <c r="B37" s="7" t="inlineStr">
        <is>
          <t>10-시험완료</t>
        </is>
      </c>
      <c r="C37" s="5">
        <f>COUNTIFS('Master Tracker 마스터추적표'!$B$5:$B$200,Config!$A$1,'Master Tracker 마스터추적표'!$U$5:$U$200,B37)</f>
        <v/>
      </c>
      <c r="D37" s="5" t="inlineStr"/>
      <c r="E37" s="5" t="inlineStr"/>
      <c r="F37" s="5" t="inlineStr"/>
      <c r="G37" s="5" t="inlineStr"/>
      <c r="H37" s="5" t="inlineStr"/>
    </row>
    <row r="38">
      <c r="A38" s="5" t="n">
        <v>11</v>
      </c>
      <c r="B38" s="7" t="inlineStr">
        <is>
          <t>11-결과등록완료</t>
        </is>
      </c>
      <c r="C38" s="5">
        <f>COUNTIFS('Master Tracker 마스터추적표'!$B$5:$B$200,Config!$A$1,'Master Tracker 마스터추적표'!$U$5:$U$200,B38)</f>
        <v/>
      </c>
      <c r="D38" s="5" t="inlineStr"/>
      <c r="E38" s="5" t="inlineStr"/>
      <c r="F38" s="5" t="inlineStr"/>
      <c r="G38" s="5" t="inlineStr"/>
      <c r="H38" s="5" t="inlineStr"/>
    </row>
    <row r="39">
      <c r="A39" s="5" t="n">
        <v>12</v>
      </c>
      <c r="B39" s="7" t="inlineStr">
        <is>
          <t>12-조건부승인검토</t>
        </is>
      </c>
      <c r="C39" s="5">
        <f>COUNTIFS('Master Tracker 마스터추적표'!$B$5:$B$200,Config!$A$1,'Master Tracker 마스터추적표'!$U$5:$U$200,B39)</f>
        <v/>
      </c>
      <c r="D39" s="5" t="inlineStr"/>
      <c r="E39" s="5" t="inlineStr"/>
      <c r="F39" s="5" t="inlineStr"/>
      <c r="G39" s="5" t="inlineStr"/>
      <c r="H39" s="5" t="inlineStr"/>
    </row>
  </sheetData>
  <mergeCells count="5">
    <mergeCell ref="A26:H26"/>
    <mergeCell ref="A10:H10"/>
    <mergeCell ref="A19:H19"/>
    <mergeCell ref="A1:H2"/>
    <mergeCell ref="A6:H6"/>
  </mergeCells>
  <conditionalFormatting sqref="F12:F17">
    <cfRule type="cellIs" priority="1" operator="greaterThan" dxfId="5">
      <formula>0</formula>
    </cfRule>
  </conditionalFormatting>
  <conditionalFormatting sqref="H12:H17">
    <cfRule type="cellIs" priority="2" operator="lessThanOrEqual" dxfId="5">
      <formula>0</formula>
    </cfRule>
    <cfRule type="cellIs" priority="3" operator="lessThanOrEqual" dxfId="11">
      <formula>14</formula>
    </cfRule>
  </conditionalFormatting>
  <conditionalFormatting sqref="E21:E24">
    <cfRule type="cellIs" priority="4" operator="greaterThan" dxfId="5">
      <formula>0</formula>
    </cfRule>
  </conditionalFormatting>
  <dataValidations count="1">
    <dataValidation sqref="C3" showDropDown="0" showInputMessage="0" showErrorMessage="0" allowBlank="0" type="list">
      <formula1>'Reference Data 기준데이터'!$A$3:$A$5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4" customWidth="1" min="3" max="3"/>
    <col width="18" customWidth="1" min="4" max="4"/>
    <col width="22" customWidth="1" min="5" max="5"/>
    <col width="14" customWidth="1" min="6" max="6"/>
    <col width="14" customWidth="1" min="7" max="7"/>
    <col width="30" customWidth="1" min="8" max="8"/>
  </cols>
  <sheetData>
    <row r="1">
      <c r="A1" s="8" t="inlineStr">
        <is>
          <t>Supplier Checklist 협력사 체크리스트</t>
        </is>
      </c>
      <c r="B1" s="9" t="n"/>
      <c r="C1" s="9" t="n"/>
      <c r="D1" s="9" t="n"/>
      <c r="E1" s="9" t="n"/>
      <c r="F1" s="9" t="n"/>
      <c r="G1" s="9" t="n"/>
      <c r="H1" s="9" t="n"/>
    </row>
    <row r="2">
      <c r="A2" s="9" t="n"/>
      <c r="B2" s="9" t="n"/>
      <c r="C2" s="9" t="n"/>
      <c r="D2" s="9" t="n"/>
      <c r="E2" s="9" t="n"/>
      <c r="F2" s="9" t="n"/>
      <c r="G2" s="9" t="n"/>
      <c r="H2" s="9" t="n"/>
    </row>
    <row r="3">
      <c r="A3" s="4" t="inlineStr">
        <is>
          <t>No.</t>
        </is>
      </c>
      <c r="B3" s="4" t="inlineStr">
        <is>
          <t>Supplier</t>
        </is>
      </c>
      <c r="C3" s="4" t="inlineStr">
        <is>
          <t>Part Name</t>
        </is>
      </c>
      <c r="D3" s="4" t="inlineStr">
        <is>
          <t>Vehicle</t>
        </is>
      </c>
      <c r="E3" s="4" t="inlineStr">
        <is>
          <t>Status</t>
        </is>
      </c>
      <c r="F3" s="4" t="inlineStr">
        <is>
          <t>Progress</t>
        </is>
      </c>
      <c r="G3" s="4" t="inlineStr">
        <is>
          <t>Risk</t>
        </is>
      </c>
      <c r="H3" s="4" t="inlineStr">
        <is>
          <t>Next Action</t>
        </is>
      </c>
    </row>
    <row r="4">
      <c r="A4" s="5" t="n">
        <v>1</v>
      </c>
      <c r="B4" s="5">
        <f>'Master Tracker 마스터추적표'!G5</f>
        <v/>
      </c>
      <c r="C4" s="7">
        <f>'Master Tracker 마스터추적표'!C5</f>
        <v/>
      </c>
      <c r="D4" s="5">
        <f>'Master Tracker 마스터추적표'!B5</f>
        <v/>
      </c>
      <c r="E4" s="5">
        <f>'Master Tracker 마스터추적표'!U5</f>
        <v/>
      </c>
      <c r="F4" s="18">
        <f>'Master Tracker 마스터추적표'!V5</f>
        <v/>
      </c>
      <c r="G4" s="5">
        <f>'Master Tracker 마스터추적표'!X5</f>
        <v/>
      </c>
      <c r="H4" s="19">
        <f>'Master Tracker 마스터추적표'!Y5</f>
        <v/>
      </c>
    </row>
    <row r="5">
      <c r="A5" s="5" t="n">
        <v>2</v>
      </c>
      <c r="B5" s="5">
        <f>'Master Tracker 마스터추적표'!G6</f>
        <v/>
      </c>
      <c r="C5" s="7">
        <f>'Master Tracker 마스터추적표'!C6</f>
        <v/>
      </c>
      <c r="D5" s="5">
        <f>'Master Tracker 마스터추적표'!B6</f>
        <v/>
      </c>
      <c r="E5" s="5">
        <f>'Master Tracker 마스터추적표'!U6</f>
        <v/>
      </c>
      <c r="F5" s="18">
        <f>'Master Tracker 마스터추적표'!V6</f>
        <v/>
      </c>
      <c r="G5" s="5">
        <f>'Master Tracker 마스터추적표'!X6</f>
        <v/>
      </c>
      <c r="H5" s="19">
        <f>'Master Tracker 마스터추적표'!Y6</f>
        <v/>
      </c>
    </row>
    <row r="6">
      <c r="A6" s="5" t="n">
        <v>3</v>
      </c>
      <c r="B6" s="5">
        <f>'Master Tracker 마스터추적표'!G7</f>
        <v/>
      </c>
      <c r="C6" s="7">
        <f>'Master Tracker 마스터추적표'!C7</f>
        <v/>
      </c>
      <c r="D6" s="5">
        <f>'Master Tracker 마스터추적표'!B7</f>
        <v/>
      </c>
      <c r="E6" s="5">
        <f>'Master Tracker 마스터추적표'!U7</f>
        <v/>
      </c>
      <c r="F6" s="18">
        <f>'Master Tracker 마스터추적표'!V7</f>
        <v/>
      </c>
      <c r="G6" s="5">
        <f>'Master Tracker 마스터추적표'!X7</f>
        <v/>
      </c>
      <c r="H6" s="19">
        <f>'Master Tracker 마스터추적표'!Y7</f>
        <v/>
      </c>
    </row>
    <row r="7">
      <c r="A7" s="5" t="n">
        <v>4</v>
      </c>
      <c r="B7" s="5">
        <f>'Master Tracker 마스터추적표'!G8</f>
        <v/>
      </c>
      <c r="C7" s="7">
        <f>'Master Tracker 마스터추적표'!C8</f>
        <v/>
      </c>
      <c r="D7" s="5">
        <f>'Master Tracker 마스터추적표'!B8</f>
        <v/>
      </c>
      <c r="E7" s="5">
        <f>'Master Tracker 마스터추적표'!U8</f>
        <v/>
      </c>
      <c r="F7" s="18">
        <f>'Master Tracker 마스터추적표'!V8</f>
        <v/>
      </c>
      <c r="G7" s="5">
        <f>'Master Tracker 마스터추적표'!X8</f>
        <v/>
      </c>
      <c r="H7" s="19">
        <f>'Master Tracker 마스터추적표'!Y8</f>
        <v/>
      </c>
    </row>
    <row r="8">
      <c r="A8" s="5" t="n">
        <v>5</v>
      </c>
      <c r="B8" s="5">
        <f>'Master Tracker 마스터추적표'!G9</f>
        <v/>
      </c>
      <c r="C8" s="7">
        <f>'Master Tracker 마스터추적표'!C9</f>
        <v/>
      </c>
      <c r="D8" s="5">
        <f>'Master Tracker 마스터추적표'!B9</f>
        <v/>
      </c>
      <c r="E8" s="5">
        <f>'Master Tracker 마스터추적표'!U9</f>
        <v/>
      </c>
      <c r="F8" s="18">
        <f>'Master Tracker 마스터추적표'!V9</f>
        <v/>
      </c>
      <c r="G8" s="5">
        <f>'Master Tracker 마스터추적표'!X9</f>
        <v/>
      </c>
      <c r="H8" s="19">
        <f>'Master Tracker 마스터추적표'!Y9</f>
        <v/>
      </c>
    </row>
    <row r="9">
      <c r="A9" s="5" t="n">
        <v>6</v>
      </c>
      <c r="B9" s="5">
        <f>'Master Tracker 마스터추적표'!G10</f>
        <v/>
      </c>
      <c r="C9" s="7">
        <f>'Master Tracker 마스터추적표'!C10</f>
        <v/>
      </c>
      <c r="D9" s="5">
        <f>'Master Tracker 마스터추적표'!B10</f>
        <v/>
      </c>
      <c r="E9" s="5">
        <f>'Master Tracker 마스터추적표'!U10</f>
        <v/>
      </c>
      <c r="F9" s="18">
        <f>'Master Tracker 마스터추적표'!V10</f>
        <v/>
      </c>
      <c r="G9" s="5">
        <f>'Master Tracker 마스터추적표'!X10</f>
        <v/>
      </c>
      <c r="H9" s="19">
        <f>'Master Tracker 마스터추적표'!Y10</f>
        <v/>
      </c>
    </row>
    <row r="10">
      <c r="A10" s="5" t="n">
        <v>7</v>
      </c>
      <c r="B10" s="5">
        <f>'Master Tracker 마스터추적표'!G11</f>
        <v/>
      </c>
      <c r="C10" s="7">
        <f>'Master Tracker 마스터추적표'!C11</f>
        <v/>
      </c>
      <c r="D10" s="5">
        <f>'Master Tracker 마스터추적표'!B11</f>
        <v/>
      </c>
      <c r="E10" s="5">
        <f>'Master Tracker 마스터추적표'!U11</f>
        <v/>
      </c>
      <c r="F10" s="18">
        <f>'Master Tracker 마스터추적표'!V11</f>
        <v/>
      </c>
      <c r="G10" s="5">
        <f>'Master Tracker 마스터추적표'!X11</f>
        <v/>
      </c>
      <c r="H10" s="19">
        <f>'Master Tracker 마스터추적표'!Y11</f>
        <v/>
      </c>
    </row>
    <row r="11">
      <c r="A11" s="5" t="n">
        <v>8</v>
      </c>
      <c r="B11" s="5">
        <f>'Master Tracker 마스터추적표'!G12</f>
        <v/>
      </c>
      <c r="C11" s="7">
        <f>'Master Tracker 마스터추적표'!C12</f>
        <v/>
      </c>
      <c r="D11" s="5">
        <f>'Master Tracker 마스터추적표'!B12</f>
        <v/>
      </c>
      <c r="E11" s="5">
        <f>'Master Tracker 마스터추적표'!U12</f>
        <v/>
      </c>
      <c r="F11" s="18">
        <f>'Master Tracker 마스터추적표'!V12</f>
        <v/>
      </c>
      <c r="G11" s="5">
        <f>'Master Tracker 마스터추적표'!X12</f>
        <v/>
      </c>
      <c r="H11" s="19">
        <f>'Master Tracker 마스터추적표'!Y12</f>
        <v/>
      </c>
    </row>
    <row r="12">
      <c r="A12" s="5" t="n">
        <v>9</v>
      </c>
      <c r="B12" s="5">
        <f>'Master Tracker 마스터추적표'!G13</f>
        <v/>
      </c>
      <c r="C12" s="7">
        <f>'Master Tracker 마스터추적표'!C13</f>
        <v/>
      </c>
      <c r="D12" s="5">
        <f>'Master Tracker 마스터추적표'!B13</f>
        <v/>
      </c>
      <c r="E12" s="5">
        <f>'Master Tracker 마스터추적표'!U13</f>
        <v/>
      </c>
      <c r="F12" s="18">
        <f>'Master Tracker 마스터추적표'!V13</f>
        <v/>
      </c>
      <c r="G12" s="5">
        <f>'Master Tracker 마스터추적표'!X13</f>
        <v/>
      </c>
      <c r="H12" s="19">
        <f>'Master Tracker 마스터추적표'!Y13</f>
        <v/>
      </c>
    </row>
    <row r="13">
      <c r="A13" s="5" t="n">
        <v>10</v>
      </c>
      <c r="B13" s="5">
        <f>'Master Tracker 마스터추적표'!G14</f>
        <v/>
      </c>
      <c r="C13" s="7">
        <f>'Master Tracker 마스터추적표'!C14</f>
        <v/>
      </c>
      <c r="D13" s="5">
        <f>'Master Tracker 마스터추적표'!B14</f>
        <v/>
      </c>
      <c r="E13" s="5">
        <f>'Master Tracker 마스터추적표'!U14</f>
        <v/>
      </c>
      <c r="F13" s="18">
        <f>'Master Tracker 마스터추적표'!V14</f>
        <v/>
      </c>
      <c r="G13" s="5">
        <f>'Master Tracker 마스터추적표'!X14</f>
        <v/>
      </c>
      <c r="H13" s="19">
        <f>'Master Tracker 마스터추적표'!Y14</f>
        <v/>
      </c>
    </row>
    <row r="14">
      <c r="A14" s="5" t="n">
        <v>11</v>
      </c>
      <c r="B14" s="5">
        <f>'Master Tracker 마스터추적표'!G15</f>
        <v/>
      </c>
      <c r="C14" s="7">
        <f>'Master Tracker 마스터추적표'!C15</f>
        <v/>
      </c>
      <c r="D14" s="5">
        <f>'Master Tracker 마스터추적표'!B15</f>
        <v/>
      </c>
      <c r="E14" s="5">
        <f>'Master Tracker 마스터추적표'!U15</f>
        <v/>
      </c>
      <c r="F14" s="18">
        <f>'Master Tracker 마스터추적표'!V15</f>
        <v/>
      </c>
      <c r="G14" s="5">
        <f>'Master Tracker 마스터추적표'!X15</f>
        <v/>
      </c>
      <c r="H14" s="19">
        <f>'Master Tracker 마스터추적표'!Y15</f>
        <v/>
      </c>
    </row>
    <row r="15">
      <c r="A15" s="5" t="n">
        <v>12</v>
      </c>
      <c r="B15" s="5">
        <f>'Master Tracker 마스터추적표'!G16</f>
        <v/>
      </c>
      <c r="C15" s="7">
        <f>'Master Tracker 마스터추적표'!C16</f>
        <v/>
      </c>
      <c r="D15" s="5">
        <f>'Master Tracker 마스터추적표'!B16</f>
        <v/>
      </c>
      <c r="E15" s="5">
        <f>'Master Tracker 마스터추적표'!U16</f>
        <v/>
      </c>
      <c r="F15" s="18">
        <f>'Master Tracker 마스터추적표'!V16</f>
        <v/>
      </c>
      <c r="G15" s="5">
        <f>'Master Tracker 마스터추적표'!X16</f>
        <v/>
      </c>
      <c r="H15" s="19">
        <f>'Master Tracker 마스터추적표'!Y16</f>
        <v/>
      </c>
    </row>
    <row r="16">
      <c r="A16" s="5" t="n">
        <v>13</v>
      </c>
      <c r="B16" s="5">
        <f>'Master Tracker 마스터추적표'!G17</f>
        <v/>
      </c>
      <c r="C16" s="7">
        <f>'Master Tracker 마스터추적표'!C17</f>
        <v/>
      </c>
      <c r="D16" s="5">
        <f>'Master Tracker 마스터추적표'!B17</f>
        <v/>
      </c>
      <c r="E16" s="5">
        <f>'Master Tracker 마스터추적표'!U17</f>
        <v/>
      </c>
      <c r="F16" s="18">
        <f>'Master Tracker 마스터추적표'!V17</f>
        <v/>
      </c>
      <c r="G16" s="5">
        <f>'Master Tracker 마스터추적표'!X17</f>
        <v/>
      </c>
      <c r="H16" s="19">
        <f>'Master Tracker 마스터추적표'!Y17</f>
        <v/>
      </c>
    </row>
    <row r="17">
      <c r="A17" s="5" t="n">
        <v>14</v>
      </c>
      <c r="B17" s="5">
        <f>'Master Tracker 마스터추적표'!G18</f>
        <v/>
      </c>
      <c r="C17" s="7">
        <f>'Master Tracker 마스터추적표'!C18</f>
        <v/>
      </c>
      <c r="D17" s="5">
        <f>'Master Tracker 마스터추적표'!B18</f>
        <v/>
      </c>
      <c r="E17" s="5">
        <f>'Master Tracker 마스터추적표'!U18</f>
        <v/>
      </c>
      <c r="F17" s="18">
        <f>'Master Tracker 마스터추적표'!V18</f>
        <v/>
      </c>
      <c r="G17" s="5">
        <f>'Master Tracker 마스터추적표'!X18</f>
        <v/>
      </c>
      <c r="H17" s="19">
        <f>'Master Tracker 마스터추적표'!Y18</f>
        <v/>
      </c>
    </row>
    <row r="18">
      <c r="A18" s="5" t="n">
        <v>15</v>
      </c>
      <c r="B18" s="5">
        <f>'Master Tracker 마스터추적표'!G19</f>
        <v/>
      </c>
      <c r="C18" s="7">
        <f>'Master Tracker 마스터추적표'!C19</f>
        <v/>
      </c>
      <c r="D18" s="5">
        <f>'Master Tracker 마스터추적표'!B19</f>
        <v/>
      </c>
      <c r="E18" s="5">
        <f>'Master Tracker 마스터추적표'!U19</f>
        <v/>
      </c>
      <c r="F18" s="18">
        <f>'Master Tracker 마스터추적표'!V19</f>
        <v/>
      </c>
      <c r="G18" s="5">
        <f>'Master Tracker 마스터추적표'!X19</f>
        <v/>
      </c>
      <c r="H18" s="19">
        <f>'Master Tracker 마스터추적표'!Y19</f>
        <v/>
      </c>
    </row>
    <row r="19">
      <c r="A19" s="5" t="n">
        <v>16</v>
      </c>
      <c r="B19" s="5">
        <f>'Master Tracker 마스터추적표'!G20</f>
        <v/>
      </c>
      <c r="C19" s="7">
        <f>'Master Tracker 마스터추적표'!C20</f>
        <v/>
      </c>
      <c r="D19" s="5">
        <f>'Master Tracker 마스터추적표'!B20</f>
        <v/>
      </c>
      <c r="E19" s="5">
        <f>'Master Tracker 마스터추적표'!U20</f>
        <v/>
      </c>
      <c r="F19" s="18">
        <f>'Master Tracker 마스터추적표'!V20</f>
        <v/>
      </c>
      <c r="G19" s="5">
        <f>'Master Tracker 마스터추적표'!X20</f>
        <v/>
      </c>
      <c r="H19" s="19">
        <f>'Master Tracker 마스터추적표'!Y20</f>
        <v/>
      </c>
    </row>
    <row r="20">
      <c r="A20" s="5" t="n">
        <v>17</v>
      </c>
      <c r="B20" s="5">
        <f>'Master Tracker 마스터추적표'!G21</f>
        <v/>
      </c>
      <c r="C20" s="7">
        <f>'Master Tracker 마스터추적표'!C21</f>
        <v/>
      </c>
      <c r="D20" s="5">
        <f>'Master Tracker 마스터추적표'!B21</f>
        <v/>
      </c>
      <c r="E20" s="5">
        <f>'Master Tracker 마스터추적표'!U21</f>
        <v/>
      </c>
      <c r="F20" s="18">
        <f>'Master Tracker 마스터추적표'!V21</f>
        <v/>
      </c>
      <c r="G20" s="5">
        <f>'Master Tracker 마스터추적표'!X21</f>
        <v/>
      </c>
      <c r="H20" s="19">
        <f>'Master Tracker 마스터추적표'!Y21</f>
        <v/>
      </c>
    </row>
    <row r="21">
      <c r="A21" s="5" t="n">
        <v>18</v>
      </c>
      <c r="B21" s="5">
        <f>'Master Tracker 마스터추적표'!G22</f>
        <v/>
      </c>
      <c r="C21" s="7">
        <f>'Master Tracker 마스터추적표'!C22</f>
        <v/>
      </c>
      <c r="D21" s="5">
        <f>'Master Tracker 마스터추적표'!B22</f>
        <v/>
      </c>
      <c r="E21" s="5">
        <f>'Master Tracker 마스터추적표'!U22</f>
        <v/>
      </c>
      <c r="F21" s="18">
        <f>'Master Tracker 마스터추적표'!V22</f>
        <v/>
      </c>
      <c r="G21" s="5">
        <f>'Master Tracker 마스터추적표'!X22</f>
        <v/>
      </c>
      <c r="H21" s="19">
        <f>'Master Tracker 마스터추적표'!Y22</f>
        <v/>
      </c>
    </row>
    <row r="22">
      <c r="A22" s="5" t="n">
        <v>19</v>
      </c>
      <c r="B22" s="5">
        <f>'Master Tracker 마스터추적표'!G23</f>
        <v/>
      </c>
      <c r="C22" s="7">
        <f>'Master Tracker 마스터추적표'!C23</f>
        <v/>
      </c>
      <c r="D22" s="5">
        <f>'Master Tracker 마스터추적표'!B23</f>
        <v/>
      </c>
      <c r="E22" s="5">
        <f>'Master Tracker 마스터추적표'!U23</f>
        <v/>
      </c>
      <c r="F22" s="18">
        <f>'Master Tracker 마스터추적표'!V23</f>
        <v/>
      </c>
      <c r="G22" s="5">
        <f>'Master Tracker 마스터추적표'!X23</f>
        <v/>
      </c>
      <c r="H22" s="19">
        <f>'Master Tracker 마스터추적표'!Y23</f>
        <v/>
      </c>
    </row>
    <row r="23">
      <c r="A23" s="5" t="n">
        <v>20</v>
      </c>
      <c r="B23" s="5">
        <f>'Master Tracker 마스터추적표'!G24</f>
        <v/>
      </c>
      <c r="C23" s="7">
        <f>'Master Tracker 마스터추적표'!C24</f>
        <v/>
      </c>
      <c r="D23" s="5">
        <f>'Master Tracker 마스터추적표'!B24</f>
        <v/>
      </c>
      <c r="E23" s="5">
        <f>'Master Tracker 마스터추적표'!U24</f>
        <v/>
      </c>
      <c r="F23" s="18">
        <f>'Master Tracker 마스터추적표'!V24</f>
        <v/>
      </c>
      <c r="G23" s="5">
        <f>'Master Tracker 마스터추적표'!X24</f>
        <v/>
      </c>
      <c r="H23" s="19">
        <f>'Master Tracker 마스터추적표'!Y24</f>
        <v/>
      </c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2026-02-26T16:58:04Z</dcterms:created>
  <dcterms:modified xmlns:dcterms="http://purl.org/dc/terms/" xmlns:xsi="http://www.w3.org/2001/XMLSchema-instance" xsi:type="dcterms:W3CDTF">2026-02-26T16:58:04Z</dcterms:modified>
</cp:coreProperties>
</file>