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Reference Data 기준데이터" sheetId="2" state="visible" r:id="rId2"/>
    <sheet xmlns:r="http://schemas.openxmlformats.org/officeDocument/2006/relationships" name="Master Tracker 마스터추적표" sheetId="3" state="visible" r:id="rId3"/>
    <sheet xmlns:r="http://schemas.openxmlformats.org/officeDocument/2006/relationships" name="Dashboard 대시보드" sheetId="4" state="visible" r:id="rId4"/>
    <sheet xmlns:r="http://schemas.openxmlformats.org/officeDocument/2006/relationships" name="Supplier Checklist 협력사체크리스트" sheetId="5" state="visible" r:id="rId5"/>
  </sheets>
  <definedNames>
    <definedName name="_xlnm._FilterDatabase" localSheetId="2" hidden="1">'Master Tracker 마스터추적표'!$A$4:$AB$200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2">
    <font>
      <name val="Calibri"/>
      <family val="2"/>
      <color theme="1"/>
      <sz val="11"/>
      <scheme val="minor"/>
    </font>
    <font>
      <name val="Malgun Gothic"/>
      <b val="1"/>
      <color rgb="002C3E50"/>
      <sz val="10"/>
    </font>
    <font>
      <name val="Malgun Gothic"/>
      <color rgb="002C3E50"/>
      <sz val="9"/>
    </font>
    <font>
      <name val="Malgun Gothic"/>
      <b val="1"/>
      <color rgb="001B2A4A"/>
      <sz val="12"/>
    </font>
    <font>
      <name val="Malgun Gothic"/>
      <b val="1"/>
      <color rgb="00FFFFFF"/>
      <sz val="10"/>
    </font>
    <font>
      <name val="Malgun Gothic"/>
      <color rgb="002C3E50"/>
      <sz val="10"/>
    </font>
    <font>
      <name val="Malgun Gothic"/>
      <b val="1"/>
      <color rgb="00FFFFFF"/>
      <sz val="18"/>
    </font>
    <font>
      <name val="Malgun Gothic"/>
      <b val="1"/>
      <color rgb="001B2A4A"/>
      <sz val="9"/>
    </font>
    <font>
      <name val="Malgun Gothic"/>
      <b val="1"/>
      <color rgb="00E74C3C"/>
      <sz val="11"/>
    </font>
    <font>
      <name val="Malgun Gothic"/>
      <b val="1"/>
      <color rgb="00FFFFFF"/>
      <sz val="13"/>
    </font>
    <font>
      <name val="Malgun Gothic"/>
      <color rgb="003B5998"/>
      <sz val="10"/>
    </font>
    <font>
      <name val="Malgun Gothic"/>
      <b val="1"/>
      <color rgb="001B2A4A"/>
      <sz val="28"/>
    </font>
  </fonts>
  <fills count="11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3B5998"/>
        <bgColor rgb="003B5998"/>
      </patternFill>
    </fill>
    <fill>
      <patternFill patternType="solid">
        <fgColor rgb="00FFF9C4"/>
        <bgColor rgb="00FFF9C4"/>
      </patternFill>
    </fill>
    <fill>
      <patternFill patternType="solid">
        <fgColor rgb="00EBF1F8"/>
        <bgColor rgb="00EBF1F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2C3E6B"/>
      </left>
      <right style="medium">
        <color rgb="002C3E6B"/>
      </right>
      <top style="medium">
        <color rgb="002C3E6B"/>
      </top>
      <bottom style="medium">
        <color rgb="002C3E6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1" fillId="6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/>
    </xf>
    <xf numFmtId="165" fontId="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9" fontId="11" fillId="4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Malgun Gothic"/>
        <b val="1"/>
        <color rgb="002C3E50"/>
        <sz val="10"/>
      </font>
      <fill>
        <patternFill patternType="solid">
          <fgColor rgb="00F2F3F4"/>
          <bgColor rgb="00F2F3F4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D6E4F0"/>
          <bgColor rgb="00D6E4F0"/>
        </patternFill>
      </fill>
    </dxf>
    <dxf>
      <font>
        <name val="Malgun Gothic"/>
        <b val="1"/>
        <color rgb="003B5998"/>
        <sz val="10"/>
      </font>
      <fill>
        <patternFill patternType="solid">
          <fgColor rgb="00D6E4F0"/>
          <bgColor rgb="00D6E4F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FDEBD0"/>
          <bgColor rgb="00FDEBD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D5F5E3"/>
          <bgColor rgb="00D5F5E3"/>
        </patternFill>
      </fill>
    </dxf>
    <dxf>
      <font>
        <name val="Malgun Gothic"/>
        <b val="1"/>
        <color rgb="00E74C3C"/>
        <sz val="10"/>
      </font>
      <fill>
        <patternFill patternType="solid">
          <fgColor rgb="00FADBD8"/>
          <bgColor rgb="00FADBD8"/>
        </patternFill>
      </fill>
    </dxf>
    <dxf>
      <font>
        <name val="Malgun Gothic"/>
        <b val="1"/>
        <color rgb="00F39C12"/>
        <sz val="10"/>
      </font>
      <fill>
        <patternFill patternType="solid">
          <fgColor rgb="00FDEBD0"/>
          <bgColor rgb="00FDEBD0"/>
        </patternFill>
      </fill>
    </dxf>
    <dxf>
      <font>
        <name val="Malgun Gothic"/>
        <b val="1"/>
        <color rgb="0027AE60"/>
        <sz val="10"/>
      </font>
      <fill>
        <patternFill patternType="solid">
          <fgColor rgb="00D5F5E3"/>
          <bgColor rgb="00D5F5E3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ABEBC6"/>
          <bgColor rgb="00ABEBC6"/>
        </patternFill>
      </fill>
    </dxf>
    <dxf>
      <font>
        <name val="Malgun Gothic"/>
        <b val="1"/>
        <color rgb="00FFFFFF"/>
        <sz val="10"/>
      </font>
      <fill>
        <patternFill patternType="solid">
          <fgColor rgb="0027AE60"/>
          <bgColor rgb="0027AE60"/>
        </patternFill>
      </fill>
    </dxf>
    <dxf>
      <font>
        <name val="Malgun Gothic"/>
        <b val="1"/>
        <color rgb="002C3E50"/>
        <sz val="10"/>
      </font>
      <fill>
        <patternFill patternType="solid">
          <fgColor rgb="00FEF9E7"/>
          <bgColor rgb="00FEF9E7"/>
        </patternFill>
      </fill>
    </dxf>
    <dxf>
      <font>
        <name val="Malgun Gothic"/>
        <b val="1"/>
        <color rgb="00F39C12"/>
        <sz val="10"/>
      </font>
      <fill>
        <patternFill patternType="solid">
          <fgColor rgb="00FEF9E7"/>
          <bgColor rgb="00FEF9E7"/>
        </patternFill>
      </fill>
    </dxf>
    <dxf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Vehicle" displayName="TBL_Vehicle" ref="A2:J5" headerRowCount="1">
  <autoFilter ref="A2:J5"/>
  <tableColumns count="10">
    <tableColumn id="1" name="VehicleCode"/>
    <tableColumn id="2" name="VehicleName"/>
    <tableColumn id="3" name="T0_DrawingRelease"/>
    <tableColumn id="4" name="ProtoBuild"/>
    <tableColumn id="5" name="MasterCar"/>
    <tableColumn id="6" name="TestDeadline"/>
    <tableColumn id="7" name="LT_PlanDue"/>
    <tableColumn id="8" name="LT_PartsReady"/>
    <tableColumn id="9" name="LT_TestStart"/>
    <tableColumn id="10" name="LT_Report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TestCatalog" displayName="TBL_TestCatalog" ref="A8:E26" headerRowCount="1">
  <autoFilter ref="A8:E26"/>
  <tableColumns count="5">
    <tableColumn id="1" name="TestNameKR"/>
    <tableColumn id="2" name="TestType"/>
    <tableColumn id="3" name="Spec"/>
    <tableColumn id="4" name="DurationDays"/>
    <tableColumn id="5" name="Scop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ItemMaster" displayName="TBL_ItemMaster" ref="A29:D41" headerRowCount="1">
  <autoFilter ref="A29:D41"/>
  <tableColumns count="4">
    <tableColumn id="1" name="ItemNameKR"/>
    <tableColumn id="2" name="PartCategory"/>
    <tableColumn id="3" name="Supplier"/>
    <tableColumn id="4" name="DrawingNo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TBL_ItemTests" displayName="TBL_ItemTests" ref="A44:C62" headerRowCount="1">
  <autoFilter ref="A44:C62"/>
  <tableColumns count="3">
    <tableColumn id="1" name="ItemNameKR"/>
    <tableColumn id="2" name="TestNameKR"/>
    <tableColumn id="3" name="Exclud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tabColor rgb="00BDC3C7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AE_PE</t>
        </is>
      </c>
      <c r="B1" s="2" t="inlineStr">
        <is>
          <t>&lt;-- Select Vehicle Code</t>
        </is>
      </c>
    </row>
  </sheetData>
  <dataValidations count="1">
    <dataValidation sqref="A1" showDropDown="0" showInputMessage="0" showErrorMessage="0" allowBlank="0" promptTitle="Vehicle" prompt="Select a vehicle code" type="list">
      <formula1>'Reference Data 기준데이터'!$A$3:$A$5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5998"/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TBL_Vehicle (차종 + 일정 + LeadTime)</t>
        </is>
      </c>
    </row>
    <row r="2">
      <c r="A2" s="4" t="inlineStr">
        <is>
          <t>VehicleCode</t>
        </is>
      </c>
      <c r="B2" s="4" t="inlineStr">
        <is>
          <t>VehicleName</t>
        </is>
      </c>
      <c r="C2" s="4" t="inlineStr">
        <is>
          <t>T0_DrawingRelease</t>
        </is>
      </c>
      <c r="D2" s="4" t="inlineStr">
        <is>
          <t>ProtoBuild</t>
        </is>
      </c>
      <c r="E2" s="4" t="inlineStr">
        <is>
          <t>MasterCar</t>
        </is>
      </c>
      <c r="F2" s="4" t="inlineStr">
        <is>
          <t>TestDeadline</t>
        </is>
      </c>
      <c r="G2" s="4" t="inlineStr">
        <is>
          <t>LT_PlanDue</t>
        </is>
      </c>
      <c r="H2" s="4" t="inlineStr">
        <is>
          <t>LT_PartsReady</t>
        </is>
      </c>
      <c r="I2" s="4" t="inlineStr">
        <is>
          <t>LT_TestStart</t>
        </is>
      </c>
      <c r="J2" s="4" t="inlineStr">
        <is>
          <t>LT_ReportDue</t>
        </is>
      </c>
    </row>
    <row r="3">
      <c r="A3" s="5" t="inlineStr">
        <is>
          <t>AE_PE</t>
        </is>
      </c>
      <c r="B3" s="5" t="inlineStr">
        <is>
          <t>AE PE (Creta EV)</t>
        </is>
      </c>
      <c r="C3" s="6" t="n">
        <v>46037</v>
      </c>
      <c r="D3" s="6" t="n">
        <v>46127</v>
      </c>
      <c r="E3" s="6" t="n">
        <v>46188</v>
      </c>
      <c r="F3" s="6">
        <f>E3-30</f>
        <v/>
      </c>
      <c r="G3" s="5" t="n">
        <v>14</v>
      </c>
      <c r="H3" s="5" t="n">
        <v>49</v>
      </c>
      <c r="I3" s="5" t="n">
        <v>63</v>
      </c>
      <c r="J3" s="5" t="n">
        <v>98</v>
      </c>
    </row>
    <row r="4">
      <c r="A4" s="5" t="inlineStr">
        <is>
          <t>SU2i</t>
        </is>
      </c>
      <c r="B4" s="5" t="inlineStr">
        <is>
          <t>SU2i (Venue Next)</t>
        </is>
      </c>
      <c r="C4" s="6" t="n">
        <v>46082</v>
      </c>
      <c r="D4" s="6" t="n">
        <v>46174</v>
      </c>
      <c r="E4" s="6" t="n">
        <v>46249</v>
      </c>
      <c r="F4" s="6">
        <f>E4-30</f>
        <v/>
      </c>
      <c r="G4" s="5" t="n">
        <v>14</v>
      </c>
      <c r="H4" s="5" t="n">
        <v>49</v>
      </c>
      <c r="I4" s="5" t="n">
        <v>63</v>
      </c>
      <c r="J4" s="5" t="n">
        <v>98</v>
      </c>
    </row>
    <row r="5">
      <c r="A5" s="5" t="inlineStr">
        <is>
          <t>EN_SUV</t>
        </is>
      </c>
      <c r="B5" s="5" t="inlineStr">
        <is>
          <t>EN SUV</t>
        </is>
      </c>
      <c r="C5" s="6" t="n">
        <v>46054</v>
      </c>
      <c r="D5" s="6" t="n">
        <v>46143</v>
      </c>
      <c r="E5" s="6" t="n">
        <v>46218</v>
      </c>
      <c r="F5" s="6">
        <f>E5-30</f>
        <v/>
      </c>
      <c r="G5" s="5" t="n">
        <v>14</v>
      </c>
      <c r="H5" s="5" t="n">
        <v>49</v>
      </c>
      <c r="I5" s="5" t="n">
        <v>63</v>
      </c>
      <c r="J5" s="5" t="n">
        <v>98</v>
      </c>
    </row>
    <row r="7">
      <c r="A7" s="3" t="inlineStr">
        <is>
          <t>TBL_TestCatalog (시험 카탈로그 — 18 tests)</t>
        </is>
      </c>
    </row>
    <row r="8">
      <c r="A8" s="4" t="inlineStr">
        <is>
          <t>TestNameKR</t>
        </is>
      </c>
      <c r="B8" s="4" t="inlineStr">
        <is>
          <t>TestType</t>
        </is>
      </c>
      <c r="C8" s="4" t="inlineStr">
        <is>
          <t>Spec</t>
        </is>
      </c>
      <c r="D8" s="4" t="inlineStr">
        <is>
          <t>DurationDays</t>
        </is>
      </c>
      <c r="E8" s="4" t="inlineStr">
        <is>
          <t>Scope</t>
        </is>
      </c>
    </row>
    <row r="9">
      <c r="A9" s="7" t="inlineStr">
        <is>
          <t>EMC 시험</t>
        </is>
      </c>
      <c r="B9" s="5" t="inlineStr">
        <is>
          <t>단품</t>
        </is>
      </c>
      <c r="C9" s="5" t="inlineStr">
        <is>
          <t>ES 95400-05</t>
        </is>
      </c>
      <c r="D9" s="5" t="n">
        <v>14</v>
      </c>
      <c r="E9" s="5" t="inlineStr">
        <is>
          <t>COMMON</t>
        </is>
      </c>
    </row>
    <row r="10">
      <c r="A10" s="7" t="inlineStr">
        <is>
          <t>VOC 방출 시험</t>
        </is>
      </c>
      <c r="B10" s="5" t="inlineStr">
        <is>
          <t>단품</t>
        </is>
      </c>
      <c r="C10" s="5" t="inlineStr">
        <is>
          <t>MS-300-57</t>
        </is>
      </c>
      <c r="D10" s="5" t="n">
        <v>14</v>
      </c>
      <c r="E10" s="5" t="inlineStr">
        <is>
          <t>COMMON</t>
        </is>
      </c>
    </row>
    <row r="11">
      <c r="A11" s="7" t="inlineStr">
        <is>
          <t>연소성 시험</t>
        </is>
      </c>
      <c r="B11" s="5" t="inlineStr">
        <is>
          <t>단품</t>
        </is>
      </c>
      <c r="C11" s="5" t="inlineStr">
        <is>
          <t>FMVSS 302</t>
        </is>
      </c>
      <c r="D11" s="5" t="n">
        <v>3</v>
      </c>
      <c r="E11" s="5" t="inlineStr">
        <is>
          <t>COMMON</t>
        </is>
      </c>
    </row>
    <row r="12">
      <c r="A12" s="7" t="inlineStr">
        <is>
          <t>포깅 시험</t>
        </is>
      </c>
      <c r="B12" s="5" t="inlineStr">
        <is>
          <t>단품</t>
        </is>
      </c>
      <c r="C12" s="5" t="inlineStr">
        <is>
          <t>ES 80062</t>
        </is>
      </c>
      <c r="D12" s="5" t="n">
        <v>7</v>
      </c>
      <c r="E12" s="5" t="inlineStr">
        <is>
          <t>COMMON</t>
        </is>
      </c>
    </row>
    <row r="13">
      <c r="A13" s="7" t="inlineStr">
        <is>
          <t>냄새 시험</t>
        </is>
      </c>
      <c r="B13" s="5" t="inlineStr">
        <is>
          <t>단품</t>
        </is>
      </c>
      <c r="C13" s="5" t="inlineStr">
        <is>
          <t>MS-300-55</t>
        </is>
      </c>
      <c r="D13" s="5" t="n">
        <v>5</v>
      </c>
      <c r="E13" s="5" t="inlineStr">
        <is>
          <t>COMMON</t>
        </is>
      </c>
    </row>
    <row r="14">
      <c r="A14" s="7" t="inlineStr">
        <is>
          <t>내후성 시험</t>
        </is>
      </c>
      <c r="B14" s="5" t="inlineStr">
        <is>
          <t>단품</t>
        </is>
      </c>
      <c r="C14" s="5" t="inlineStr">
        <is>
          <t>MS-300-34</t>
        </is>
      </c>
      <c r="D14" s="5" t="n">
        <v>21</v>
      </c>
      <c r="E14" s="5" t="inlineStr">
        <is>
          <t>COMMON</t>
        </is>
      </c>
    </row>
    <row r="15">
      <c r="A15" s="7" t="inlineStr">
        <is>
          <t>내열성 시험</t>
        </is>
      </c>
      <c r="B15" s="5" t="inlineStr">
        <is>
          <t>단품</t>
        </is>
      </c>
      <c r="C15" s="5" t="inlineStr">
        <is>
          <t>MS-300-31</t>
        </is>
      </c>
      <c r="D15" s="5" t="n">
        <v>14</v>
      </c>
      <c r="E15" s="5" t="inlineStr">
        <is>
          <t>COMMON</t>
        </is>
      </c>
    </row>
    <row r="16">
      <c r="A16" s="7" t="inlineStr">
        <is>
          <t>내마모성 시험</t>
        </is>
      </c>
      <c r="B16" s="5" t="inlineStr">
        <is>
          <t>단품</t>
        </is>
      </c>
      <c r="C16" s="5" t="inlineStr">
        <is>
          <t>MS-300-35</t>
        </is>
      </c>
      <c r="D16" s="5" t="n">
        <v>7</v>
      </c>
      <c r="E16" s="5" t="inlineStr">
        <is>
          <t>COMMON</t>
        </is>
      </c>
    </row>
    <row r="17">
      <c r="A17" s="7" t="inlineStr">
        <is>
          <t>내변색 시험</t>
        </is>
      </c>
      <c r="B17" s="5" t="inlineStr">
        <is>
          <t>단품</t>
        </is>
      </c>
      <c r="C17" s="5" t="inlineStr">
        <is>
          <t>MS-300-36</t>
        </is>
      </c>
      <c r="D17" s="5" t="n">
        <v>10</v>
      </c>
      <c r="E17" s="5" t="inlineStr">
        <is>
          <t>COMMON</t>
        </is>
      </c>
    </row>
    <row r="18">
      <c r="A18" s="7" t="inlineStr">
        <is>
          <t>힌지 내구 시험</t>
        </is>
      </c>
      <c r="B18" s="5" t="inlineStr">
        <is>
          <t>단품</t>
        </is>
      </c>
      <c r="C18" s="5" t="inlineStr">
        <is>
          <t>ES-92030</t>
        </is>
      </c>
      <c r="D18" s="5" t="n">
        <v>10</v>
      </c>
      <c r="E18" s="5" t="inlineStr">
        <is>
          <t>ITEM_SPECIFIC</t>
        </is>
      </c>
    </row>
    <row r="19">
      <c r="A19" s="7" t="inlineStr">
        <is>
          <t>시트 내구 시험</t>
        </is>
      </c>
      <c r="B19" s="5" t="inlineStr">
        <is>
          <t>단품</t>
        </is>
      </c>
      <c r="C19" s="5" t="inlineStr">
        <is>
          <t>ES-93100</t>
        </is>
      </c>
      <c r="D19" s="5" t="n">
        <v>21</v>
      </c>
      <c r="E19" s="5" t="inlineStr">
        <is>
          <t>ITEM_SPECIFIC</t>
        </is>
      </c>
    </row>
    <row r="20">
      <c r="A20" s="7" t="inlineStr">
        <is>
          <t>H-Point 검증</t>
        </is>
      </c>
      <c r="B20" s="5" t="inlineStr">
        <is>
          <t>차량장착</t>
        </is>
      </c>
      <c r="C20" s="5" t="inlineStr">
        <is>
          <t>ES-93000</t>
        </is>
      </c>
      <c r="D20" s="5" t="n">
        <v>14</v>
      </c>
      <c r="E20" s="5" t="inlineStr">
        <is>
          <t>ITEM_SPECIFIC</t>
        </is>
      </c>
    </row>
    <row r="21">
      <c r="A21" s="7" t="inlineStr">
        <is>
          <t>안전벨트 앵커리지</t>
        </is>
      </c>
      <c r="B21" s="5" t="inlineStr">
        <is>
          <t>차량장착</t>
        </is>
      </c>
      <c r="C21" s="5" t="inlineStr">
        <is>
          <t>FMVSS 210</t>
        </is>
      </c>
      <c r="D21" s="5" t="n">
        <v>14</v>
      </c>
      <c r="E21" s="5" t="inlineStr">
        <is>
          <t>ITEM_SPECIFIC</t>
        </is>
      </c>
    </row>
    <row r="22">
      <c r="A22" s="7" t="inlineStr">
        <is>
          <t>ISOFIX 강도 시험</t>
        </is>
      </c>
      <c r="B22" s="5" t="inlineStr">
        <is>
          <t>차량장착</t>
        </is>
      </c>
      <c r="C22" s="5" t="inlineStr">
        <is>
          <t>ECE R14</t>
        </is>
      </c>
      <c r="D22" s="5" t="n">
        <v>10</v>
      </c>
      <c r="E22" s="5" t="inlineStr">
        <is>
          <t>ITEM_SPECIFIC</t>
        </is>
      </c>
    </row>
    <row r="23">
      <c r="A23" s="7" t="inlineStr">
        <is>
          <t>BSR 시험</t>
        </is>
      </c>
      <c r="B23" s="5" t="inlineStr">
        <is>
          <t>차량장착</t>
        </is>
      </c>
      <c r="C23" s="5" t="inlineStr">
        <is>
          <t>ES-90500</t>
        </is>
      </c>
      <c r="D23" s="5" t="n">
        <v>14</v>
      </c>
      <c r="E23" s="5" t="inlineStr">
        <is>
          <t>ITEM_SPECIFIC</t>
        </is>
      </c>
    </row>
    <row r="24">
      <c r="A24" s="7" t="inlineStr">
        <is>
          <t>치수 검사</t>
        </is>
      </c>
      <c r="B24" s="5" t="inlineStr">
        <is>
          <t>단품</t>
        </is>
      </c>
      <c r="C24" s="5" t="inlineStr">
        <is>
          <t>ES-90101</t>
        </is>
      </c>
      <c r="D24" s="5" t="n">
        <v>3</v>
      </c>
      <c r="E24" s="5" t="inlineStr">
        <is>
          <t>ITEM_SPECIFIC</t>
        </is>
      </c>
    </row>
    <row r="25">
      <c r="A25" s="7" t="inlineStr">
        <is>
          <t>수하물 충격 시험</t>
        </is>
      </c>
      <c r="B25" s="5" t="inlineStr">
        <is>
          <t>차량장착</t>
        </is>
      </c>
      <c r="C25" s="5" t="inlineStr">
        <is>
          <t>ECE R17</t>
        </is>
      </c>
      <c r="D25" s="5" t="n">
        <v>7</v>
      </c>
      <c r="E25" s="5" t="inlineStr">
        <is>
          <t>ITEM_SPECIFIC</t>
        </is>
      </c>
    </row>
    <row r="26">
      <c r="A26" s="7" t="inlineStr">
        <is>
          <t>조작력 시험</t>
        </is>
      </c>
      <c r="B26" s="5" t="inlineStr">
        <is>
          <t>단품</t>
        </is>
      </c>
      <c r="C26" s="5" t="inlineStr">
        <is>
          <t>ES-91300</t>
        </is>
      </c>
      <c r="D26" s="5" t="n">
        <v>5</v>
      </c>
      <c r="E26" s="5" t="inlineStr">
        <is>
          <t>ITEM_SPECIFIC</t>
        </is>
      </c>
    </row>
    <row r="28">
      <c r="A28" s="3" t="inlineStr">
        <is>
          <t>TBL_ItemMaster (아이템 → 구분 + 협력사 + 도면번호)</t>
        </is>
      </c>
    </row>
    <row r="29">
      <c r="A29" s="4" t="inlineStr">
        <is>
          <t>ItemNameKR</t>
        </is>
      </c>
      <c r="B29" s="4" t="inlineStr">
        <is>
          <t>PartCategory</t>
        </is>
      </c>
      <c r="C29" s="4" t="inlineStr">
        <is>
          <t>Supplier</t>
        </is>
      </c>
      <c r="D29" s="4" t="inlineStr">
        <is>
          <t>DrawingNo</t>
        </is>
      </c>
    </row>
    <row r="30">
      <c r="A30" s="7" t="inlineStr">
        <is>
          <t>센터콘솔</t>
        </is>
      </c>
      <c r="B30" s="5" t="inlineStr">
        <is>
          <t>Console</t>
        </is>
      </c>
      <c r="C30" s="5" t="inlineStr">
        <is>
          <t>HS R&amp;A</t>
        </is>
      </c>
      <c r="D30" s="5" t="inlineStr">
        <is>
          <t>DWG-CONSOLE-001</t>
        </is>
      </c>
    </row>
    <row r="31">
      <c r="A31" s="7" t="inlineStr">
        <is>
          <t>콘솔리드</t>
        </is>
      </c>
      <c r="B31" s="5" t="inlineStr">
        <is>
          <t>Console</t>
        </is>
      </c>
      <c r="C31" s="5" t="inlineStr">
        <is>
          <t>HS R&amp;A</t>
        </is>
      </c>
      <c r="D31" s="5" t="inlineStr">
        <is>
          <t>DWG-CONSOLE-002</t>
        </is>
      </c>
    </row>
    <row r="32">
      <c r="A32" s="7" t="inlineStr">
        <is>
          <t>칵핏모듈</t>
        </is>
      </c>
      <c r="B32" s="5" t="inlineStr">
        <is>
          <t>Cockpit</t>
        </is>
      </c>
      <c r="C32" s="5" t="inlineStr">
        <is>
          <t>Hyundai Mobis</t>
        </is>
      </c>
      <c r="D32" s="5" t="inlineStr">
        <is>
          <t>DWG-COCKPIT-001</t>
        </is>
      </c>
    </row>
    <row r="33">
      <c r="A33" s="7" t="inlineStr">
        <is>
          <t>도어트림(앞)</t>
        </is>
      </c>
      <c r="B33" s="5" t="inlineStr">
        <is>
          <t>Trim</t>
        </is>
      </c>
      <c r="C33" s="5" t="inlineStr">
        <is>
          <t>Faurecia</t>
        </is>
      </c>
      <c r="D33" s="5" t="inlineStr">
        <is>
          <t>DWG-DOORTRIM-FR</t>
        </is>
      </c>
    </row>
    <row r="34">
      <c r="A34" s="7" t="inlineStr">
        <is>
          <t>도어트림(뒤)</t>
        </is>
      </c>
      <c r="B34" s="5" t="inlineStr">
        <is>
          <t>Trim</t>
        </is>
      </c>
      <c r="C34" s="5" t="inlineStr">
        <is>
          <t>Faurecia</t>
        </is>
      </c>
      <c r="D34" s="5" t="inlineStr">
        <is>
          <t>DWG-DOORTRIM-RR</t>
        </is>
      </c>
    </row>
    <row r="35">
      <c r="A35" s="7" t="inlineStr">
        <is>
          <t>필러트림 A</t>
        </is>
      </c>
      <c r="B35" s="5" t="inlineStr">
        <is>
          <t>Trim</t>
        </is>
      </c>
      <c r="C35" s="5" t="inlineStr">
        <is>
          <t>Seoyon</t>
        </is>
      </c>
      <c r="D35" s="5" t="inlineStr">
        <is>
          <t>DWG-PILLAR-A</t>
        </is>
      </c>
    </row>
    <row r="36">
      <c r="A36" s="7" t="inlineStr">
        <is>
          <t>필러트림 B</t>
        </is>
      </c>
      <c r="B36" s="5" t="inlineStr">
        <is>
          <t>Trim</t>
        </is>
      </c>
      <c r="C36" s="5" t="inlineStr">
        <is>
          <t>Seoyon</t>
        </is>
      </c>
      <c r="D36" s="5" t="inlineStr">
        <is>
          <t>DWG-PILLAR-B</t>
        </is>
      </c>
    </row>
    <row r="37">
      <c r="A37" s="7" t="inlineStr">
        <is>
          <t>필러트림 C</t>
        </is>
      </c>
      <c r="B37" s="5" t="inlineStr">
        <is>
          <t>Trim</t>
        </is>
      </c>
      <c r="C37" s="5" t="inlineStr">
        <is>
          <t>Seoyon</t>
        </is>
      </c>
      <c r="D37" s="5" t="inlineStr">
        <is>
          <t>DWG-PILLAR-C</t>
        </is>
      </c>
    </row>
    <row r="38">
      <c r="A38" s="7" t="inlineStr">
        <is>
          <t>패키지트레이</t>
        </is>
      </c>
      <c r="B38" s="5" t="inlineStr">
        <is>
          <t>Trim</t>
        </is>
      </c>
      <c r="C38" s="5" t="inlineStr">
        <is>
          <t>HS R&amp;A</t>
        </is>
      </c>
      <c r="D38" s="5" t="inlineStr">
        <is>
          <t>DWG-PKGTRAY-001</t>
        </is>
      </c>
    </row>
    <row r="39">
      <c r="A39" s="7" t="inlineStr">
        <is>
          <t>헤드라이너</t>
        </is>
      </c>
      <c r="B39" s="5" t="inlineStr">
        <is>
          <t>Trim</t>
        </is>
      </c>
      <c r="C39" s="5" t="inlineStr">
        <is>
          <t>Seoyon E-Hwa</t>
        </is>
      </c>
      <c r="D39" s="5" t="inlineStr">
        <is>
          <t>DWG-HEADLINER-001</t>
        </is>
      </c>
    </row>
    <row r="40">
      <c r="A40" s="7" t="inlineStr">
        <is>
          <t>시트(앞)</t>
        </is>
      </c>
      <c r="B40" s="5" t="inlineStr">
        <is>
          <t>Seat</t>
        </is>
      </c>
      <c r="C40" s="5" t="inlineStr">
        <is>
          <t>Hyundai Transys</t>
        </is>
      </c>
      <c r="D40" s="5" t="inlineStr">
        <is>
          <t>DWG-SEAT-FR</t>
        </is>
      </c>
    </row>
    <row r="41">
      <c r="A41" s="7" t="inlineStr">
        <is>
          <t>시트(뒤)</t>
        </is>
      </c>
      <c r="B41" s="5" t="inlineStr">
        <is>
          <t>Seat</t>
        </is>
      </c>
      <c r="C41" s="5" t="inlineStr">
        <is>
          <t>Hyundai Transys</t>
        </is>
      </c>
      <c r="D41" s="5" t="inlineStr">
        <is>
          <t>DWG-SEAT-RR</t>
        </is>
      </c>
    </row>
    <row r="43">
      <c r="A43" s="3" t="inlineStr">
        <is>
          <t>TBL_ItemTests (아이템 × 시험 매핑 + 제외)</t>
        </is>
      </c>
    </row>
    <row r="44">
      <c r="A44" s="4" t="inlineStr">
        <is>
          <t>ItemNameKR</t>
        </is>
      </c>
      <c r="B44" s="4" t="inlineStr">
        <is>
          <t>TestNameKR</t>
        </is>
      </c>
      <c r="C44" s="4" t="inlineStr">
        <is>
          <t>Excluded</t>
        </is>
      </c>
    </row>
    <row r="45">
      <c r="A45" s="7" t="inlineStr">
        <is>
          <t>센터콘솔</t>
        </is>
      </c>
      <c r="B45" s="7" t="inlineStr">
        <is>
          <t>BSR 시험</t>
        </is>
      </c>
      <c r="C45" s="5" t="b">
        <v>0</v>
      </c>
    </row>
    <row r="46">
      <c r="A46" s="7" t="inlineStr">
        <is>
          <t>센터콘솔</t>
        </is>
      </c>
      <c r="B46" s="7" t="inlineStr">
        <is>
          <t>치수 검사</t>
        </is>
      </c>
      <c r="C46" s="5" t="b">
        <v>0</v>
      </c>
    </row>
    <row r="47">
      <c r="A47" s="7" t="inlineStr">
        <is>
          <t>콘솔리드</t>
        </is>
      </c>
      <c r="B47" s="7" t="inlineStr">
        <is>
          <t>힌지 내구 시험</t>
        </is>
      </c>
      <c r="C47" s="5" t="b">
        <v>0</v>
      </c>
    </row>
    <row r="48">
      <c r="A48" s="7" t="inlineStr">
        <is>
          <t>콘솔리드</t>
        </is>
      </c>
      <c r="B48" s="7" t="inlineStr">
        <is>
          <t>조작력 시험</t>
        </is>
      </c>
      <c r="C48" s="5" t="b">
        <v>0</v>
      </c>
    </row>
    <row r="49">
      <c r="A49" s="7" t="inlineStr">
        <is>
          <t>칵핏모듈</t>
        </is>
      </c>
      <c r="B49" s="7" t="inlineStr">
        <is>
          <t>BSR 시험</t>
        </is>
      </c>
      <c r="C49" s="5" t="b">
        <v>0</v>
      </c>
    </row>
    <row r="50">
      <c r="A50" s="7" t="inlineStr">
        <is>
          <t>도어트림(앞)</t>
        </is>
      </c>
      <c r="B50" s="7" t="inlineStr">
        <is>
          <t>치수 검사</t>
        </is>
      </c>
      <c r="C50" s="5" t="b">
        <v>0</v>
      </c>
    </row>
    <row r="51">
      <c r="A51" s="7" t="inlineStr">
        <is>
          <t>도어트림(앞)</t>
        </is>
      </c>
      <c r="B51" s="7" t="inlineStr">
        <is>
          <t>조작력 시험</t>
        </is>
      </c>
      <c r="C51" s="5" t="b">
        <v>0</v>
      </c>
    </row>
    <row r="52">
      <c r="A52" s="7" t="inlineStr">
        <is>
          <t>도어트림(뒤)</t>
        </is>
      </c>
      <c r="B52" s="7" t="inlineStr">
        <is>
          <t>치수 검사</t>
        </is>
      </c>
      <c r="C52" s="5" t="b">
        <v>0</v>
      </c>
    </row>
    <row r="53">
      <c r="A53" s="7" t="inlineStr">
        <is>
          <t>필러트림 A</t>
        </is>
      </c>
      <c r="B53" s="7" t="inlineStr">
        <is>
          <t>치수 검사</t>
        </is>
      </c>
      <c r="C53" s="5" t="b">
        <v>0</v>
      </c>
    </row>
    <row r="54">
      <c r="A54" s="7" t="inlineStr">
        <is>
          <t>필러트림 B</t>
        </is>
      </c>
      <c r="B54" s="7" t="inlineStr">
        <is>
          <t>치수 검사</t>
        </is>
      </c>
      <c r="C54" s="5" t="b">
        <v>0</v>
      </c>
    </row>
    <row r="55">
      <c r="A55" s="7" t="inlineStr">
        <is>
          <t>필러트림 C</t>
        </is>
      </c>
      <c r="B55" s="7" t="inlineStr">
        <is>
          <t>치수 검사</t>
        </is>
      </c>
      <c r="C55" s="5" t="b">
        <v>0</v>
      </c>
    </row>
    <row r="56">
      <c r="A56" s="7" t="inlineStr">
        <is>
          <t>시트(앞)</t>
        </is>
      </c>
      <c r="B56" s="7" t="inlineStr">
        <is>
          <t>시트 내구 시험</t>
        </is>
      </c>
      <c r="C56" s="5" t="b">
        <v>0</v>
      </c>
    </row>
    <row r="57">
      <c r="A57" s="7" t="inlineStr">
        <is>
          <t>시트(앞)</t>
        </is>
      </c>
      <c r="B57" s="7" t="inlineStr">
        <is>
          <t>H-Point 검증</t>
        </is>
      </c>
      <c r="C57" s="5" t="b">
        <v>0</v>
      </c>
    </row>
    <row r="58">
      <c r="A58" s="7" t="inlineStr">
        <is>
          <t>시트(앞)</t>
        </is>
      </c>
      <c r="B58" s="7" t="inlineStr">
        <is>
          <t>안전벨트 앵커리지</t>
        </is>
      </c>
      <c r="C58" s="5" t="b">
        <v>0</v>
      </c>
    </row>
    <row r="59">
      <c r="A59" s="7" t="inlineStr">
        <is>
          <t>시트(뒤)</t>
        </is>
      </c>
      <c r="B59" s="7" t="inlineStr">
        <is>
          <t>시트 내구 시험</t>
        </is>
      </c>
      <c r="C59" s="5" t="b">
        <v>0</v>
      </c>
    </row>
    <row r="60">
      <c r="A60" s="7" t="inlineStr">
        <is>
          <t>시트(뒤)</t>
        </is>
      </c>
      <c r="B60" s="7" t="inlineStr">
        <is>
          <t>안전벨트 앵커리지</t>
        </is>
      </c>
      <c r="C60" s="5" t="b">
        <v>0</v>
      </c>
    </row>
    <row r="61">
      <c r="A61" s="7" t="inlineStr">
        <is>
          <t>시트(뒤)</t>
        </is>
      </c>
      <c r="B61" s="7" t="inlineStr">
        <is>
          <t>ISOFIX 강도 시험</t>
        </is>
      </c>
      <c r="C61" s="5" t="b">
        <v>0</v>
      </c>
    </row>
    <row r="62">
      <c r="A62" s="7" t="inlineStr">
        <is>
          <t>시트(뒤)</t>
        </is>
      </c>
      <c r="B62" s="7" t="inlineStr">
        <is>
          <t>수하물 충격 시험</t>
        </is>
      </c>
      <c r="C62" s="5" t="b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tabColor rgb="003B5998"/>
    <outlinePr summaryBelow="1" summaryRight="1"/>
    <pageSetUpPr/>
  </sheetPr>
  <dimension ref="A1:AB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8" customWidth="1" min="21" max="21"/>
    <col width="22" customWidth="1" min="22" max="22"/>
    <col width="10" customWidth="1" min="23" max="23"/>
    <col width="10" customWidth="1" min="24" max="24"/>
    <col width="12" customWidth="1" min="25" max="25"/>
    <col width="10" customWidth="1" min="26" max="26"/>
    <col width="30" customWidth="1" min="27" max="27"/>
    <col width="20" customWidth="1" min="28" max="28"/>
  </cols>
  <sheetData>
    <row r="1">
      <c r="A1" s="8" t="inlineStr">
        <is>
          <t>ESIR Master Tracker V4 — Engineering Sample / Initial Run Test (DB Schema v2)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 ht="36" customHeight="1">
      <c r="A3" s="4" t="inlineStr">
        <is>
          <t>No.</t>
        </is>
      </c>
      <c r="B3" s="10" t="inlineStr">
        <is>
          <t>Vehicle Code</t>
        </is>
      </c>
      <c r="C3" s="4" t="inlineStr">
        <is>
          <t>Part Category</t>
        </is>
      </c>
      <c r="D3" s="10" t="inlineStr">
        <is>
          <t>Item Name</t>
        </is>
      </c>
      <c r="E3" s="4" t="inlineStr">
        <is>
          <t>Supplier</t>
        </is>
      </c>
      <c r="F3" s="10" t="inlineStr">
        <is>
          <t>Test Name KR</t>
        </is>
      </c>
      <c r="G3" s="4" t="inlineStr">
        <is>
          <t>Test Type</t>
        </is>
      </c>
      <c r="H3" s="4" t="inlineStr">
        <is>
          <t>Scope</t>
        </is>
      </c>
      <c r="I3" s="4" t="inlineStr">
        <is>
          <t>T₀ Drawing
Release</t>
        </is>
      </c>
      <c r="J3" s="4" t="inlineStr">
        <is>
          <t>Plan Due
Date</t>
        </is>
      </c>
      <c r="K3" s="10" t="inlineStr">
        <is>
          <t>Plan Submitted
Date</t>
        </is>
      </c>
      <c r="L3" s="10" t="inlineStr">
        <is>
          <t>Review
Result</t>
        </is>
      </c>
      <c r="M3" s="4" t="inlineStr">
        <is>
          <t>Parts Ready
(Plan)</t>
        </is>
      </c>
      <c r="N3" s="10" t="inlineStr">
        <is>
          <t>Parts Ready
(Actual)</t>
        </is>
      </c>
      <c r="O3" s="4" t="inlineStr">
        <is>
          <t>Test Start
(Plan)</t>
        </is>
      </c>
      <c r="P3" s="10" t="inlineStr">
        <is>
          <t>Test Start
(Actual)</t>
        </is>
      </c>
      <c r="Q3" s="4" t="inlineStr">
        <is>
          <t>Test Complete
(Plan)</t>
        </is>
      </c>
      <c r="R3" s="10" t="inlineStr">
        <is>
          <t>Test Complete
(Actual)</t>
        </is>
      </c>
      <c r="S3" s="4" t="inlineStr">
        <is>
          <t>Report Due
Date</t>
        </is>
      </c>
      <c r="T3" s="10" t="inlineStr">
        <is>
          <t>Report Submitted
Date</t>
        </is>
      </c>
      <c r="U3" s="10" t="inlineStr">
        <is>
          <t>Override</t>
        </is>
      </c>
      <c r="V3" s="4" t="inlineStr">
        <is>
          <t>Status</t>
        </is>
      </c>
      <c r="W3" s="4" t="inlineStr">
        <is>
          <t>Progress
%</t>
        </is>
      </c>
      <c r="X3" s="4" t="inlineStr">
        <is>
          <t>Days to
Deadline</t>
        </is>
      </c>
      <c r="Y3" s="4" t="inlineStr">
        <is>
          <t>Risk
Flag</t>
        </is>
      </c>
      <c r="Z3" s="4" t="inlineStr">
        <is>
          <t>Days Since
Activity</t>
        </is>
      </c>
      <c r="AA3" s="4" t="inlineStr">
        <is>
          <t>Next Action</t>
        </is>
      </c>
      <c r="AB3" s="10" t="inlineStr">
        <is>
          <t>Note</t>
        </is>
      </c>
    </row>
    <row r="4" ht="24" customHeight="1">
      <c r="A4" s="11" t="inlineStr">
        <is>
          <t>번호</t>
        </is>
      </c>
      <c r="B4" s="12" t="inlineStr">
        <is>
          <t>차종</t>
        </is>
      </c>
      <c r="C4" s="11" t="inlineStr">
        <is>
          <t>파트구분</t>
        </is>
      </c>
      <c r="D4" s="12" t="inlineStr">
        <is>
          <t>아이템명</t>
        </is>
      </c>
      <c r="E4" s="11" t="inlineStr">
        <is>
          <t>협력사</t>
        </is>
      </c>
      <c r="F4" s="12" t="inlineStr">
        <is>
          <t>시험명</t>
        </is>
      </c>
      <c r="G4" s="11" t="inlineStr">
        <is>
          <t>시험유형</t>
        </is>
      </c>
      <c r="H4" s="11" t="inlineStr">
        <is>
          <t>범위</t>
        </is>
      </c>
      <c r="I4" s="11" t="inlineStr">
        <is>
          <t>T₀ 도면배포</t>
        </is>
      </c>
      <c r="J4" s="11" t="inlineStr">
        <is>
          <t>계획서기한</t>
        </is>
      </c>
      <c r="K4" s="12" t="inlineStr">
        <is>
          <t>계획서제출</t>
        </is>
      </c>
      <c r="L4" s="12" t="inlineStr">
        <is>
          <t>검토결과</t>
        </is>
      </c>
      <c r="M4" s="11" t="inlineStr">
        <is>
          <t>부품준비(계획)</t>
        </is>
      </c>
      <c r="N4" s="12" t="inlineStr">
        <is>
          <t>부품준비(실적)</t>
        </is>
      </c>
      <c r="O4" s="11" t="inlineStr">
        <is>
          <t>시험시작(계획)</t>
        </is>
      </c>
      <c r="P4" s="12" t="inlineStr">
        <is>
          <t>시험시작(실적)</t>
        </is>
      </c>
      <c r="Q4" s="11" t="inlineStr">
        <is>
          <t>시험완료(계획)</t>
        </is>
      </c>
      <c r="R4" s="12" t="inlineStr">
        <is>
          <t>시험완료(실적)</t>
        </is>
      </c>
      <c r="S4" s="11" t="inlineStr">
        <is>
          <t>성적서기한</t>
        </is>
      </c>
      <c r="T4" s="12" t="inlineStr">
        <is>
          <t>성적서제출</t>
        </is>
      </c>
      <c r="U4" s="12" t="inlineStr">
        <is>
          <t>오버라이드</t>
        </is>
      </c>
      <c r="V4" s="11" t="inlineStr">
        <is>
          <t>상태</t>
        </is>
      </c>
      <c r="W4" s="11" t="inlineStr">
        <is>
          <t>진행률%</t>
        </is>
      </c>
      <c r="X4" s="11" t="inlineStr">
        <is>
          <t>잔여일</t>
        </is>
      </c>
      <c r="Y4" s="11" t="inlineStr">
        <is>
          <t>리스크</t>
        </is>
      </c>
      <c r="Z4" s="11" t="inlineStr">
        <is>
          <t>정체일</t>
        </is>
      </c>
      <c r="AA4" s="11" t="inlineStr">
        <is>
          <t>다음조치</t>
        </is>
      </c>
      <c r="AB4" s="12" t="inlineStr">
        <is>
          <t>비고</t>
        </is>
      </c>
    </row>
    <row r="5">
      <c r="A5" s="5" t="n">
        <v>1</v>
      </c>
      <c r="B5" s="13" t="inlineStr">
        <is>
          <t>AE_PE</t>
        </is>
      </c>
      <c r="C5" s="14">
        <f>IFERROR(VLOOKUP(D5,'Reference Data 기준데이터'!$A$30:$D$41,2,FALSE),"")</f>
        <v/>
      </c>
      <c r="D5" s="15" t="inlineStr">
        <is>
          <t>센터콘솔</t>
        </is>
      </c>
      <c r="E5" s="14">
        <f>IFERROR(VLOOKUP(D5,'Reference Data 기준데이터'!$A$30:$D$41,3,FALSE),"")</f>
        <v/>
      </c>
      <c r="F5" s="15" t="inlineStr">
        <is>
          <t>EMC 시험</t>
        </is>
      </c>
      <c r="G5" s="14">
        <f>IFERROR(VLOOKUP(F5,'Reference Data 기준데이터'!$A$9:$E$26,2,FALSE),"")</f>
        <v/>
      </c>
      <c r="H5" s="14">
        <f>IFERROR(VLOOKUP(F5,'Reference Data 기준데이터'!$A$9:$E$26,5,FALSE),"")</f>
        <v/>
      </c>
      <c r="I5" s="16">
        <f>IFERROR(VLOOKUP(B5,'Reference Data 기준데이터'!$A$3:$J$5,3,FALSE),"")</f>
        <v/>
      </c>
      <c r="J5" s="16">
        <f>IFERROR(I5+VLOOKUP(B5,'Reference Data 기준데이터'!$A$3:$J$5,7,FALSE),"")</f>
        <v/>
      </c>
      <c r="K5" s="13" t="n"/>
      <c r="L5" s="13" t="n"/>
      <c r="M5" s="16">
        <f>IFERROR(I5+VLOOKUP(B5,'Reference Data 기준데이터'!$A$3:$J$5,8,FALSE),"")</f>
        <v/>
      </c>
      <c r="N5" s="13" t="n"/>
      <c r="O5" s="16">
        <f>IFERROR(IF(G5="차량장착",MAX(I5+VLOOKUP(B5,'Reference Data 기준데이터'!$A$3:$J$5,9,FALSE),VLOOKUP(B5,'Reference Data 기준데이터'!$A$3:$J$5,4,FALSE)),I5+VLOOKUP(B5,'Reference Data 기준데이터'!$A$3:$J$5,9,FALSE)),"")</f>
        <v/>
      </c>
      <c r="P5" s="13" t="n"/>
      <c r="Q5" s="16">
        <f>IFERROR(O5+VLOOKUP(F5,'Reference Data 기준데이터'!$A$9:$E$26,4,FALSE),"")</f>
        <v/>
      </c>
      <c r="R5" s="13" t="n"/>
      <c r="S5" s="16">
        <f>IFERROR(MIN(I5+VLOOKUP(B5,'Reference Data 기준데이터'!$A$3:$J$5,10,FALSE),VLOOKUP(B5,'Reference Data 기준데이터'!$A$3:$J$5,6,FALSE)),"")</f>
        <v/>
      </c>
      <c r="T5" s="13" t="n"/>
      <c r="U5" s="13" t="n"/>
      <c r="V5" s="17">
        <f>IF(U5&lt;&gt;"",U5,IF(AND(T5&lt;&gt;"",R5&lt;&gt;""),"11-결과등록완료",IF(AND(R5&lt;&gt;"",T5=""),"10-시험완료",IF(AND(P5&lt;&gt;"",R5=""),"09-시험준비중",IF(AND(N5&lt;&gt;"",P5=""),"08-단품준비완료",IF(L5="Approved","05-계획서승인",IF(L5="Revision Needed","04-검토중_보완",IF(L5="Under Review","03-검토중",IF(AND(K5&lt;&gt;"",L5=""),"02-제출_미검토","01-미제출")))))))))</f>
        <v/>
      </c>
      <c r="W5" s="18">
        <f>IFS(V5="01-미제출",0,V5="02-제출_미검토",0.05,V5="03-검토중",0.1,V5="04-검토중_보완",0.05,V5="05-계획서승인",0.2,V5="06-BIW중단",0.15,V5="07-미인수",0.3,V5="08-단품준비완료",0.4,V5="09-시험준비중",0.55,V5="10-시험완료",0.85,V5="11-결과등록완료",1,V5="12-조건부승인",0.9,TRUE,0)</f>
        <v/>
      </c>
      <c r="X5" s="5">
        <f>IF(T5&lt;&gt;"","-",IF(S5="","N/A",S5-TODAY()))</f>
        <v/>
      </c>
      <c r="Y5" s="17">
        <f>IF(V5="11-결과등록완료","DONE",IF(U5="06-BIW중단","BLOCKED",IF(AND(K5="",J5&lt;TODAY()),"CRITICAL",IF(AND(ISNUMBER(X5),X5&lt;=0),"OVERDUE",IF(AND(ISNUMBER(X5),X5&lt;=14),"WARNING",IF(U5&lt;&gt;"","ACTION","ON TRACK"))))))</f>
        <v/>
      </c>
      <c r="Z5" s="5">
        <f>IF(OR(T5&lt;&gt;"",R5&lt;&gt;"",P5&lt;&gt;"",N5&lt;&gt;"",K5&lt;&gt;""),TODAY()-MAX(T5,R5,P5,N5,K5),"—")</f>
        <v/>
      </c>
      <c r="AA5" s="19">
        <f>IF(V5="11-결과등록완료","— 완료",IF(V5="01-미제출",IF(J5&lt;TODAY(),"계획서 제출 독촉 (OVERDUE)","계획서 제출 대기"),IF(V5="02-제출_미검토","설계자: 계획서 검토 착수",IF(V5="03-검토중","설계자: 승인 처리",IF(V5="04-검토중_보완","보완 요청 → 협력사 재제출 독촉",IF(V5="05-계획서승인","시험편 준비 현황 확인",IF(V5="06-BIW중단","BIW 생산팀 확인 → 일정 재수립",IF(V5="07-미인수","협력사 인수 독촉",IF(V5="08-단품준비완료","시험 일정 확인",IF(V5="09-시험준비중","시험 진행 모니터링",IF(V5="10-시험완료","결과 보고서 전산 등록 독촉",IF(V5="12-조건부승인","조건부 승인 여부 판단 → 관련부서 협의","—"))))))))))))</f>
        <v/>
      </c>
      <c r="AB5" s="15" t="n"/>
    </row>
    <row r="6">
      <c r="A6" s="5" t="n">
        <v>2</v>
      </c>
      <c r="B6" s="13" t="inlineStr">
        <is>
          <t>AE_PE</t>
        </is>
      </c>
      <c r="C6" s="14">
        <f>IFERROR(VLOOKUP(D6,'Reference Data 기준데이터'!$A$30:$D$41,2,FALSE),"")</f>
        <v/>
      </c>
      <c r="D6" s="15" t="inlineStr">
        <is>
          <t>센터콘솔</t>
        </is>
      </c>
      <c r="E6" s="14">
        <f>IFERROR(VLOOKUP(D6,'Reference Data 기준데이터'!$A$30:$D$41,3,FALSE),"")</f>
        <v/>
      </c>
      <c r="F6" s="15" t="inlineStr">
        <is>
          <t>VOC 방출 시험</t>
        </is>
      </c>
      <c r="G6" s="14">
        <f>IFERROR(VLOOKUP(F6,'Reference Data 기준데이터'!$A$9:$E$26,2,FALSE),"")</f>
        <v/>
      </c>
      <c r="H6" s="14">
        <f>IFERROR(VLOOKUP(F6,'Reference Data 기준데이터'!$A$9:$E$26,5,FALSE),"")</f>
        <v/>
      </c>
      <c r="I6" s="16">
        <f>IFERROR(VLOOKUP(B6,'Reference Data 기준데이터'!$A$3:$J$5,3,FALSE),"")</f>
        <v/>
      </c>
      <c r="J6" s="16">
        <f>IFERROR(I6+VLOOKUP(B6,'Reference Data 기준데이터'!$A$3:$J$5,7,FALSE),"")</f>
        <v/>
      </c>
      <c r="K6" s="20" t="n">
        <v>46049</v>
      </c>
      <c r="L6" s="13" t="inlineStr">
        <is>
          <t>Approved</t>
        </is>
      </c>
      <c r="M6" s="16">
        <f>IFERROR(I6+VLOOKUP(B6,'Reference Data 기준데이터'!$A$3:$J$5,8,FALSE),"")</f>
        <v/>
      </c>
      <c r="N6" s="13" t="n"/>
      <c r="O6" s="16">
        <f>IFERROR(IF(G6="차량장착",MAX(I6+VLOOKUP(B6,'Reference Data 기준데이터'!$A$3:$J$5,9,FALSE),VLOOKUP(B6,'Reference Data 기준데이터'!$A$3:$J$5,4,FALSE)),I6+VLOOKUP(B6,'Reference Data 기준데이터'!$A$3:$J$5,9,FALSE)),"")</f>
        <v/>
      </c>
      <c r="P6" s="13" t="n"/>
      <c r="Q6" s="16">
        <f>IFERROR(O6+VLOOKUP(F6,'Reference Data 기준데이터'!$A$9:$E$26,4,FALSE),"")</f>
        <v/>
      </c>
      <c r="R6" s="13" t="n"/>
      <c r="S6" s="16">
        <f>IFERROR(MIN(I6+VLOOKUP(B6,'Reference Data 기준데이터'!$A$3:$J$5,10,FALSE),VLOOKUP(B6,'Reference Data 기준데이터'!$A$3:$J$5,6,FALSE)),"")</f>
        <v/>
      </c>
      <c r="T6" s="13" t="n"/>
      <c r="U6" s="13" t="n"/>
      <c r="V6" s="17">
        <f>IF(U6&lt;&gt;"",U6,IF(AND(T6&lt;&gt;"",R6&lt;&gt;""),"11-결과등록완료",IF(AND(R6&lt;&gt;"",T6=""),"10-시험완료",IF(AND(P6&lt;&gt;"",R6=""),"09-시험준비중",IF(AND(N6&lt;&gt;"",P6=""),"08-단품준비완료",IF(L6="Approved","05-계획서승인",IF(L6="Revision Needed","04-검토중_보완",IF(L6="Under Review","03-검토중",IF(AND(K6&lt;&gt;"",L6=""),"02-제출_미검토","01-미제출")))))))))</f>
        <v/>
      </c>
      <c r="W6" s="18">
        <f>IFS(V6="01-미제출",0,V6="02-제출_미검토",0.05,V6="03-검토중",0.1,V6="04-검토중_보완",0.05,V6="05-계획서승인",0.2,V6="06-BIW중단",0.15,V6="07-미인수",0.3,V6="08-단품준비완료",0.4,V6="09-시험준비중",0.55,V6="10-시험완료",0.85,V6="11-결과등록완료",1,V6="12-조건부승인",0.9,TRUE,0)</f>
        <v/>
      </c>
      <c r="X6" s="5">
        <f>IF(T6&lt;&gt;"","-",IF(S6="","N/A",S6-TODAY()))</f>
        <v/>
      </c>
      <c r="Y6" s="17">
        <f>IF(V6="11-결과등록완료","DONE",IF(U6="06-BIW중단","BLOCKED",IF(AND(K6="",J6&lt;TODAY()),"CRITICAL",IF(AND(ISNUMBER(X6),X6&lt;=0),"OVERDUE",IF(AND(ISNUMBER(X6),X6&lt;=14),"WARNING",IF(U6&lt;&gt;"","ACTION","ON TRACK"))))))</f>
        <v/>
      </c>
      <c r="Z6" s="5">
        <f>IF(OR(T6&lt;&gt;"",R6&lt;&gt;"",P6&lt;&gt;"",N6&lt;&gt;"",K6&lt;&gt;""),TODAY()-MAX(T6,R6,P6,N6,K6),"—")</f>
        <v/>
      </c>
      <c r="AA6" s="19">
        <f>IF(V6="11-결과등록완료","— 완료",IF(V6="01-미제출",IF(J6&lt;TODAY(),"계획서 제출 독촉 (OVERDUE)","계획서 제출 대기"),IF(V6="02-제출_미검토","설계자: 계획서 검토 착수",IF(V6="03-검토중","설계자: 승인 처리",IF(V6="04-검토중_보완","보완 요청 → 협력사 재제출 독촉",IF(V6="05-계획서승인","시험편 준비 현황 확인",IF(V6="06-BIW중단","BIW 생산팀 확인 → 일정 재수립",IF(V6="07-미인수","협력사 인수 독촉",IF(V6="08-단품준비완료","시험 일정 확인",IF(V6="09-시험준비중","시험 진행 모니터링",IF(V6="10-시험완료","결과 보고서 전산 등록 독촉",IF(V6="12-조건부승인","조건부 승인 여부 판단 → 관련부서 협의","—"))))))))))))</f>
        <v/>
      </c>
      <c r="AB6" s="15" t="n"/>
    </row>
    <row r="7">
      <c r="A7" s="5" t="n">
        <v>3</v>
      </c>
      <c r="B7" s="13" t="inlineStr">
        <is>
          <t>AE_PE</t>
        </is>
      </c>
      <c r="C7" s="14">
        <f>IFERROR(VLOOKUP(D7,'Reference Data 기준데이터'!$A$30:$D$41,2,FALSE),"")</f>
        <v/>
      </c>
      <c r="D7" s="15" t="inlineStr">
        <is>
          <t>센터콘솔</t>
        </is>
      </c>
      <c r="E7" s="14">
        <f>IFERROR(VLOOKUP(D7,'Reference Data 기준데이터'!$A$30:$D$41,3,FALSE),"")</f>
        <v/>
      </c>
      <c r="F7" s="15" t="inlineStr">
        <is>
          <t>연소성 시험</t>
        </is>
      </c>
      <c r="G7" s="14">
        <f>IFERROR(VLOOKUP(F7,'Reference Data 기준데이터'!$A$9:$E$26,2,FALSE),"")</f>
        <v/>
      </c>
      <c r="H7" s="14">
        <f>IFERROR(VLOOKUP(F7,'Reference Data 기준데이터'!$A$9:$E$26,5,FALSE),"")</f>
        <v/>
      </c>
      <c r="I7" s="16">
        <f>IFERROR(VLOOKUP(B7,'Reference Data 기준데이터'!$A$3:$J$5,3,FALSE),"")</f>
        <v/>
      </c>
      <c r="J7" s="16">
        <f>IFERROR(I7+VLOOKUP(B7,'Reference Data 기준데이터'!$A$3:$J$5,7,FALSE),"")</f>
        <v/>
      </c>
      <c r="K7" s="20" t="n">
        <v>46050</v>
      </c>
      <c r="L7" s="13" t="inlineStr">
        <is>
          <t>Approved</t>
        </is>
      </c>
      <c r="M7" s="16">
        <f>IFERROR(I7+VLOOKUP(B7,'Reference Data 기준데이터'!$A$3:$J$5,8,FALSE),"")</f>
        <v/>
      </c>
      <c r="N7" s="20" t="n">
        <v>46085</v>
      </c>
      <c r="O7" s="16">
        <f>IFERROR(IF(G7="차량장착",MAX(I7+VLOOKUP(B7,'Reference Data 기준데이터'!$A$3:$J$5,9,FALSE),VLOOKUP(B7,'Reference Data 기준데이터'!$A$3:$J$5,4,FALSE)),I7+VLOOKUP(B7,'Reference Data 기준데이터'!$A$3:$J$5,9,FALSE)),"")</f>
        <v/>
      </c>
      <c r="P7" s="20" t="n">
        <v>46102</v>
      </c>
      <c r="Q7" s="16">
        <f>IFERROR(O7+VLOOKUP(F7,'Reference Data 기준데이터'!$A$9:$E$26,4,FALSE),"")</f>
        <v/>
      </c>
      <c r="R7" s="13" t="n"/>
      <c r="S7" s="16">
        <f>IFERROR(MIN(I7+VLOOKUP(B7,'Reference Data 기준데이터'!$A$3:$J$5,10,FALSE),VLOOKUP(B7,'Reference Data 기준데이터'!$A$3:$J$5,6,FALSE)),"")</f>
        <v/>
      </c>
      <c r="T7" s="13" t="n"/>
      <c r="U7" s="13" t="n"/>
      <c r="V7" s="17">
        <f>IF(U7&lt;&gt;"",U7,IF(AND(T7&lt;&gt;"",R7&lt;&gt;""),"11-결과등록완료",IF(AND(R7&lt;&gt;"",T7=""),"10-시험완료",IF(AND(P7&lt;&gt;"",R7=""),"09-시험준비중",IF(AND(N7&lt;&gt;"",P7=""),"08-단품준비완료",IF(L7="Approved","05-계획서승인",IF(L7="Revision Needed","04-검토중_보완",IF(L7="Under Review","03-검토중",IF(AND(K7&lt;&gt;"",L7=""),"02-제출_미검토","01-미제출")))))))))</f>
        <v/>
      </c>
      <c r="W7" s="18">
        <f>IFS(V7="01-미제출",0,V7="02-제출_미검토",0.05,V7="03-검토중",0.1,V7="04-검토중_보완",0.05,V7="05-계획서승인",0.2,V7="06-BIW중단",0.15,V7="07-미인수",0.3,V7="08-단품준비완료",0.4,V7="09-시험준비중",0.55,V7="10-시험완료",0.85,V7="11-결과등록완료",1,V7="12-조건부승인",0.9,TRUE,0)</f>
        <v/>
      </c>
      <c r="X7" s="5">
        <f>IF(T7&lt;&gt;"","-",IF(S7="","N/A",S7-TODAY()))</f>
        <v/>
      </c>
      <c r="Y7" s="17">
        <f>IF(V7="11-결과등록완료","DONE",IF(U7="06-BIW중단","BLOCKED",IF(AND(K7="",J7&lt;TODAY()),"CRITICAL",IF(AND(ISNUMBER(X7),X7&lt;=0),"OVERDUE",IF(AND(ISNUMBER(X7),X7&lt;=14),"WARNING",IF(U7&lt;&gt;"","ACTION","ON TRACK"))))))</f>
        <v/>
      </c>
      <c r="Z7" s="5">
        <f>IF(OR(T7&lt;&gt;"",R7&lt;&gt;"",P7&lt;&gt;"",N7&lt;&gt;"",K7&lt;&gt;""),TODAY()-MAX(T7,R7,P7,N7,K7),"—")</f>
        <v/>
      </c>
      <c r="AA7" s="19">
        <f>IF(V7="11-결과등록완료","— 완료",IF(V7="01-미제출",IF(J7&lt;TODAY(),"계획서 제출 독촉 (OVERDUE)","계획서 제출 대기"),IF(V7="02-제출_미검토","설계자: 계획서 검토 착수",IF(V7="03-검토중","설계자: 승인 처리",IF(V7="04-검토중_보완","보완 요청 → 협력사 재제출 독촉",IF(V7="05-계획서승인","시험편 준비 현황 확인",IF(V7="06-BIW중단","BIW 생산팀 확인 → 일정 재수립",IF(V7="07-미인수","협력사 인수 독촉",IF(V7="08-단품준비완료","시험 일정 확인",IF(V7="09-시험준비중","시험 진행 모니터링",IF(V7="10-시험완료","결과 보고서 전산 등록 독촉",IF(V7="12-조건부승인","조건부 승인 여부 판단 → 관련부서 협의","—"))))))))))))</f>
        <v/>
      </c>
      <c r="AB7" s="15" t="n"/>
    </row>
    <row r="8">
      <c r="A8" s="5" t="n">
        <v>4</v>
      </c>
      <c r="B8" s="13" t="inlineStr">
        <is>
          <t>AE_PE</t>
        </is>
      </c>
      <c r="C8" s="14">
        <f>IFERROR(VLOOKUP(D8,'Reference Data 기준데이터'!$A$30:$D$41,2,FALSE),"")</f>
        <v/>
      </c>
      <c r="D8" s="15" t="inlineStr">
        <is>
          <t>센터콘솔</t>
        </is>
      </c>
      <c r="E8" s="14">
        <f>IFERROR(VLOOKUP(D8,'Reference Data 기준데이터'!$A$30:$D$41,3,FALSE),"")</f>
        <v/>
      </c>
      <c r="F8" s="15" t="inlineStr">
        <is>
          <t>BSR 시험</t>
        </is>
      </c>
      <c r="G8" s="14">
        <f>IFERROR(VLOOKUP(F8,'Reference Data 기준데이터'!$A$9:$E$26,2,FALSE),"")</f>
        <v/>
      </c>
      <c r="H8" s="14">
        <f>IFERROR(VLOOKUP(F8,'Reference Data 기준데이터'!$A$9:$E$26,5,FALSE),"")</f>
        <v/>
      </c>
      <c r="I8" s="16">
        <f>IFERROR(VLOOKUP(B8,'Reference Data 기준데이터'!$A$3:$J$5,3,FALSE),"")</f>
        <v/>
      </c>
      <c r="J8" s="16">
        <f>IFERROR(I8+VLOOKUP(B8,'Reference Data 기준데이터'!$A$3:$J$5,7,FALSE),"")</f>
        <v/>
      </c>
      <c r="K8" s="20" t="n">
        <v>46051</v>
      </c>
      <c r="L8" s="13" t="inlineStr">
        <is>
          <t>Approved</t>
        </is>
      </c>
      <c r="M8" s="16">
        <f>IFERROR(I8+VLOOKUP(B8,'Reference Data 기준데이터'!$A$3:$J$5,8,FALSE),"")</f>
        <v/>
      </c>
      <c r="N8" s="20" t="n">
        <v>46086</v>
      </c>
      <c r="O8" s="16">
        <f>IFERROR(IF(G8="차량장착",MAX(I8+VLOOKUP(B8,'Reference Data 기준데이터'!$A$3:$J$5,9,FALSE),VLOOKUP(B8,'Reference Data 기준데이터'!$A$3:$J$5,4,FALSE)),I8+VLOOKUP(B8,'Reference Data 기준데이터'!$A$3:$J$5,9,FALSE)),"")</f>
        <v/>
      </c>
      <c r="P8" s="20" t="n">
        <v>46103</v>
      </c>
      <c r="Q8" s="16">
        <f>IFERROR(O8+VLOOKUP(F8,'Reference Data 기준데이터'!$A$9:$E$26,4,FALSE),"")</f>
        <v/>
      </c>
      <c r="R8" s="20" t="n">
        <v>46126</v>
      </c>
      <c r="S8" s="16">
        <f>IFERROR(MIN(I8+VLOOKUP(B8,'Reference Data 기준데이터'!$A$3:$J$5,10,FALSE),VLOOKUP(B8,'Reference Data 기준데이터'!$A$3:$J$5,6,FALSE)),"")</f>
        <v/>
      </c>
      <c r="T8" s="20" t="n">
        <v>46130</v>
      </c>
      <c r="U8" s="13" t="n"/>
      <c r="V8" s="17">
        <f>IF(U8&lt;&gt;"",U8,IF(AND(T8&lt;&gt;"",R8&lt;&gt;""),"11-결과등록완료",IF(AND(R8&lt;&gt;"",T8=""),"10-시험완료",IF(AND(P8&lt;&gt;"",R8=""),"09-시험준비중",IF(AND(N8&lt;&gt;"",P8=""),"08-단품준비완료",IF(L8="Approved","05-계획서승인",IF(L8="Revision Needed","04-검토중_보완",IF(L8="Under Review","03-검토중",IF(AND(K8&lt;&gt;"",L8=""),"02-제출_미검토","01-미제출")))))))))</f>
        <v/>
      </c>
      <c r="W8" s="18">
        <f>IFS(V8="01-미제출",0,V8="02-제출_미검토",0.05,V8="03-검토중",0.1,V8="04-검토중_보완",0.05,V8="05-계획서승인",0.2,V8="06-BIW중단",0.15,V8="07-미인수",0.3,V8="08-단품준비완료",0.4,V8="09-시험준비중",0.55,V8="10-시험완료",0.85,V8="11-결과등록완료",1,V8="12-조건부승인",0.9,TRUE,0)</f>
        <v/>
      </c>
      <c r="X8" s="5">
        <f>IF(T8&lt;&gt;"","-",IF(S8="","N/A",S8-TODAY()))</f>
        <v/>
      </c>
      <c r="Y8" s="17">
        <f>IF(V8="11-결과등록완료","DONE",IF(U8="06-BIW중단","BLOCKED",IF(AND(K8="",J8&lt;TODAY()),"CRITICAL",IF(AND(ISNUMBER(X8),X8&lt;=0),"OVERDUE",IF(AND(ISNUMBER(X8),X8&lt;=14),"WARNING",IF(U8&lt;&gt;"","ACTION","ON TRACK"))))))</f>
        <v/>
      </c>
      <c r="Z8" s="5">
        <f>IF(OR(T8&lt;&gt;"",R8&lt;&gt;"",P8&lt;&gt;"",N8&lt;&gt;"",K8&lt;&gt;""),TODAY()-MAX(T8,R8,P8,N8,K8),"—")</f>
        <v/>
      </c>
      <c r="AA8" s="19">
        <f>IF(V8="11-결과등록완료","— 완료",IF(V8="01-미제출",IF(J8&lt;TODAY(),"계획서 제출 독촉 (OVERDUE)","계획서 제출 대기"),IF(V8="02-제출_미검토","설계자: 계획서 검토 착수",IF(V8="03-검토중","설계자: 승인 처리",IF(V8="04-검토중_보완","보완 요청 → 협력사 재제출 독촉",IF(V8="05-계획서승인","시험편 준비 현황 확인",IF(V8="06-BIW중단","BIW 생산팀 확인 → 일정 재수립",IF(V8="07-미인수","협력사 인수 독촉",IF(V8="08-단품준비완료","시험 일정 확인",IF(V8="09-시험준비중","시험 진행 모니터링",IF(V8="10-시험완료","결과 보고서 전산 등록 독촉",IF(V8="12-조건부승인","조건부 승인 여부 판단 → 관련부서 협의","—"))))))))))))</f>
        <v/>
      </c>
      <c r="AB8" s="15" t="n"/>
    </row>
    <row r="9">
      <c r="A9" s="5" t="n">
        <v>5</v>
      </c>
      <c r="B9" s="13" t="inlineStr">
        <is>
          <t>AE_PE</t>
        </is>
      </c>
      <c r="C9" s="14">
        <f>IFERROR(VLOOKUP(D9,'Reference Data 기준데이터'!$A$30:$D$41,2,FALSE),"")</f>
        <v/>
      </c>
      <c r="D9" s="15" t="inlineStr">
        <is>
          <t>센터콘솔</t>
        </is>
      </c>
      <c r="E9" s="14">
        <f>IFERROR(VLOOKUP(D9,'Reference Data 기준데이터'!$A$30:$D$41,3,FALSE),"")</f>
        <v/>
      </c>
      <c r="F9" s="15" t="inlineStr">
        <is>
          <t>치수 검사</t>
        </is>
      </c>
      <c r="G9" s="14">
        <f>IFERROR(VLOOKUP(F9,'Reference Data 기준데이터'!$A$9:$E$26,2,FALSE),"")</f>
        <v/>
      </c>
      <c r="H9" s="14">
        <f>IFERROR(VLOOKUP(F9,'Reference Data 기준데이터'!$A$9:$E$26,5,FALSE),"")</f>
        <v/>
      </c>
      <c r="I9" s="16">
        <f>IFERROR(VLOOKUP(B9,'Reference Data 기준데이터'!$A$3:$J$5,3,FALSE),"")</f>
        <v/>
      </c>
      <c r="J9" s="16">
        <f>IFERROR(I9+VLOOKUP(B9,'Reference Data 기준데이터'!$A$3:$J$5,7,FALSE),"")</f>
        <v/>
      </c>
      <c r="K9" s="20" t="n">
        <v>46047</v>
      </c>
      <c r="L9" s="13" t="inlineStr">
        <is>
          <t>Under Review</t>
        </is>
      </c>
      <c r="M9" s="16">
        <f>IFERROR(I9+VLOOKUP(B9,'Reference Data 기준데이터'!$A$3:$J$5,8,FALSE),"")</f>
        <v/>
      </c>
      <c r="N9" s="13" t="n"/>
      <c r="O9" s="16">
        <f>IFERROR(IF(G9="차량장착",MAX(I9+VLOOKUP(B9,'Reference Data 기준데이터'!$A$3:$J$5,9,FALSE),VLOOKUP(B9,'Reference Data 기준데이터'!$A$3:$J$5,4,FALSE)),I9+VLOOKUP(B9,'Reference Data 기준데이터'!$A$3:$J$5,9,FALSE)),"")</f>
        <v/>
      </c>
      <c r="P9" s="13" t="n"/>
      <c r="Q9" s="16">
        <f>IFERROR(O9+VLOOKUP(F9,'Reference Data 기준데이터'!$A$9:$E$26,4,FALSE),"")</f>
        <v/>
      </c>
      <c r="R9" s="13" t="n"/>
      <c r="S9" s="16">
        <f>IFERROR(MIN(I9+VLOOKUP(B9,'Reference Data 기준데이터'!$A$3:$J$5,10,FALSE),VLOOKUP(B9,'Reference Data 기준데이터'!$A$3:$J$5,6,FALSE)),"")</f>
        <v/>
      </c>
      <c r="T9" s="13" t="n"/>
      <c r="U9" s="13" t="n"/>
      <c r="V9" s="17">
        <f>IF(U9&lt;&gt;"",U9,IF(AND(T9&lt;&gt;"",R9&lt;&gt;""),"11-결과등록완료",IF(AND(R9&lt;&gt;"",T9=""),"10-시험완료",IF(AND(P9&lt;&gt;"",R9=""),"09-시험준비중",IF(AND(N9&lt;&gt;"",P9=""),"08-단품준비완료",IF(L9="Approved","05-계획서승인",IF(L9="Revision Needed","04-검토중_보완",IF(L9="Under Review","03-검토중",IF(AND(K9&lt;&gt;"",L9=""),"02-제출_미검토","01-미제출")))))))))</f>
        <v/>
      </c>
      <c r="W9" s="18">
        <f>IFS(V9="01-미제출",0,V9="02-제출_미검토",0.05,V9="03-검토중",0.1,V9="04-검토중_보완",0.05,V9="05-계획서승인",0.2,V9="06-BIW중단",0.15,V9="07-미인수",0.3,V9="08-단품준비완료",0.4,V9="09-시험준비중",0.55,V9="10-시험완료",0.85,V9="11-결과등록완료",1,V9="12-조건부승인",0.9,TRUE,0)</f>
        <v/>
      </c>
      <c r="X9" s="5">
        <f>IF(T9&lt;&gt;"","-",IF(S9="","N/A",S9-TODAY()))</f>
        <v/>
      </c>
      <c r="Y9" s="17">
        <f>IF(V9="11-결과등록완료","DONE",IF(U9="06-BIW중단","BLOCKED",IF(AND(K9="",J9&lt;TODAY()),"CRITICAL",IF(AND(ISNUMBER(X9),X9&lt;=0),"OVERDUE",IF(AND(ISNUMBER(X9),X9&lt;=14),"WARNING",IF(U9&lt;&gt;"","ACTION","ON TRACK"))))))</f>
        <v/>
      </c>
      <c r="Z9" s="5">
        <f>IF(OR(T9&lt;&gt;"",R9&lt;&gt;"",P9&lt;&gt;"",N9&lt;&gt;"",K9&lt;&gt;""),TODAY()-MAX(T9,R9,P9,N9,K9),"—")</f>
        <v/>
      </c>
      <c r="AA9" s="19">
        <f>IF(V9="11-결과등록완료","— 완료",IF(V9="01-미제출",IF(J9&lt;TODAY(),"계획서 제출 독촉 (OVERDUE)","계획서 제출 대기"),IF(V9="02-제출_미검토","설계자: 계획서 검토 착수",IF(V9="03-검토중","설계자: 승인 처리",IF(V9="04-검토중_보완","보완 요청 → 협력사 재제출 독촉",IF(V9="05-계획서승인","시험편 준비 현황 확인",IF(V9="06-BIW중단","BIW 생산팀 확인 → 일정 재수립",IF(V9="07-미인수","협력사 인수 독촉",IF(V9="08-단품준비완료","시험 일정 확인",IF(V9="09-시험준비중","시험 진행 모니터링",IF(V9="10-시험완료","결과 보고서 전산 등록 독촉",IF(V9="12-조건부승인","조건부 승인 여부 판단 → 관련부서 협의","—"))))))))))))</f>
        <v/>
      </c>
      <c r="AB9" s="15" t="n"/>
    </row>
    <row r="10">
      <c r="A10" s="5" t="n">
        <v>6</v>
      </c>
      <c r="B10" s="13" t="inlineStr">
        <is>
          <t>AE_PE</t>
        </is>
      </c>
      <c r="C10" s="14">
        <f>IFERROR(VLOOKUP(D10,'Reference Data 기준데이터'!$A$30:$D$41,2,FALSE),"")</f>
        <v/>
      </c>
      <c r="D10" s="15" t="inlineStr">
        <is>
          <t>콘솔리드</t>
        </is>
      </c>
      <c r="E10" s="14">
        <f>IFERROR(VLOOKUP(D10,'Reference Data 기준데이터'!$A$30:$D$41,3,FALSE),"")</f>
        <v/>
      </c>
      <c r="F10" s="15" t="inlineStr">
        <is>
          <t>EMC 시험</t>
        </is>
      </c>
      <c r="G10" s="14">
        <f>IFERROR(VLOOKUP(F10,'Reference Data 기준데이터'!$A$9:$E$26,2,FALSE),"")</f>
        <v/>
      </c>
      <c r="H10" s="14">
        <f>IFERROR(VLOOKUP(F10,'Reference Data 기준데이터'!$A$9:$E$26,5,FALSE),"")</f>
        <v/>
      </c>
      <c r="I10" s="16">
        <f>IFERROR(VLOOKUP(B10,'Reference Data 기준데이터'!$A$3:$J$5,3,FALSE),"")</f>
        <v/>
      </c>
      <c r="J10" s="16">
        <f>IFERROR(I10+VLOOKUP(B10,'Reference Data 기준데이터'!$A$3:$J$5,7,FALSE),"")</f>
        <v/>
      </c>
      <c r="K10" s="20" t="n">
        <v>46048</v>
      </c>
      <c r="L10" s="13" t="n"/>
      <c r="M10" s="16">
        <f>IFERROR(I10+VLOOKUP(B10,'Reference Data 기준데이터'!$A$3:$J$5,8,FALSE),"")</f>
        <v/>
      </c>
      <c r="N10" s="13" t="n"/>
      <c r="O10" s="16">
        <f>IFERROR(IF(G10="차량장착",MAX(I10+VLOOKUP(B10,'Reference Data 기준데이터'!$A$3:$J$5,9,FALSE),VLOOKUP(B10,'Reference Data 기준데이터'!$A$3:$J$5,4,FALSE)),I10+VLOOKUP(B10,'Reference Data 기준데이터'!$A$3:$J$5,9,FALSE)),"")</f>
        <v/>
      </c>
      <c r="P10" s="13" t="n"/>
      <c r="Q10" s="16">
        <f>IFERROR(O10+VLOOKUP(F10,'Reference Data 기준데이터'!$A$9:$E$26,4,FALSE),"")</f>
        <v/>
      </c>
      <c r="R10" s="13" t="n"/>
      <c r="S10" s="16">
        <f>IFERROR(MIN(I10+VLOOKUP(B10,'Reference Data 기준데이터'!$A$3:$J$5,10,FALSE),VLOOKUP(B10,'Reference Data 기준데이터'!$A$3:$J$5,6,FALSE)),"")</f>
        <v/>
      </c>
      <c r="T10" s="13" t="n"/>
      <c r="U10" s="13" t="n"/>
      <c r="V10" s="17">
        <f>IF(U10&lt;&gt;"",U10,IF(AND(T10&lt;&gt;"",R10&lt;&gt;""),"11-결과등록완료",IF(AND(R10&lt;&gt;"",T10=""),"10-시험완료",IF(AND(P10&lt;&gt;"",R10=""),"09-시험준비중",IF(AND(N10&lt;&gt;"",P10=""),"08-단품준비완료",IF(L10="Approved","05-계획서승인",IF(L10="Revision Needed","04-검토중_보완",IF(L10="Under Review","03-검토중",IF(AND(K10&lt;&gt;"",L10=""),"02-제출_미검토","01-미제출")))))))))</f>
        <v/>
      </c>
      <c r="W10" s="18">
        <f>IFS(V10="01-미제출",0,V10="02-제출_미검토",0.05,V10="03-검토중",0.1,V10="04-검토중_보완",0.05,V10="05-계획서승인",0.2,V10="06-BIW중단",0.15,V10="07-미인수",0.3,V10="08-단품준비완료",0.4,V10="09-시험준비중",0.55,V10="10-시험완료",0.85,V10="11-결과등록완료",1,V10="12-조건부승인",0.9,TRUE,0)</f>
        <v/>
      </c>
      <c r="X10" s="5">
        <f>IF(T10&lt;&gt;"","-",IF(S10="","N/A",S10-TODAY()))</f>
        <v/>
      </c>
      <c r="Y10" s="17">
        <f>IF(V10="11-결과등록완료","DONE",IF(U10="06-BIW중단","BLOCKED",IF(AND(K10="",J10&lt;TODAY()),"CRITICAL",IF(AND(ISNUMBER(X10),X10&lt;=0),"OVERDUE",IF(AND(ISNUMBER(X10),X10&lt;=14),"WARNING",IF(U10&lt;&gt;"","ACTION","ON TRACK"))))))</f>
        <v/>
      </c>
      <c r="Z10" s="5">
        <f>IF(OR(T10&lt;&gt;"",R10&lt;&gt;"",P10&lt;&gt;"",N10&lt;&gt;"",K10&lt;&gt;""),TODAY()-MAX(T10,R10,P10,N10,K10),"—")</f>
        <v/>
      </c>
      <c r="AA10" s="19">
        <f>IF(V10="11-결과등록완료","— 완료",IF(V10="01-미제출",IF(J10&lt;TODAY(),"계획서 제출 독촉 (OVERDUE)","계획서 제출 대기"),IF(V10="02-제출_미검토","설계자: 계획서 검토 착수",IF(V10="03-검토중","설계자: 승인 처리",IF(V10="04-검토중_보완","보완 요청 → 협력사 재제출 독촉",IF(V10="05-계획서승인","시험편 준비 현황 확인",IF(V10="06-BIW중단","BIW 생산팀 확인 → 일정 재수립",IF(V10="07-미인수","협력사 인수 독촉",IF(V10="08-단품준비완료","시험 일정 확인",IF(V10="09-시험준비중","시험 진행 모니터링",IF(V10="10-시험완료","결과 보고서 전산 등록 독촉",IF(V10="12-조건부승인","조건부 승인 여부 판단 → 관련부서 협의","—"))))))))))))</f>
        <v/>
      </c>
      <c r="AB10" s="15" t="n"/>
    </row>
    <row r="11">
      <c r="A11" s="5" t="n">
        <v>7</v>
      </c>
      <c r="B11" s="13" t="inlineStr">
        <is>
          <t>AE_PE</t>
        </is>
      </c>
      <c r="C11" s="14">
        <f>IFERROR(VLOOKUP(D11,'Reference Data 기준데이터'!$A$30:$D$41,2,FALSE),"")</f>
        <v/>
      </c>
      <c r="D11" s="15" t="inlineStr">
        <is>
          <t>콘솔리드</t>
        </is>
      </c>
      <c r="E11" s="14">
        <f>IFERROR(VLOOKUP(D11,'Reference Data 기준데이터'!$A$30:$D$41,3,FALSE),"")</f>
        <v/>
      </c>
      <c r="F11" s="15" t="inlineStr">
        <is>
          <t>VOC 방출 시험</t>
        </is>
      </c>
      <c r="G11" s="14">
        <f>IFERROR(VLOOKUP(F11,'Reference Data 기준데이터'!$A$9:$E$26,2,FALSE),"")</f>
        <v/>
      </c>
      <c r="H11" s="14">
        <f>IFERROR(VLOOKUP(F11,'Reference Data 기준데이터'!$A$9:$E$26,5,FALSE),"")</f>
        <v/>
      </c>
      <c r="I11" s="16">
        <f>IFERROR(VLOOKUP(B11,'Reference Data 기준데이터'!$A$3:$J$5,3,FALSE),"")</f>
        <v/>
      </c>
      <c r="J11" s="16">
        <f>IFERROR(I11+VLOOKUP(B11,'Reference Data 기준데이터'!$A$3:$J$5,7,FALSE),"")</f>
        <v/>
      </c>
      <c r="K11" s="20" t="n">
        <v>46049</v>
      </c>
      <c r="L11" s="13" t="inlineStr">
        <is>
          <t>Approved</t>
        </is>
      </c>
      <c r="M11" s="16">
        <f>IFERROR(I11+VLOOKUP(B11,'Reference Data 기준데이터'!$A$3:$J$5,8,FALSE),"")</f>
        <v/>
      </c>
      <c r="N11" s="20" t="n">
        <v>46089</v>
      </c>
      <c r="O11" s="16">
        <f>IFERROR(IF(G11="차량장착",MAX(I11+VLOOKUP(B11,'Reference Data 기준데이터'!$A$3:$J$5,9,FALSE),VLOOKUP(B11,'Reference Data 기준데이터'!$A$3:$J$5,4,FALSE)),I11+VLOOKUP(B11,'Reference Data 기준데이터'!$A$3:$J$5,9,FALSE)),"")</f>
        <v/>
      </c>
      <c r="P11" s="13" t="n"/>
      <c r="Q11" s="16">
        <f>IFERROR(O11+VLOOKUP(F11,'Reference Data 기준데이터'!$A$9:$E$26,4,FALSE),"")</f>
        <v/>
      </c>
      <c r="R11" s="13" t="n"/>
      <c r="S11" s="16">
        <f>IFERROR(MIN(I11+VLOOKUP(B11,'Reference Data 기준데이터'!$A$3:$J$5,10,FALSE),VLOOKUP(B11,'Reference Data 기준데이터'!$A$3:$J$5,6,FALSE)),"")</f>
        <v/>
      </c>
      <c r="T11" s="13" t="n"/>
      <c r="U11" s="13" t="n"/>
      <c r="V11" s="17">
        <f>IF(U11&lt;&gt;"",U11,IF(AND(T11&lt;&gt;"",R11&lt;&gt;""),"11-결과등록완료",IF(AND(R11&lt;&gt;"",T11=""),"10-시험완료",IF(AND(P11&lt;&gt;"",R11=""),"09-시험준비중",IF(AND(N11&lt;&gt;"",P11=""),"08-단품준비완료",IF(L11="Approved","05-계획서승인",IF(L11="Revision Needed","04-검토중_보완",IF(L11="Under Review","03-검토중",IF(AND(K11&lt;&gt;"",L11=""),"02-제출_미검토","01-미제출")))))))))</f>
        <v/>
      </c>
      <c r="W11" s="18">
        <f>IFS(V11="01-미제출",0,V11="02-제출_미검토",0.05,V11="03-검토중",0.1,V11="04-검토중_보완",0.05,V11="05-계획서승인",0.2,V11="06-BIW중단",0.15,V11="07-미인수",0.3,V11="08-단품준비완료",0.4,V11="09-시험준비중",0.55,V11="10-시험완료",0.85,V11="11-결과등록완료",1,V11="12-조건부승인",0.9,TRUE,0)</f>
        <v/>
      </c>
      <c r="X11" s="5">
        <f>IF(T11&lt;&gt;"","-",IF(S11="","N/A",S11-TODAY()))</f>
        <v/>
      </c>
      <c r="Y11" s="17">
        <f>IF(V11="11-결과등록완료","DONE",IF(U11="06-BIW중단","BLOCKED",IF(AND(K11="",J11&lt;TODAY()),"CRITICAL",IF(AND(ISNUMBER(X11),X11&lt;=0),"OVERDUE",IF(AND(ISNUMBER(X11),X11&lt;=14),"WARNING",IF(U11&lt;&gt;"","ACTION","ON TRACK"))))))</f>
        <v/>
      </c>
      <c r="Z11" s="5">
        <f>IF(OR(T11&lt;&gt;"",R11&lt;&gt;"",P11&lt;&gt;"",N11&lt;&gt;"",K11&lt;&gt;""),TODAY()-MAX(T11,R11,P11,N11,K11),"—")</f>
        <v/>
      </c>
      <c r="AA11" s="19">
        <f>IF(V11="11-결과등록완료","— 완료",IF(V11="01-미제출",IF(J11&lt;TODAY(),"계획서 제출 독촉 (OVERDUE)","계획서 제출 대기"),IF(V11="02-제출_미검토","설계자: 계획서 검토 착수",IF(V11="03-검토중","설계자: 승인 처리",IF(V11="04-검토중_보완","보완 요청 → 협력사 재제출 독촉",IF(V11="05-계획서승인","시험편 준비 현황 확인",IF(V11="06-BIW중단","BIW 생산팀 확인 → 일정 재수립",IF(V11="07-미인수","협력사 인수 독촉",IF(V11="08-단품준비완료","시험 일정 확인",IF(V11="09-시험준비중","시험 진행 모니터링",IF(V11="10-시험완료","결과 보고서 전산 등록 독촉",IF(V11="12-조건부승인","조건부 승인 여부 판단 → 관련부서 협의","—"))))))))))))</f>
        <v/>
      </c>
      <c r="AB11" s="15" t="n"/>
    </row>
    <row r="12">
      <c r="A12" s="5" t="n">
        <v>8</v>
      </c>
      <c r="B12" s="13" t="inlineStr">
        <is>
          <t>AE_PE</t>
        </is>
      </c>
      <c r="C12" s="14">
        <f>IFERROR(VLOOKUP(D12,'Reference Data 기준데이터'!$A$30:$D$41,2,FALSE),"")</f>
        <v/>
      </c>
      <c r="D12" s="15" t="inlineStr">
        <is>
          <t>콘솔리드</t>
        </is>
      </c>
      <c r="E12" s="14">
        <f>IFERROR(VLOOKUP(D12,'Reference Data 기준데이터'!$A$30:$D$41,3,FALSE),"")</f>
        <v/>
      </c>
      <c r="F12" s="15" t="inlineStr">
        <is>
          <t>연소성 시험</t>
        </is>
      </c>
      <c r="G12" s="14">
        <f>IFERROR(VLOOKUP(F12,'Reference Data 기준데이터'!$A$9:$E$26,2,FALSE),"")</f>
        <v/>
      </c>
      <c r="H12" s="14">
        <f>IFERROR(VLOOKUP(F12,'Reference Data 기준데이터'!$A$9:$E$26,5,FALSE),"")</f>
        <v/>
      </c>
      <c r="I12" s="16">
        <f>IFERROR(VLOOKUP(B12,'Reference Data 기준데이터'!$A$3:$J$5,3,FALSE),"")</f>
        <v/>
      </c>
      <c r="J12" s="16">
        <f>IFERROR(I12+VLOOKUP(B12,'Reference Data 기준데이터'!$A$3:$J$5,7,FALSE),"")</f>
        <v/>
      </c>
      <c r="K12" s="20" t="n">
        <v>46050</v>
      </c>
      <c r="L12" s="13" t="inlineStr">
        <is>
          <t>Approved</t>
        </is>
      </c>
      <c r="M12" s="16">
        <f>IFERROR(I12+VLOOKUP(B12,'Reference Data 기준데이터'!$A$3:$J$5,8,FALSE),"")</f>
        <v/>
      </c>
      <c r="N12" s="20" t="n">
        <v>46082</v>
      </c>
      <c r="O12" s="16">
        <f>IFERROR(IF(G12="차량장착",MAX(I12+VLOOKUP(B12,'Reference Data 기준데이터'!$A$3:$J$5,9,FALSE),VLOOKUP(B12,'Reference Data 기준데이터'!$A$3:$J$5,4,FALSE)),I12+VLOOKUP(B12,'Reference Data 기준데이터'!$A$3:$J$5,9,FALSE)),"")</f>
        <v/>
      </c>
      <c r="P12" s="20" t="n">
        <v>46101</v>
      </c>
      <c r="Q12" s="16">
        <f>IFERROR(O12+VLOOKUP(F12,'Reference Data 기준데이터'!$A$9:$E$26,4,FALSE),"")</f>
        <v/>
      </c>
      <c r="R12" s="20" t="n">
        <v>46123</v>
      </c>
      <c r="S12" s="16">
        <f>IFERROR(MIN(I12+VLOOKUP(B12,'Reference Data 기준데이터'!$A$3:$J$5,10,FALSE),VLOOKUP(B12,'Reference Data 기준데이터'!$A$3:$J$5,6,FALSE)),"")</f>
        <v/>
      </c>
      <c r="T12" s="13" t="n"/>
      <c r="U12" s="13" t="n"/>
      <c r="V12" s="17">
        <f>IF(U12&lt;&gt;"",U12,IF(AND(T12&lt;&gt;"",R12&lt;&gt;""),"11-결과등록완료",IF(AND(R12&lt;&gt;"",T12=""),"10-시험완료",IF(AND(P12&lt;&gt;"",R12=""),"09-시험준비중",IF(AND(N12&lt;&gt;"",P12=""),"08-단품준비완료",IF(L12="Approved","05-계획서승인",IF(L12="Revision Needed","04-검토중_보완",IF(L12="Under Review","03-검토중",IF(AND(K12&lt;&gt;"",L12=""),"02-제출_미검토","01-미제출")))))))))</f>
        <v/>
      </c>
      <c r="W12" s="18">
        <f>IFS(V12="01-미제출",0,V12="02-제출_미검토",0.05,V12="03-검토중",0.1,V12="04-검토중_보완",0.05,V12="05-계획서승인",0.2,V12="06-BIW중단",0.15,V12="07-미인수",0.3,V12="08-단품준비완료",0.4,V12="09-시험준비중",0.55,V12="10-시험완료",0.85,V12="11-결과등록완료",1,V12="12-조건부승인",0.9,TRUE,0)</f>
        <v/>
      </c>
      <c r="X12" s="5">
        <f>IF(T12&lt;&gt;"","-",IF(S12="","N/A",S12-TODAY()))</f>
        <v/>
      </c>
      <c r="Y12" s="17">
        <f>IF(V12="11-결과등록완료","DONE",IF(U12="06-BIW중단","BLOCKED",IF(AND(K12="",J12&lt;TODAY()),"CRITICAL",IF(AND(ISNUMBER(X12),X12&lt;=0),"OVERDUE",IF(AND(ISNUMBER(X12),X12&lt;=14),"WARNING",IF(U12&lt;&gt;"","ACTION","ON TRACK"))))))</f>
        <v/>
      </c>
      <c r="Z12" s="5">
        <f>IF(OR(T12&lt;&gt;"",R12&lt;&gt;"",P12&lt;&gt;"",N12&lt;&gt;"",K12&lt;&gt;""),TODAY()-MAX(T12,R12,P12,N12,K12),"—")</f>
        <v/>
      </c>
      <c r="AA12" s="19">
        <f>IF(V12="11-결과등록완료","— 완료",IF(V12="01-미제출",IF(J12&lt;TODAY(),"계획서 제출 독촉 (OVERDUE)","계획서 제출 대기"),IF(V12="02-제출_미검토","설계자: 계획서 검토 착수",IF(V12="03-검토중","설계자: 승인 처리",IF(V12="04-검토중_보완","보완 요청 → 협력사 재제출 독촉",IF(V12="05-계획서승인","시험편 준비 현황 확인",IF(V12="06-BIW중단","BIW 생산팀 확인 → 일정 재수립",IF(V12="07-미인수","협력사 인수 독촉",IF(V12="08-단품준비완료","시험 일정 확인",IF(V12="09-시험준비중","시험 진행 모니터링",IF(V12="10-시험완료","결과 보고서 전산 등록 독촉",IF(V12="12-조건부승인","조건부 승인 여부 판단 → 관련부서 협의","—"))))))))))))</f>
        <v/>
      </c>
      <c r="AB12" s="15" t="n"/>
    </row>
    <row r="13">
      <c r="A13" s="5" t="n">
        <v>9</v>
      </c>
      <c r="B13" s="13" t="inlineStr">
        <is>
          <t>AE_PE</t>
        </is>
      </c>
      <c r="C13" s="14">
        <f>IFERROR(VLOOKUP(D13,'Reference Data 기준데이터'!$A$30:$D$41,2,FALSE),"")</f>
        <v/>
      </c>
      <c r="D13" s="15" t="inlineStr">
        <is>
          <t>콘솔리드</t>
        </is>
      </c>
      <c r="E13" s="14">
        <f>IFERROR(VLOOKUP(D13,'Reference Data 기준데이터'!$A$30:$D$41,3,FALSE),"")</f>
        <v/>
      </c>
      <c r="F13" s="15" t="inlineStr">
        <is>
          <t>힌지 내구 시험</t>
        </is>
      </c>
      <c r="G13" s="14">
        <f>IFERROR(VLOOKUP(F13,'Reference Data 기준데이터'!$A$9:$E$26,2,FALSE),"")</f>
        <v/>
      </c>
      <c r="H13" s="14">
        <f>IFERROR(VLOOKUP(F13,'Reference Data 기준데이터'!$A$9:$E$26,5,FALSE),"")</f>
        <v/>
      </c>
      <c r="I13" s="16">
        <f>IFERROR(VLOOKUP(B13,'Reference Data 기준데이터'!$A$3:$J$5,3,FALSE),"")</f>
        <v/>
      </c>
      <c r="J13" s="16">
        <f>IFERROR(I13+VLOOKUP(B13,'Reference Data 기준데이터'!$A$3:$J$5,7,FALSE),"")</f>
        <v/>
      </c>
      <c r="K13" s="20" t="n">
        <v>46051</v>
      </c>
      <c r="L13" s="13" t="inlineStr">
        <is>
          <t>Approved</t>
        </is>
      </c>
      <c r="M13" s="16">
        <f>IFERROR(I13+VLOOKUP(B13,'Reference Data 기준데이터'!$A$3:$J$5,8,FALSE),"")</f>
        <v/>
      </c>
      <c r="N13" s="13" t="n"/>
      <c r="O13" s="16">
        <f>IFERROR(IF(G13="차량장착",MAX(I13+VLOOKUP(B13,'Reference Data 기준데이터'!$A$3:$J$5,9,FALSE),VLOOKUP(B13,'Reference Data 기준데이터'!$A$3:$J$5,4,FALSE)),I13+VLOOKUP(B13,'Reference Data 기준데이터'!$A$3:$J$5,9,FALSE)),"")</f>
        <v/>
      </c>
      <c r="P13" s="13" t="n"/>
      <c r="Q13" s="16">
        <f>IFERROR(O13+VLOOKUP(F13,'Reference Data 기준데이터'!$A$9:$E$26,4,FALSE),"")</f>
        <v/>
      </c>
      <c r="R13" s="13" t="n"/>
      <c r="S13" s="16">
        <f>IFERROR(MIN(I13+VLOOKUP(B13,'Reference Data 기준데이터'!$A$3:$J$5,10,FALSE),VLOOKUP(B13,'Reference Data 기준데이터'!$A$3:$J$5,6,FALSE)),"")</f>
        <v/>
      </c>
      <c r="T13" s="13" t="n"/>
      <c r="U13" s="13" t="inlineStr">
        <is>
          <t>06-BIW중단</t>
        </is>
      </c>
      <c r="V13" s="17">
        <f>IF(U13&lt;&gt;"",U13,IF(AND(T13&lt;&gt;"",R13&lt;&gt;""),"11-결과등록완료",IF(AND(R13&lt;&gt;"",T13=""),"10-시험완료",IF(AND(P13&lt;&gt;"",R13=""),"09-시험준비중",IF(AND(N13&lt;&gt;"",P13=""),"08-단품준비완료",IF(L13="Approved","05-계획서승인",IF(L13="Revision Needed","04-검토중_보완",IF(L13="Under Review","03-검토중",IF(AND(K13&lt;&gt;"",L13=""),"02-제출_미검토","01-미제출")))))))))</f>
        <v/>
      </c>
      <c r="W13" s="18">
        <f>IFS(V13="01-미제출",0,V13="02-제출_미검토",0.05,V13="03-검토중",0.1,V13="04-검토중_보완",0.05,V13="05-계획서승인",0.2,V13="06-BIW중단",0.15,V13="07-미인수",0.3,V13="08-단품준비완료",0.4,V13="09-시험준비중",0.55,V13="10-시험완료",0.85,V13="11-결과등록완료",1,V13="12-조건부승인",0.9,TRUE,0)</f>
        <v/>
      </c>
      <c r="X13" s="5">
        <f>IF(T13&lt;&gt;"","-",IF(S13="","N/A",S13-TODAY()))</f>
        <v/>
      </c>
      <c r="Y13" s="17">
        <f>IF(V13="11-결과등록완료","DONE",IF(U13="06-BIW중단","BLOCKED",IF(AND(K13="",J13&lt;TODAY()),"CRITICAL",IF(AND(ISNUMBER(X13),X13&lt;=0),"OVERDUE",IF(AND(ISNUMBER(X13),X13&lt;=14),"WARNING",IF(U13&lt;&gt;"","ACTION","ON TRACK"))))))</f>
        <v/>
      </c>
      <c r="Z13" s="5">
        <f>IF(OR(T13&lt;&gt;"",R13&lt;&gt;"",P13&lt;&gt;"",N13&lt;&gt;"",K13&lt;&gt;""),TODAY()-MAX(T13,R13,P13,N13,K13),"—")</f>
        <v/>
      </c>
      <c r="AA13" s="19">
        <f>IF(V13="11-결과등록완료","— 완료",IF(V13="01-미제출",IF(J13&lt;TODAY(),"계획서 제출 독촉 (OVERDUE)","계획서 제출 대기"),IF(V13="02-제출_미검토","설계자: 계획서 검토 착수",IF(V13="03-검토중","설계자: 승인 처리",IF(V13="04-검토중_보완","보완 요청 → 협력사 재제출 독촉",IF(V13="05-계획서승인","시험편 준비 현황 확인",IF(V13="06-BIW중단","BIW 생산팀 확인 → 일정 재수립",IF(V13="07-미인수","협력사 인수 독촉",IF(V13="08-단품준비완료","시험 일정 확인",IF(V13="09-시험준비중","시험 진행 모니터링",IF(V13="10-시험완료","결과 보고서 전산 등록 독촉",IF(V13="12-조건부승인","조건부 승인 여부 판단 → 관련부서 협의","—"))))))))))))</f>
        <v/>
      </c>
      <c r="AB13" s="15" t="n"/>
    </row>
    <row r="14">
      <c r="A14" s="5" t="n">
        <v>10</v>
      </c>
      <c r="B14" s="13" t="inlineStr">
        <is>
          <t>AE_PE</t>
        </is>
      </c>
      <c r="C14" s="14">
        <f>IFERROR(VLOOKUP(D14,'Reference Data 기준데이터'!$A$30:$D$41,2,FALSE),"")</f>
        <v/>
      </c>
      <c r="D14" s="15" t="inlineStr">
        <is>
          <t>콘솔리드</t>
        </is>
      </c>
      <c r="E14" s="14">
        <f>IFERROR(VLOOKUP(D14,'Reference Data 기준데이터'!$A$30:$D$41,3,FALSE),"")</f>
        <v/>
      </c>
      <c r="F14" s="15" t="inlineStr">
        <is>
          <t>조작력 시험</t>
        </is>
      </c>
      <c r="G14" s="14">
        <f>IFERROR(VLOOKUP(F14,'Reference Data 기준데이터'!$A$9:$E$26,2,FALSE),"")</f>
        <v/>
      </c>
      <c r="H14" s="14">
        <f>IFERROR(VLOOKUP(F14,'Reference Data 기준데이터'!$A$9:$E$26,5,FALSE),"")</f>
        <v/>
      </c>
      <c r="I14" s="16">
        <f>IFERROR(VLOOKUP(B14,'Reference Data 기준데이터'!$A$3:$J$5,3,FALSE),"")</f>
        <v/>
      </c>
      <c r="J14" s="16">
        <f>IFERROR(I14+VLOOKUP(B14,'Reference Data 기준데이터'!$A$3:$J$5,7,FALSE),"")</f>
        <v/>
      </c>
      <c r="K14" s="20" t="n">
        <v>46047</v>
      </c>
      <c r="L14" s="13" t="inlineStr">
        <is>
          <t>Approved</t>
        </is>
      </c>
      <c r="M14" s="16">
        <f>IFERROR(I14+VLOOKUP(B14,'Reference Data 기준데이터'!$A$3:$J$5,8,FALSE),"")</f>
        <v/>
      </c>
      <c r="N14" s="20" t="n">
        <v>46084</v>
      </c>
      <c r="O14" s="16">
        <f>IFERROR(IF(G14="차량장착",MAX(I14+VLOOKUP(B14,'Reference Data 기준데이터'!$A$3:$J$5,9,FALSE),VLOOKUP(B14,'Reference Data 기준데이터'!$A$3:$J$5,4,FALSE)),I14+VLOOKUP(B14,'Reference Data 기준데이터'!$A$3:$J$5,9,FALSE)),"")</f>
        <v/>
      </c>
      <c r="P14" s="20" t="n">
        <v>46103</v>
      </c>
      <c r="Q14" s="16">
        <f>IFERROR(O14+VLOOKUP(F14,'Reference Data 기준데이터'!$A$9:$E$26,4,FALSE),"")</f>
        <v/>
      </c>
      <c r="R14" s="20" t="n">
        <v>46125</v>
      </c>
      <c r="S14" s="16">
        <f>IFERROR(MIN(I14+VLOOKUP(B14,'Reference Data 기준데이터'!$A$3:$J$5,10,FALSE),VLOOKUP(B14,'Reference Data 기준데이터'!$A$3:$J$5,6,FALSE)),"")</f>
        <v/>
      </c>
      <c r="T14" s="20" t="n">
        <v>46132</v>
      </c>
      <c r="U14" s="13" t="n"/>
      <c r="V14" s="17">
        <f>IF(U14&lt;&gt;"",U14,IF(AND(T14&lt;&gt;"",R14&lt;&gt;""),"11-결과등록완료",IF(AND(R14&lt;&gt;"",T14=""),"10-시험완료",IF(AND(P14&lt;&gt;"",R14=""),"09-시험준비중",IF(AND(N14&lt;&gt;"",P14=""),"08-단품준비완료",IF(L14="Approved","05-계획서승인",IF(L14="Revision Needed","04-검토중_보완",IF(L14="Under Review","03-검토중",IF(AND(K14&lt;&gt;"",L14=""),"02-제출_미검토","01-미제출")))))))))</f>
        <v/>
      </c>
      <c r="W14" s="18">
        <f>IFS(V14="01-미제출",0,V14="02-제출_미검토",0.05,V14="03-검토중",0.1,V14="04-검토중_보완",0.05,V14="05-계획서승인",0.2,V14="06-BIW중단",0.15,V14="07-미인수",0.3,V14="08-단품준비완료",0.4,V14="09-시험준비중",0.55,V14="10-시험완료",0.85,V14="11-결과등록완료",1,V14="12-조건부승인",0.9,TRUE,0)</f>
        <v/>
      </c>
      <c r="X14" s="5">
        <f>IF(T14&lt;&gt;"","-",IF(S14="","N/A",S14-TODAY()))</f>
        <v/>
      </c>
      <c r="Y14" s="17">
        <f>IF(V14="11-결과등록완료","DONE",IF(U14="06-BIW중단","BLOCKED",IF(AND(K14="",J14&lt;TODAY()),"CRITICAL",IF(AND(ISNUMBER(X14),X14&lt;=0),"OVERDUE",IF(AND(ISNUMBER(X14),X14&lt;=14),"WARNING",IF(U14&lt;&gt;"","ACTION","ON TRACK"))))))</f>
        <v/>
      </c>
      <c r="Z14" s="5">
        <f>IF(OR(T14&lt;&gt;"",R14&lt;&gt;"",P14&lt;&gt;"",N14&lt;&gt;"",K14&lt;&gt;""),TODAY()-MAX(T14,R14,P14,N14,K14),"—")</f>
        <v/>
      </c>
      <c r="AA14" s="19">
        <f>IF(V14="11-결과등록완료","— 완료",IF(V14="01-미제출",IF(J14&lt;TODAY(),"계획서 제출 독촉 (OVERDUE)","계획서 제출 대기"),IF(V14="02-제출_미검토","설계자: 계획서 검토 착수",IF(V14="03-검토중","설계자: 승인 처리",IF(V14="04-검토중_보완","보완 요청 → 협력사 재제출 독촉",IF(V14="05-계획서승인","시험편 준비 현황 확인",IF(V14="06-BIW중단","BIW 생산팀 확인 → 일정 재수립",IF(V14="07-미인수","협력사 인수 독촉",IF(V14="08-단품준비완료","시험 일정 확인",IF(V14="09-시험준비중","시험 진행 모니터링",IF(V14="10-시험완료","결과 보고서 전산 등록 독촉",IF(V14="12-조건부승인","조건부 승인 여부 판단 → 관련부서 협의","—"))))))))))))</f>
        <v/>
      </c>
      <c r="AB14" s="15" t="n"/>
    </row>
    <row r="15">
      <c r="A15" s="5" t="n">
        <v>11</v>
      </c>
      <c r="B15" s="13" t="inlineStr">
        <is>
          <t>AE_PE</t>
        </is>
      </c>
      <c r="C15" s="14">
        <f>IFERROR(VLOOKUP(D15,'Reference Data 기준데이터'!$A$30:$D$41,2,FALSE),"")</f>
        <v/>
      </c>
      <c r="D15" s="15" t="inlineStr">
        <is>
          <t>시트(앞)</t>
        </is>
      </c>
      <c r="E15" s="14">
        <f>IFERROR(VLOOKUP(D15,'Reference Data 기준데이터'!$A$30:$D$41,3,FALSE),"")</f>
        <v/>
      </c>
      <c r="F15" s="15" t="inlineStr">
        <is>
          <t>EMC 시험</t>
        </is>
      </c>
      <c r="G15" s="14">
        <f>IFERROR(VLOOKUP(F15,'Reference Data 기준데이터'!$A$9:$E$26,2,FALSE),"")</f>
        <v/>
      </c>
      <c r="H15" s="14">
        <f>IFERROR(VLOOKUP(F15,'Reference Data 기준데이터'!$A$9:$E$26,5,FALSE),"")</f>
        <v/>
      </c>
      <c r="I15" s="16">
        <f>IFERROR(VLOOKUP(B15,'Reference Data 기준데이터'!$A$3:$J$5,3,FALSE),"")</f>
        <v/>
      </c>
      <c r="J15" s="16">
        <f>IFERROR(I15+VLOOKUP(B15,'Reference Data 기준데이터'!$A$3:$J$5,7,FALSE),"")</f>
        <v/>
      </c>
      <c r="K15" s="20" t="n">
        <v>46048</v>
      </c>
      <c r="L15" s="13" t="inlineStr">
        <is>
          <t>Revision Needed</t>
        </is>
      </c>
      <c r="M15" s="16">
        <f>IFERROR(I15+VLOOKUP(B15,'Reference Data 기준데이터'!$A$3:$J$5,8,FALSE),"")</f>
        <v/>
      </c>
      <c r="N15" s="13" t="n"/>
      <c r="O15" s="16">
        <f>IFERROR(IF(G15="차량장착",MAX(I15+VLOOKUP(B15,'Reference Data 기준데이터'!$A$3:$J$5,9,FALSE),VLOOKUP(B15,'Reference Data 기준데이터'!$A$3:$J$5,4,FALSE)),I15+VLOOKUP(B15,'Reference Data 기준데이터'!$A$3:$J$5,9,FALSE)),"")</f>
        <v/>
      </c>
      <c r="P15" s="13" t="n"/>
      <c r="Q15" s="16">
        <f>IFERROR(O15+VLOOKUP(F15,'Reference Data 기준데이터'!$A$9:$E$26,4,FALSE),"")</f>
        <v/>
      </c>
      <c r="R15" s="13" t="n"/>
      <c r="S15" s="16">
        <f>IFERROR(MIN(I15+VLOOKUP(B15,'Reference Data 기준데이터'!$A$3:$J$5,10,FALSE),VLOOKUP(B15,'Reference Data 기준데이터'!$A$3:$J$5,6,FALSE)),"")</f>
        <v/>
      </c>
      <c r="T15" s="13" t="n"/>
      <c r="U15" s="13" t="n"/>
      <c r="V15" s="17">
        <f>IF(U15&lt;&gt;"",U15,IF(AND(T15&lt;&gt;"",R15&lt;&gt;""),"11-결과등록완료",IF(AND(R15&lt;&gt;"",T15=""),"10-시험완료",IF(AND(P15&lt;&gt;"",R15=""),"09-시험준비중",IF(AND(N15&lt;&gt;"",P15=""),"08-단품준비완료",IF(L15="Approved","05-계획서승인",IF(L15="Revision Needed","04-검토중_보완",IF(L15="Under Review","03-검토중",IF(AND(K15&lt;&gt;"",L15=""),"02-제출_미검토","01-미제출")))))))))</f>
        <v/>
      </c>
      <c r="W15" s="18">
        <f>IFS(V15="01-미제출",0,V15="02-제출_미검토",0.05,V15="03-검토중",0.1,V15="04-검토중_보완",0.05,V15="05-계획서승인",0.2,V15="06-BIW중단",0.15,V15="07-미인수",0.3,V15="08-단품준비완료",0.4,V15="09-시험준비중",0.55,V15="10-시험완료",0.85,V15="11-결과등록완료",1,V15="12-조건부승인",0.9,TRUE,0)</f>
        <v/>
      </c>
      <c r="X15" s="5">
        <f>IF(T15&lt;&gt;"","-",IF(S15="","N/A",S15-TODAY()))</f>
        <v/>
      </c>
      <c r="Y15" s="17">
        <f>IF(V15="11-결과등록완료","DONE",IF(U15="06-BIW중단","BLOCKED",IF(AND(K15="",J15&lt;TODAY()),"CRITICAL",IF(AND(ISNUMBER(X15),X15&lt;=0),"OVERDUE",IF(AND(ISNUMBER(X15),X15&lt;=14),"WARNING",IF(U15&lt;&gt;"","ACTION","ON TRACK"))))))</f>
        <v/>
      </c>
      <c r="Z15" s="5">
        <f>IF(OR(T15&lt;&gt;"",R15&lt;&gt;"",P15&lt;&gt;"",N15&lt;&gt;"",K15&lt;&gt;""),TODAY()-MAX(T15,R15,P15,N15,K15),"—")</f>
        <v/>
      </c>
      <c r="AA15" s="19">
        <f>IF(V15="11-결과등록완료","— 완료",IF(V15="01-미제출",IF(J15&lt;TODAY(),"계획서 제출 독촉 (OVERDUE)","계획서 제출 대기"),IF(V15="02-제출_미검토","설계자: 계획서 검토 착수",IF(V15="03-검토중","설계자: 승인 처리",IF(V15="04-검토중_보완","보완 요청 → 협력사 재제출 독촉",IF(V15="05-계획서승인","시험편 준비 현황 확인",IF(V15="06-BIW중단","BIW 생산팀 확인 → 일정 재수립",IF(V15="07-미인수","협력사 인수 독촉",IF(V15="08-단품준비완료","시험 일정 확인",IF(V15="09-시험준비중","시험 진행 모니터링",IF(V15="10-시험완료","결과 보고서 전산 등록 독촉",IF(V15="12-조건부승인","조건부 승인 여부 판단 → 관련부서 협의","—"))))))))))))</f>
        <v/>
      </c>
      <c r="AB15" s="15" t="n"/>
    </row>
    <row r="16">
      <c r="A16" s="5" t="n">
        <v>12</v>
      </c>
      <c r="B16" s="13" t="inlineStr">
        <is>
          <t>AE_PE</t>
        </is>
      </c>
      <c r="C16" s="14">
        <f>IFERROR(VLOOKUP(D16,'Reference Data 기준데이터'!$A$30:$D$41,2,FALSE),"")</f>
        <v/>
      </c>
      <c r="D16" s="15" t="inlineStr">
        <is>
          <t>시트(앞)</t>
        </is>
      </c>
      <c r="E16" s="14">
        <f>IFERROR(VLOOKUP(D16,'Reference Data 기준데이터'!$A$30:$D$41,3,FALSE),"")</f>
        <v/>
      </c>
      <c r="F16" s="15" t="inlineStr">
        <is>
          <t>VOC 방출 시험</t>
        </is>
      </c>
      <c r="G16" s="14">
        <f>IFERROR(VLOOKUP(F16,'Reference Data 기준데이터'!$A$9:$E$26,2,FALSE),"")</f>
        <v/>
      </c>
      <c r="H16" s="14">
        <f>IFERROR(VLOOKUP(F16,'Reference Data 기준데이터'!$A$9:$E$26,5,FALSE),"")</f>
        <v/>
      </c>
      <c r="I16" s="16">
        <f>IFERROR(VLOOKUP(B16,'Reference Data 기준데이터'!$A$3:$J$5,3,FALSE),"")</f>
        <v/>
      </c>
      <c r="J16" s="16">
        <f>IFERROR(I16+VLOOKUP(B16,'Reference Data 기준데이터'!$A$3:$J$5,7,FALSE),"")</f>
        <v/>
      </c>
      <c r="K16" s="20" t="n">
        <v>46049</v>
      </c>
      <c r="L16" s="13" t="inlineStr">
        <is>
          <t>Approved</t>
        </is>
      </c>
      <c r="M16" s="16">
        <f>IFERROR(I16+VLOOKUP(B16,'Reference Data 기준데이터'!$A$3:$J$5,8,FALSE),"")</f>
        <v/>
      </c>
      <c r="N16" s="20" t="n">
        <v>46086</v>
      </c>
      <c r="O16" s="16">
        <f>IFERROR(IF(G16="차량장착",MAX(I16+VLOOKUP(B16,'Reference Data 기준데이터'!$A$3:$J$5,9,FALSE),VLOOKUP(B16,'Reference Data 기준데이터'!$A$3:$J$5,4,FALSE)),I16+VLOOKUP(B16,'Reference Data 기준데이터'!$A$3:$J$5,9,FALSE)),"")</f>
        <v/>
      </c>
      <c r="P16" s="20" t="n">
        <v>46099</v>
      </c>
      <c r="Q16" s="16">
        <f>IFERROR(O16+VLOOKUP(F16,'Reference Data 기준데이터'!$A$9:$E$26,4,FALSE),"")</f>
        <v/>
      </c>
      <c r="R16" s="13" t="n"/>
      <c r="S16" s="16">
        <f>IFERROR(MIN(I16+VLOOKUP(B16,'Reference Data 기준데이터'!$A$3:$J$5,10,FALSE),VLOOKUP(B16,'Reference Data 기준데이터'!$A$3:$J$5,6,FALSE)),"")</f>
        <v/>
      </c>
      <c r="T16" s="13" t="n"/>
      <c r="U16" s="13" t="n"/>
      <c r="V16" s="17">
        <f>IF(U16&lt;&gt;"",U16,IF(AND(T16&lt;&gt;"",R16&lt;&gt;""),"11-결과등록완료",IF(AND(R16&lt;&gt;"",T16=""),"10-시험완료",IF(AND(P16&lt;&gt;"",R16=""),"09-시험준비중",IF(AND(N16&lt;&gt;"",P16=""),"08-단품준비완료",IF(L16="Approved","05-계획서승인",IF(L16="Revision Needed","04-검토중_보완",IF(L16="Under Review","03-검토중",IF(AND(K16&lt;&gt;"",L16=""),"02-제출_미검토","01-미제출")))))))))</f>
        <v/>
      </c>
      <c r="W16" s="18">
        <f>IFS(V16="01-미제출",0,V16="02-제출_미검토",0.05,V16="03-검토중",0.1,V16="04-검토중_보완",0.05,V16="05-계획서승인",0.2,V16="06-BIW중단",0.15,V16="07-미인수",0.3,V16="08-단품준비완료",0.4,V16="09-시험준비중",0.55,V16="10-시험완료",0.85,V16="11-결과등록완료",1,V16="12-조건부승인",0.9,TRUE,0)</f>
        <v/>
      </c>
      <c r="X16" s="5">
        <f>IF(T16&lt;&gt;"","-",IF(S16="","N/A",S16-TODAY()))</f>
        <v/>
      </c>
      <c r="Y16" s="17">
        <f>IF(V16="11-결과등록완료","DONE",IF(U16="06-BIW중단","BLOCKED",IF(AND(K16="",J16&lt;TODAY()),"CRITICAL",IF(AND(ISNUMBER(X16),X16&lt;=0),"OVERDUE",IF(AND(ISNUMBER(X16),X16&lt;=14),"WARNING",IF(U16&lt;&gt;"","ACTION","ON TRACK"))))))</f>
        <v/>
      </c>
      <c r="Z16" s="5">
        <f>IF(OR(T16&lt;&gt;"",R16&lt;&gt;"",P16&lt;&gt;"",N16&lt;&gt;"",K16&lt;&gt;""),TODAY()-MAX(T16,R16,P16,N16,K16),"—")</f>
        <v/>
      </c>
      <c r="AA16" s="19">
        <f>IF(V16="11-결과등록완료","— 완료",IF(V16="01-미제출",IF(J16&lt;TODAY(),"계획서 제출 독촉 (OVERDUE)","계획서 제출 대기"),IF(V16="02-제출_미검토","설계자: 계획서 검토 착수",IF(V16="03-검토중","설계자: 승인 처리",IF(V16="04-검토중_보완","보완 요청 → 협력사 재제출 독촉",IF(V16="05-계획서승인","시험편 준비 현황 확인",IF(V16="06-BIW중단","BIW 생산팀 확인 → 일정 재수립",IF(V16="07-미인수","협력사 인수 독촉",IF(V16="08-단품준비완료","시험 일정 확인",IF(V16="09-시험준비중","시험 진행 모니터링",IF(V16="10-시험완료","결과 보고서 전산 등록 독촉",IF(V16="12-조건부승인","조건부 승인 여부 판단 → 관련부서 협의","—"))))))))))))</f>
        <v/>
      </c>
      <c r="AB16" s="15" t="n"/>
    </row>
    <row r="17">
      <c r="A17" s="5" t="n">
        <v>13</v>
      </c>
      <c r="B17" s="13" t="inlineStr">
        <is>
          <t>AE_PE</t>
        </is>
      </c>
      <c r="C17" s="14">
        <f>IFERROR(VLOOKUP(D17,'Reference Data 기준데이터'!$A$30:$D$41,2,FALSE),"")</f>
        <v/>
      </c>
      <c r="D17" s="15" t="inlineStr">
        <is>
          <t>시트(앞)</t>
        </is>
      </c>
      <c r="E17" s="14">
        <f>IFERROR(VLOOKUP(D17,'Reference Data 기준데이터'!$A$30:$D$41,3,FALSE),"")</f>
        <v/>
      </c>
      <c r="F17" s="15" t="inlineStr">
        <is>
          <t>연소성 시험</t>
        </is>
      </c>
      <c r="G17" s="14">
        <f>IFERROR(VLOOKUP(F17,'Reference Data 기준데이터'!$A$9:$E$26,2,FALSE),"")</f>
        <v/>
      </c>
      <c r="H17" s="14">
        <f>IFERROR(VLOOKUP(F17,'Reference Data 기준데이터'!$A$9:$E$26,5,FALSE),"")</f>
        <v/>
      </c>
      <c r="I17" s="16">
        <f>IFERROR(VLOOKUP(B17,'Reference Data 기준데이터'!$A$3:$J$5,3,FALSE),"")</f>
        <v/>
      </c>
      <c r="J17" s="16">
        <f>IFERROR(I17+VLOOKUP(B17,'Reference Data 기준데이터'!$A$3:$J$5,7,FALSE),"")</f>
        <v/>
      </c>
      <c r="K17" s="20" t="n">
        <v>46050</v>
      </c>
      <c r="L17" s="13" t="inlineStr">
        <is>
          <t>Approved</t>
        </is>
      </c>
      <c r="M17" s="16">
        <f>IFERROR(I17+VLOOKUP(B17,'Reference Data 기준데이터'!$A$3:$J$5,8,FALSE),"")</f>
        <v/>
      </c>
      <c r="N17" s="20" t="n">
        <v>46087</v>
      </c>
      <c r="O17" s="16">
        <f>IFERROR(IF(G17="차량장착",MAX(I17+VLOOKUP(B17,'Reference Data 기준데이터'!$A$3:$J$5,9,FALSE),VLOOKUP(B17,'Reference Data 기준데이터'!$A$3:$J$5,4,FALSE)),I17+VLOOKUP(B17,'Reference Data 기준데이터'!$A$3:$J$5,9,FALSE)),"")</f>
        <v/>
      </c>
      <c r="P17" s="20" t="n">
        <v>46100</v>
      </c>
      <c r="Q17" s="16">
        <f>IFERROR(O17+VLOOKUP(F17,'Reference Data 기준데이터'!$A$9:$E$26,4,FALSE),"")</f>
        <v/>
      </c>
      <c r="R17" s="20" t="n">
        <v>46128</v>
      </c>
      <c r="S17" s="16">
        <f>IFERROR(MIN(I17+VLOOKUP(B17,'Reference Data 기준데이터'!$A$3:$J$5,10,FALSE),VLOOKUP(B17,'Reference Data 기준데이터'!$A$3:$J$5,6,FALSE)),"")</f>
        <v/>
      </c>
      <c r="T17" s="20" t="n">
        <v>46131</v>
      </c>
      <c r="U17" s="13" t="n"/>
      <c r="V17" s="17">
        <f>IF(U17&lt;&gt;"",U17,IF(AND(T17&lt;&gt;"",R17&lt;&gt;""),"11-결과등록완료",IF(AND(R17&lt;&gt;"",T17=""),"10-시험완료",IF(AND(P17&lt;&gt;"",R17=""),"09-시험준비중",IF(AND(N17&lt;&gt;"",P17=""),"08-단품준비완료",IF(L17="Approved","05-계획서승인",IF(L17="Revision Needed","04-검토중_보완",IF(L17="Under Review","03-검토중",IF(AND(K17&lt;&gt;"",L17=""),"02-제출_미검토","01-미제출")))))))))</f>
        <v/>
      </c>
      <c r="W17" s="18">
        <f>IFS(V17="01-미제출",0,V17="02-제출_미검토",0.05,V17="03-검토중",0.1,V17="04-검토중_보완",0.05,V17="05-계획서승인",0.2,V17="06-BIW중단",0.15,V17="07-미인수",0.3,V17="08-단품준비완료",0.4,V17="09-시험준비중",0.55,V17="10-시험완료",0.85,V17="11-결과등록완료",1,V17="12-조건부승인",0.9,TRUE,0)</f>
        <v/>
      </c>
      <c r="X17" s="5">
        <f>IF(T17&lt;&gt;"","-",IF(S17="","N/A",S17-TODAY()))</f>
        <v/>
      </c>
      <c r="Y17" s="17">
        <f>IF(V17="11-결과등록완료","DONE",IF(U17="06-BIW중단","BLOCKED",IF(AND(K17="",J17&lt;TODAY()),"CRITICAL",IF(AND(ISNUMBER(X17),X17&lt;=0),"OVERDUE",IF(AND(ISNUMBER(X17),X17&lt;=14),"WARNING",IF(U17&lt;&gt;"","ACTION","ON TRACK"))))))</f>
        <v/>
      </c>
      <c r="Z17" s="5">
        <f>IF(OR(T17&lt;&gt;"",R17&lt;&gt;"",P17&lt;&gt;"",N17&lt;&gt;"",K17&lt;&gt;""),TODAY()-MAX(T17,R17,P17,N17,K17),"—")</f>
        <v/>
      </c>
      <c r="AA17" s="19">
        <f>IF(V17="11-결과등록완료","— 완료",IF(V17="01-미제출",IF(J17&lt;TODAY(),"계획서 제출 독촉 (OVERDUE)","계획서 제출 대기"),IF(V17="02-제출_미검토","설계자: 계획서 검토 착수",IF(V17="03-검토중","설계자: 승인 처리",IF(V17="04-검토중_보완","보완 요청 → 협력사 재제출 독촉",IF(V17="05-계획서승인","시험편 준비 현황 확인",IF(V17="06-BIW중단","BIW 생산팀 확인 → 일정 재수립",IF(V17="07-미인수","협력사 인수 독촉",IF(V17="08-단품준비완료","시험 일정 확인",IF(V17="09-시험준비중","시험 진행 모니터링",IF(V17="10-시험완료","결과 보고서 전산 등록 독촉",IF(V17="12-조건부승인","조건부 승인 여부 판단 → 관련부서 협의","—"))))))))))))</f>
        <v/>
      </c>
      <c r="AB17" s="15" t="n"/>
    </row>
    <row r="18">
      <c r="A18" s="5" t="n">
        <v>14</v>
      </c>
      <c r="B18" s="13" t="inlineStr">
        <is>
          <t>AE_PE</t>
        </is>
      </c>
      <c r="C18" s="14">
        <f>IFERROR(VLOOKUP(D18,'Reference Data 기준데이터'!$A$30:$D$41,2,FALSE),"")</f>
        <v/>
      </c>
      <c r="D18" s="15" t="inlineStr">
        <is>
          <t>시트(앞)</t>
        </is>
      </c>
      <c r="E18" s="14">
        <f>IFERROR(VLOOKUP(D18,'Reference Data 기준데이터'!$A$30:$D$41,3,FALSE),"")</f>
        <v/>
      </c>
      <c r="F18" s="15" t="inlineStr">
        <is>
          <t>시트 내구 시험</t>
        </is>
      </c>
      <c r="G18" s="14">
        <f>IFERROR(VLOOKUP(F18,'Reference Data 기준데이터'!$A$9:$E$26,2,FALSE),"")</f>
        <v/>
      </c>
      <c r="H18" s="14">
        <f>IFERROR(VLOOKUP(F18,'Reference Data 기준데이터'!$A$9:$E$26,5,FALSE),"")</f>
        <v/>
      </c>
      <c r="I18" s="16">
        <f>IFERROR(VLOOKUP(B18,'Reference Data 기준데이터'!$A$3:$J$5,3,FALSE),"")</f>
        <v/>
      </c>
      <c r="J18" s="16">
        <f>IFERROR(I18+VLOOKUP(B18,'Reference Data 기준데이터'!$A$3:$J$5,7,FALSE),"")</f>
        <v/>
      </c>
      <c r="K18" s="20" t="n">
        <v>46051</v>
      </c>
      <c r="L18" s="13" t="inlineStr">
        <is>
          <t>Approved</t>
        </is>
      </c>
      <c r="M18" s="16">
        <f>IFERROR(I18+VLOOKUP(B18,'Reference Data 기준데이터'!$A$3:$J$5,8,FALSE),"")</f>
        <v/>
      </c>
      <c r="N18" s="13" t="n"/>
      <c r="O18" s="16">
        <f>IFERROR(IF(G18="차량장착",MAX(I18+VLOOKUP(B18,'Reference Data 기준데이터'!$A$3:$J$5,9,FALSE),VLOOKUP(B18,'Reference Data 기준데이터'!$A$3:$J$5,4,FALSE)),I18+VLOOKUP(B18,'Reference Data 기준데이터'!$A$3:$J$5,9,FALSE)),"")</f>
        <v/>
      </c>
      <c r="P18" s="13" t="n"/>
      <c r="Q18" s="16">
        <f>IFERROR(O18+VLOOKUP(F18,'Reference Data 기준데이터'!$A$9:$E$26,4,FALSE),"")</f>
        <v/>
      </c>
      <c r="R18" s="13" t="n"/>
      <c r="S18" s="16">
        <f>IFERROR(MIN(I18+VLOOKUP(B18,'Reference Data 기준데이터'!$A$3:$J$5,10,FALSE),VLOOKUP(B18,'Reference Data 기준데이터'!$A$3:$J$5,6,FALSE)),"")</f>
        <v/>
      </c>
      <c r="T18" s="13" t="n"/>
      <c r="U18" s="13" t="n"/>
      <c r="V18" s="17">
        <f>IF(U18&lt;&gt;"",U18,IF(AND(T18&lt;&gt;"",R18&lt;&gt;""),"11-결과등록완료",IF(AND(R18&lt;&gt;"",T18=""),"10-시험완료",IF(AND(P18&lt;&gt;"",R18=""),"09-시험준비중",IF(AND(N18&lt;&gt;"",P18=""),"08-단품준비완료",IF(L18="Approved","05-계획서승인",IF(L18="Revision Needed","04-검토중_보완",IF(L18="Under Review","03-검토중",IF(AND(K18&lt;&gt;"",L18=""),"02-제출_미검토","01-미제출")))))))))</f>
        <v/>
      </c>
      <c r="W18" s="18">
        <f>IFS(V18="01-미제출",0,V18="02-제출_미검토",0.05,V18="03-검토중",0.1,V18="04-검토중_보완",0.05,V18="05-계획서승인",0.2,V18="06-BIW중단",0.15,V18="07-미인수",0.3,V18="08-단품준비완료",0.4,V18="09-시험준비중",0.55,V18="10-시험완료",0.85,V18="11-결과등록완료",1,V18="12-조건부승인",0.9,TRUE,0)</f>
        <v/>
      </c>
      <c r="X18" s="5">
        <f>IF(T18&lt;&gt;"","-",IF(S18="","N/A",S18-TODAY()))</f>
        <v/>
      </c>
      <c r="Y18" s="17">
        <f>IF(V18="11-결과등록완료","DONE",IF(U18="06-BIW중단","BLOCKED",IF(AND(K18="",J18&lt;TODAY()),"CRITICAL",IF(AND(ISNUMBER(X18),X18&lt;=0),"OVERDUE",IF(AND(ISNUMBER(X18),X18&lt;=14),"WARNING",IF(U18&lt;&gt;"","ACTION","ON TRACK"))))))</f>
        <v/>
      </c>
      <c r="Z18" s="5">
        <f>IF(OR(T18&lt;&gt;"",R18&lt;&gt;"",P18&lt;&gt;"",N18&lt;&gt;"",K18&lt;&gt;""),TODAY()-MAX(T18,R18,P18,N18,K18),"—")</f>
        <v/>
      </c>
      <c r="AA18" s="19">
        <f>IF(V18="11-결과등록완료","— 완료",IF(V18="01-미제출",IF(J18&lt;TODAY(),"계획서 제출 독촉 (OVERDUE)","계획서 제출 대기"),IF(V18="02-제출_미검토","설계자: 계획서 검토 착수",IF(V18="03-검토중","설계자: 승인 처리",IF(V18="04-검토중_보완","보완 요청 → 협력사 재제출 독촉",IF(V18="05-계획서승인","시험편 준비 현황 확인",IF(V18="06-BIW중단","BIW 생산팀 확인 → 일정 재수립",IF(V18="07-미인수","협력사 인수 독촉",IF(V18="08-단품준비완료","시험 일정 확인",IF(V18="09-시험준비중","시험 진행 모니터링",IF(V18="10-시험완료","결과 보고서 전산 등록 독촉",IF(V18="12-조건부승인","조건부 승인 여부 판단 → 관련부서 협의","—"))))))))))))</f>
        <v/>
      </c>
      <c r="AB18" s="15" t="n"/>
    </row>
    <row r="19">
      <c r="A19" s="5" t="n">
        <v>15</v>
      </c>
      <c r="B19" s="13" t="inlineStr">
        <is>
          <t>AE_PE</t>
        </is>
      </c>
      <c r="C19" s="14">
        <f>IFERROR(VLOOKUP(D19,'Reference Data 기준데이터'!$A$30:$D$41,2,FALSE),"")</f>
        <v/>
      </c>
      <c r="D19" s="15" t="inlineStr">
        <is>
          <t>시트(앞)</t>
        </is>
      </c>
      <c r="E19" s="14">
        <f>IFERROR(VLOOKUP(D19,'Reference Data 기준데이터'!$A$30:$D$41,3,FALSE),"")</f>
        <v/>
      </c>
      <c r="F19" s="15" t="inlineStr">
        <is>
          <t>H-Point 검증</t>
        </is>
      </c>
      <c r="G19" s="14">
        <f>IFERROR(VLOOKUP(F19,'Reference Data 기준데이터'!$A$9:$E$26,2,FALSE),"")</f>
        <v/>
      </c>
      <c r="H19" s="14">
        <f>IFERROR(VLOOKUP(F19,'Reference Data 기준데이터'!$A$9:$E$26,5,FALSE),"")</f>
        <v/>
      </c>
      <c r="I19" s="16">
        <f>IFERROR(VLOOKUP(B19,'Reference Data 기준데이터'!$A$3:$J$5,3,FALSE),"")</f>
        <v/>
      </c>
      <c r="J19" s="16">
        <f>IFERROR(I19+VLOOKUP(B19,'Reference Data 기준데이터'!$A$3:$J$5,7,FALSE),"")</f>
        <v/>
      </c>
      <c r="K19" s="20" t="n">
        <v>46047</v>
      </c>
      <c r="L19" s="13" t="inlineStr">
        <is>
          <t>Approved</t>
        </is>
      </c>
      <c r="M19" s="16">
        <f>IFERROR(I19+VLOOKUP(B19,'Reference Data 기준데이터'!$A$3:$J$5,8,FALSE),"")</f>
        <v/>
      </c>
      <c r="N19" s="20" t="n">
        <v>46089</v>
      </c>
      <c r="O19" s="16">
        <f>IFERROR(IF(G19="차량장착",MAX(I19+VLOOKUP(B19,'Reference Data 기준데이터'!$A$3:$J$5,9,FALSE),VLOOKUP(B19,'Reference Data 기준데이터'!$A$3:$J$5,4,FALSE)),I19+VLOOKUP(B19,'Reference Data 기준데이터'!$A$3:$J$5,9,FALSE)),"")</f>
        <v/>
      </c>
      <c r="P19" s="13" t="n"/>
      <c r="Q19" s="16">
        <f>IFERROR(O19+VLOOKUP(F19,'Reference Data 기준데이터'!$A$9:$E$26,4,FALSE),"")</f>
        <v/>
      </c>
      <c r="R19" s="13" t="n"/>
      <c r="S19" s="16">
        <f>IFERROR(MIN(I19+VLOOKUP(B19,'Reference Data 기준데이터'!$A$3:$J$5,10,FALSE),VLOOKUP(B19,'Reference Data 기준데이터'!$A$3:$J$5,6,FALSE)),"")</f>
        <v/>
      </c>
      <c r="T19" s="13" t="n"/>
      <c r="U19" s="13" t="inlineStr">
        <is>
          <t>07-미인수</t>
        </is>
      </c>
      <c r="V19" s="17">
        <f>IF(U19&lt;&gt;"",U19,IF(AND(T19&lt;&gt;"",R19&lt;&gt;""),"11-결과등록완료",IF(AND(R19&lt;&gt;"",T19=""),"10-시험완료",IF(AND(P19&lt;&gt;"",R19=""),"09-시험준비중",IF(AND(N19&lt;&gt;"",P19=""),"08-단품준비완료",IF(L19="Approved","05-계획서승인",IF(L19="Revision Needed","04-검토중_보완",IF(L19="Under Review","03-검토중",IF(AND(K19&lt;&gt;"",L19=""),"02-제출_미검토","01-미제출")))))))))</f>
        <v/>
      </c>
      <c r="W19" s="18">
        <f>IFS(V19="01-미제출",0,V19="02-제출_미검토",0.05,V19="03-검토중",0.1,V19="04-검토중_보완",0.05,V19="05-계획서승인",0.2,V19="06-BIW중단",0.15,V19="07-미인수",0.3,V19="08-단품준비완료",0.4,V19="09-시험준비중",0.55,V19="10-시험완료",0.85,V19="11-결과등록완료",1,V19="12-조건부승인",0.9,TRUE,0)</f>
        <v/>
      </c>
      <c r="X19" s="5">
        <f>IF(T19&lt;&gt;"","-",IF(S19="","N/A",S19-TODAY()))</f>
        <v/>
      </c>
      <c r="Y19" s="17">
        <f>IF(V19="11-결과등록완료","DONE",IF(U19="06-BIW중단","BLOCKED",IF(AND(K19="",J19&lt;TODAY()),"CRITICAL",IF(AND(ISNUMBER(X19),X19&lt;=0),"OVERDUE",IF(AND(ISNUMBER(X19),X19&lt;=14),"WARNING",IF(U19&lt;&gt;"","ACTION","ON TRACK"))))))</f>
        <v/>
      </c>
      <c r="Z19" s="5">
        <f>IF(OR(T19&lt;&gt;"",R19&lt;&gt;"",P19&lt;&gt;"",N19&lt;&gt;"",K19&lt;&gt;""),TODAY()-MAX(T19,R19,P19,N19,K19),"—")</f>
        <v/>
      </c>
      <c r="AA19" s="19">
        <f>IF(V19="11-결과등록완료","— 완료",IF(V19="01-미제출",IF(J19&lt;TODAY(),"계획서 제출 독촉 (OVERDUE)","계획서 제출 대기"),IF(V19="02-제출_미검토","설계자: 계획서 검토 착수",IF(V19="03-검토중","설계자: 승인 처리",IF(V19="04-검토중_보완","보완 요청 → 협력사 재제출 독촉",IF(V19="05-계획서승인","시험편 준비 현황 확인",IF(V19="06-BIW중단","BIW 생산팀 확인 → 일정 재수립",IF(V19="07-미인수","협력사 인수 독촉",IF(V19="08-단품준비완료","시험 일정 확인",IF(V19="09-시험준비중","시험 진행 모니터링",IF(V19="10-시험완료","결과 보고서 전산 등록 독촉",IF(V19="12-조건부승인","조건부 승인 여부 판단 → 관련부서 협의","—"))))))))))))</f>
        <v/>
      </c>
      <c r="AB19" s="15" t="n"/>
    </row>
    <row r="20">
      <c r="A20" s="5" t="n">
        <v>16</v>
      </c>
      <c r="B20" s="13" t="inlineStr">
        <is>
          <t>AE_PE</t>
        </is>
      </c>
      <c r="C20" s="14">
        <f>IFERROR(VLOOKUP(D20,'Reference Data 기준데이터'!$A$30:$D$41,2,FALSE),"")</f>
        <v/>
      </c>
      <c r="D20" s="15" t="inlineStr">
        <is>
          <t>시트(앞)</t>
        </is>
      </c>
      <c r="E20" s="14">
        <f>IFERROR(VLOOKUP(D20,'Reference Data 기준데이터'!$A$30:$D$41,3,FALSE),"")</f>
        <v/>
      </c>
      <c r="F20" s="15" t="inlineStr">
        <is>
          <t>안전벨트 앵커리지</t>
        </is>
      </c>
      <c r="G20" s="14">
        <f>IFERROR(VLOOKUP(F20,'Reference Data 기준데이터'!$A$9:$E$26,2,FALSE),"")</f>
        <v/>
      </c>
      <c r="H20" s="14">
        <f>IFERROR(VLOOKUP(F20,'Reference Data 기준데이터'!$A$9:$E$26,5,FALSE),"")</f>
        <v/>
      </c>
      <c r="I20" s="16">
        <f>IFERROR(VLOOKUP(B20,'Reference Data 기준데이터'!$A$3:$J$5,3,FALSE),"")</f>
        <v/>
      </c>
      <c r="J20" s="16">
        <f>IFERROR(I20+VLOOKUP(B20,'Reference Data 기준데이터'!$A$3:$J$5,7,FALSE),"")</f>
        <v/>
      </c>
      <c r="K20" s="20" t="n">
        <v>46048</v>
      </c>
      <c r="L20" s="13" t="inlineStr">
        <is>
          <t>Under Review</t>
        </is>
      </c>
      <c r="M20" s="16">
        <f>IFERROR(I20+VLOOKUP(B20,'Reference Data 기준데이터'!$A$3:$J$5,8,FALSE),"")</f>
        <v/>
      </c>
      <c r="N20" s="13" t="n"/>
      <c r="O20" s="16">
        <f>IFERROR(IF(G20="차량장착",MAX(I20+VLOOKUP(B20,'Reference Data 기준데이터'!$A$3:$J$5,9,FALSE),VLOOKUP(B20,'Reference Data 기준데이터'!$A$3:$J$5,4,FALSE)),I20+VLOOKUP(B20,'Reference Data 기준데이터'!$A$3:$J$5,9,FALSE)),"")</f>
        <v/>
      </c>
      <c r="P20" s="13" t="n"/>
      <c r="Q20" s="16">
        <f>IFERROR(O20+VLOOKUP(F20,'Reference Data 기준데이터'!$A$9:$E$26,4,FALSE),"")</f>
        <v/>
      </c>
      <c r="R20" s="13" t="n"/>
      <c r="S20" s="16">
        <f>IFERROR(MIN(I20+VLOOKUP(B20,'Reference Data 기준데이터'!$A$3:$J$5,10,FALSE),VLOOKUP(B20,'Reference Data 기준데이터'!$A$3:$J$5,6,FALSE)),"")</f>
        <v/>
      </c>
      <c r="T20" s="13" t="n"/>
      <c r="U20" s="13" t="n"/>
      <c r="V20" s="17">
        <f>IF(U20&lt;&gt;"",U20,IF(AND(T20&lt;&gt;"",R20&lt;&gt;""),"11-결과등록완료",IF(AND(R20&lt;&gt;"",T20=""),"10-시험완료",IF(AND(P20&lt;&gt;"",R20=""),"09-시험준비중",IF(AND(N20&lt;&gt;"",P20=""),"08-단품준비완료",IF(L20="Approved","05-계획서승인",IF(L20="Revision Needed","04-검토중_보완",IF(L20="Under Review","03-검토중",IF(AND(K20&lt;&gt;"",L20=""),"02-제출_미검토","01-미제출")))))))))</f>
        <v/>
      </c>
      <c r="W20" s="18">
        <f>IFS(V20="01-미제출",0,V20="02-제출_미검토",0.05,V20="03-검토중",0.1,V20="04-검토중_보완",0.05,V20="05-계획서승인",0.2,V20="06-BIW중단",0.15,V20="07-미인수",0.3,V20="08-단품준비완료",0.4,V20="09-시험준비중",0.55,V20="10-시험완료",0.85,V20="11-결과등록완료",1,V20="12-조건부승인",0.9,TRUE,0)</f>
        <v/>
      </c>
      <c r="X20" s="5">
        <f>IF(T20&lt;&gt;"","-",IF(S20="","N/A",S20-TODAY()))</f>
        <v/>
      </c>
      <c r="Y20" s="17">
        <f>IF(V20="11-결과등록완료","DONE",IF(U20="06-BIW중단","BLOCKED",IF(AND(K20="",J20&lt;TODAY()),"CRITICAL",IF(AND(ISNUMBER(X20),X20&lt;=0),"OVERDUE",IF(AND(ISNUMBER(X20),X20&lt;=14),"WARNING",IF(U20&lt;&gt;"","ACTION","ON TRACK"))))))</f>
        <v/>
      </c>
      <c r="Z20" s="5">
        <f>IF(OR(T20&lt;&gt;"",R20&lt;&gt;"",P20&lt;&gt;"",N20&lt;&gt;"",K20&lt;&gt;""),TODAY()-MAX(T20,R20,P20,N20,K20),"—")</f>
        <v/>
      </c>
      <c r="AA20" s="19">
        <f>IF(V20="11-결과등록완료","— 완료",IF(V20="01-미제출",IF(J20&lt;TODAY(),"계획서 제출 독촉 (OVERDUE)","계획서 제출 대기"),IF(V20="02-제출_미검토","설계자: 계획서 검토 착수",IF(V20="03-검토중","설계자: 승인 처리",IF(V20="04-검토중_보완","보완 요청 → 협력사 재제출 독촉",IF(V20="05-계획서승인","시험편 준비 현황 확인",IF(V20="06-BIW중단","BIW 생산팀 확인 → 일정 재수립",IF(V20="07-미인수","협력사 인수 독촉",IF(V20="08-단품준비완료","시험 일정 확인",IF(V20="09-시험준비중","시험 진행 모니터링",IF(V20="10-시험완료","결과 보고서 전산 등록 독촉",IF(V20="12-조건부승인","조건부 승인 여부 판단 → 관련부서 협의","—"))))))))))))</f>
        <v/>
      </c>
      <c r="AB20" s="15" t="n"/>
    </row>
    <row r="21">
      <c r="A21" s="5" t="n">
        <v>17</v>
      </c>
      <c r="B21" s="13" t="inlineStr">
        <is>
          <t>AE_PE</t>
        </is>
      </c>
      <c r="C21" s="14">
        <f>IFERROR(VLOOKUP(D21,'Reference Data 기준데이터'!$A$30:$D$41,2,FALSE),"")</f>
        <v/>
      </c>
      <c r="D21" s="15" t="inlineStr">
        <is>
          <t>시트(뒤)</t>
        </is>
      </c>
      <c r="E21" s="14">
        <f>IFERROR(VLOOKUP(D21,'Reference Data 기준데이터'!$A$30:$D$41,3,FALSE),"")</f>
        <v/>
      </c>
      <c r="F21" s="15" t="inlineStr">
        <is>
          <t>EMC 시험</t>
        </is>
      </c>
      <c r="G21" s="14">
        <f>IFERROR(VLOOKUP(F21,'Reference Data 기준데이터'!$A$9:$E$26,2,FALSE),"")</f>
        <v/>
      </c>
      <c r="H21" s="14">
        <f>IFERROR(VLOOKUP(F21,'Reference Data 기준데이터'!$A$9:$E$26,5,FALSE),"")</f>
        <v/>
      </c>
      <c r="I21" s="16">
        <f>IFERROR(VLOOKUP(B21,'Reference Data 기준데이터'!$A$3:$J$5,3,FALSE),"")</f>
        <v/>
      </c>
      <c r="J21" s="16">
        <f>IFERROR(I21+VLOOKUP(B21,'Reference Data 기준데이터'!$A$3:$J$5,7,FALSE),"")</f>
        <v/>
      </c>
      <c r="K21" s="20" t="n">
        <v>46049</v>
      </c>
      <c r="L21" s="13" t="inlineStr">
        <is>
          <t>Approved</t>
        </is>
      </c>
      <c r="M21" s="16">
        <f>IFERROR(I21+VLOOKUP(B21,'Reference Data 기준데이터'!$A$3:$J$5,8,FALSE),"")</f>
        <v/>
      </c>
      <c r="N21" s="20" t="n">
        <v>46083</v>
      </c>
      <c r="O21" s="16">
        <f>IFERROR(IF(G21="차량장착",MAX(I21+VLOOKUP(B21,'Reference Data 기준데이터'!$A$3:$J$5,9,FALSE),VLOOKUP(B21,'Reference Data 기준데이터'!$A$3:$J$5,4,FALSE)),I21+VLOOKUP(B21,'Reference Data 기준데이터'!$A$3:$J$5,9,FALSE)),"")</f>
        <v/>
      </c>
      <c r="P21" s="13" t="n"/>
      <c r="Q21" s="16">
        <f>IFERROR(O21+VLOOKUP(F21,'Reference Data 기준데이터'!$A$9:$E$26,4,FALSE),"")</f>
        <v/>
      </c>
      <c r="R21" s="13" t="n"/>
      <c r="S21" s="16">
        <f>IFERROR(MIN(I21+VLOOKUP(B21,'Reference Data 기준데이터'!$A$3:$J$5,10,FALSE),VLOOKUP(B21,'Reference Data 기준데이터'!$A$3:$J$5,6,FALSE)),"")</f>
        <v/>
      </c>
      <c r="T21" s="13" t="n"/>
      <c r="U21" s="13" t="n"/>
      <c r="V21" s="17">
        <f>IF(U21&lt;&gt;"",U21,IF(AND(T21&lt;&gt;"",R21&lt;&gt;""),"11-결과등록완료",IF(AND(R21&lt;&gt;"",T21=""),"10-시험완료",IF(AND(P21&lt;&gt;"",R21=""),"09-시험준비중",IF(AND(N21&lt;&gt;"",P21=""),"08-단품준비완료",IF(L21="Approved","05-계획서승인",IF(L21="Revision Needed","04-검토중_보완",IF(L21="Under Review","03-검토중",IF(AND(K21&lt;&gt;"",L21=""),"02-제출_미검토","01-미제출")))))))))</f>
        <v/>
      </c>
      <c r="W21" s="18">
        <f>IFS(V21="01-미제출",0,V21="02-제출_미검토",0.05,V21="03-검토중",0.1,V21="04-검토중_보완",0.05,V21="05-계획서승인",0.2,V21="06-BIW중단",0.15,V21="07-미인수",0.3,V21="08-단품준비완료",0.4,V21="09-시험준비중",0.55,V21="10-시험완료",0.85,V21="11-결과등록완료",1,V21="12-조건부승인",0.9,TRUE,0)</f>
        <v/>
      </c>
      <c r="X21" s="5">
        <f>IF(T21&lt;&gt;"","-",IF(S21="","N/A",S21-TODAY()))</f>
        <v/>
      </c>
      <c r="Y21" s="17">
        <f>IF(V21="11-결과등록완료","DONE",IF(U21="06-BIW중단","BLOCKED",IF(AND(K21="",J21&lt;TODAY()),"CRITICAL",IF(AND(ISNUMBER(X21),X21&lt;=0),"OVERDUE",IF(AND(ISNUMBER(X21),X21&lt;=14),"WARNING",IF(U21&lt;&gt;"","ACTION","ON TRACK"))))))</f>
        <v/>
      </c>
      <c r="Z21" s="5">
        <f>IF(OR(T21&lt;&gt;"",R21&lt;&gt;"",P21&lt;&gt;"",N21&lt;&gt;"",K21&lt;&gt;""),TODAY()-MAX(T21,R21,P21,N21,K21),"—")</f>
        <v/>
      </c>
      <c r="AA21" s="19">
        <f>IF(V21="11-결과등록완료","— 완료",IF(V21="01-미제출",IF(J21&lt;TODAY(),"계획서 제출 독촉 (OVERDUE)","계획서 제출 대기"),IF(V21="02-제출_미검토","설계자: 계획서 검토 착수",IF(V21="03-검토중","설계자: 승인 처리",IF(V21="04-검토중_보완","보완 요청 → 협력사 재제출 독촉",IF(V21="05-계획서승인","시험편 준비 현황 확인",IF(V21="06-BIW중단","BIW 생산팀 확인 → 일정 재수립",IF(V21="07-미인수","협력사 인수 독촉",IF(V21="08-단품준비완료","시험 일정 확인",IF(V21="09-시험준비중","시험 진행 모니터링",IF(V21="10-시험완료","결과 보고서 전산 등록 독촉",IF(V21="12-조건부승인","조건부 승인 여부 판단 → 관련부서 협의","—"))))))))))))</f>
        <v/>
      </c>
      <c r="AB21" s="15" t="n"/>
    </row>
    <row r="22">
      <c r="A22" s="5" t="n">
        <v>18</v>
      </c>
      <c r="B22" s="13" t="inlineStr">
        <is>
          <t>AE_PE</t>
        </is>
      </c>
      <c r="C22" s="14">
        <f>IFERROR(VLOOKUP(D22,'Reference Data 기준데이터'!$A$30:$D$41,2,FALSE),"")</f>
        <v/>
      </c>
      <c r="D22" s="15" t="inlineStr">
        <is>
          <t>시트(뒤)</t>
        </is>
      </c>
      <c r="E22" s="14">
        <f>IFERROR(VLOOKUP(D22,'Reference Data 기준데이터'!$A$30:$D$41,3,FALSE),"")</f>
        <v/>
      </c>
      <c r="F22" s="15" t="inlineStr">
        <is>
          <t>VOC 방출 시험</t>
        </is>
      </c>
      <c r="G22" s="14">
        <f>IFERROR(VLOOKUP(F22,'Reference Data 기준데이터'!$A$9:$E$26,2,FALSE),"")</f>
        <v/>
      </c>
      <c r="H22" s="14">
        <f>IFERROR(VLOOKUP(F22,'Reference Data 기준데이터'!$A$9:$E$26,5,FALSE),"")</f>
        <v/>
      </c>
      <c r="I22" s="16">
        <f>IFERROR(VLOOKUP(B22,'Reference Data 기준데이터'!$A$3:$J$5,3,FALSE),"")</f>
        <v/>
      </c>
      <c r="J22" s="16">
        <f>IFERROR(I22+VLOOKUP(B22,'Reference Data 기준데이터'!$A$3:$J$5,7,FALSE),"")</f>
        <v/>
      </c>
      <c r="K22" s="20" t="n">
        <v>46050</v>
      </c>
      <c r="L22" s="13" t="inlineStr">
        <is>
          <t>Approved</t>
        </is>
      </c>
      <c r="M22" s="16">
        <f>IFERROR(I22+VLOOKUP(B22,'Reference Data 기준데이터'!$A$3:$J$5,8,FALSE),"")</f>
        <v/>
      </c>
      <c r="N22" s="20" t="n">
        <v>46084</v>
      </c>
      <c r="O22" s="16">
        <f>IFERROR(IF(G22="차량장착",MAX(I22+VLOOKUP(B22,'Reference Data 기준데이터'!$A$3:$J$5,9,FALSE),VLOOKUP(B22,'Reference Data 기준데이터'!$A$3:$J$5,4,FALSE)),I22+VLOOKUP(B22,'Reference Data 기준데이터'!$A$3:$J$5,9,FALSE)),"")</f>
        <v/>
      </c>
      <c r="P22" s="20" t="n">
        <v>46099</v>
      </c>
      <c r="Q22" s="16">
        <f>IFERROR(O22+VLOOKUP(F22,'Reference Data 기준데이터'!$A$9:$E$26,4,FALSE),"")</f>
        <v/>
      </c>
      <c r="R22" s="20" t="n">
        <v>46126</v>
      </c>
      <c r="S22" s="16">
        <f>IFERROR(MIN(I22+VLOOKUP(B22,'Reference Data 기준데이터'!$A$3:$J$5,10,FALSE),VLOOKUP(B22,'Reference Data 기준데이터'!$A$3:$J$5,6,FALSE)),"")</f>
        <v/>
      </c>
      <c r="T22" s="20" t="n">
        <v>46132</v>
      </c>
      <c r="U22" s="13" t="inlineStr">
        <is>
          <t>12-조건부승인</t>
        </is>
      </c>
      <c r="V22" s="17">
        <f>IF(U22&lt;&gt;"",U22,IF(AND(T22&lt;&gt;"",R22&lt;&gt;""),"11-결과등록완료",IF(AND(R22&lt;&gt;"",T22=""),"10-시험완료",IF(AND(P22&lt;&gt;"",R22=""),"09-시험준비중",IF(AND(N22&lt;&gt;"",P22=""),"08-단품준비완료",IF(L22="Approved","05-계획서승인",IF(L22="Revision Needed","04-검토중_보완",IF(L22="Under Review","03-검토중",IF(AND(K22&lt;&gt;"",L22=""),"02-제출_미검토","01-미제출")))))))))</f>
        <v/>
      </c>
      <c r="W22" s="18">
        <f>IFS(V22="01-미제출",0,V22="02-제출_미검토",0.05,V22="03-검토중",0.1,V22="04-검토중_보완",0.05,V22="05-계획서승인",0.2,V22="06-BIW중단",0.15,V22="07-미인수",0.3,V22="08-단품준비완료",0.4,V22="09-시험준비중",0.55,V22="10-시험완료",0.85,V22="11-결과등록완료",1,V22="12-조건부승인",0.9,TRUE,0)</f>
        <v/>
      </c>
      <c r="X22" s="5">
        <f>IF(T22&lt;&gt;"","-",IF(S22="","N/A",S22-TODAY()))</f>
        <v/>
      </c>
      <c r="Y22" s="17">
        <f>IF(V22="11-결과등록완료","DONE",IF(U22="06-BIW중단","BLOCKED",IF(AND(K22="",J22&lt;TODAY()),"CRITICAL",IF(AND(ISNUMBER(X22),X22&lt;=0),"OVERDUE",IF(AND(ISNUMBER(X22),X22&lt;=14),"WARNING",IF(U22&lt;&gt;"","ACTION","ON TRACK"))))))</f>
        <v/>
      </c>
      <c r="Z22" s="5">
        <f>IF(OR(T22&lt;&gt;"",R22&lt;&gt;"",P22&lt;&gt;"",N22&lt;&gt;"",K22&lt;&gt;""),TODAY()-MAX(T22,R22,P22,N22,K22),"—")</f>
        <v/>
      </c>
      <c r="AA22" s="19">
        <f>IF(V22="11-결과등록완료","— 완료",IF(V22="01-미제출",IF(J22&lt;TODAY(),"계획서 제출 독촉 (OVERDUE)","계획서 제출 대기"),IF(V22="02-제출_미검토","설계자: 계획서 검토 착수",IF(V22="03-검토중","설계자: 승인 처리",IF(V22="04-검토중_보완","보완 요청 → 협력사 재제출 독촉",IF(V22="05-계획서승인","시험편 준비 현황 확인",IF(V22="06-BIW중단","BIW 생산팀 확인 → 일정 재수립",IF(V22="07-미인수","협력사 인수 독촉",IF(V22="08-단품준비완료","시험 일정 확인",IF(V22="09-시험준비중","시험 진행 모니터링",IF(V22="10-시험완료","결과 보고서 전산 등록 독촉",IF(V22="12-조건부승인","조건부 승인 여부 판단 → 관련부서 협의","—"))))))))))))</f>
        <v/>
      </c>
      <c r="AB22" s="15" t="n"/>
    </row>
    <row r="23">
      <c r="A23" s="5" t="n">
        <v>19</v>
      </c>
      <c r="B23" s="13" t="inlineStr">
        <is>
          <t>AE_PE</t>
        </is>
      </c>
      <c r="C23" s="14">
        <f>IFERROR(VLOOKUP(D23,'Reference Data 기준데이터'!$A$30:$D$41,2,FALSE),"")</f>
        <v/>
      </c>
      <c r="D23" s="15" t="inlineStr">
        <is>
          <t>시트(뒤)</t>
        </is>
      </c>
      <c r="E23" s="14">
        <f>IFERROR(VLOOKUP(D23,'Reference Data 기준데이터'!$A$30:$D$41,3,FALSE),"")</f>
        <v/>
      </c>
      <c r="F23" s="15" t="inlineStr">
        <is>
          <t>연소성 시험</t>
        </is>
      </c>
      <c r="G23" s="14">
        <f>IFERROR(VLOOKUP(F23,'Reference Data 기준데이터'!$A$9:$E$26,2,FALSE),"")</f>
        <v/>
      </c>
      <c r="H23" s="14">
        <f>IFERROR(VLOOKUP(F23,'Reference Data 기준데이터'!$A$9:$E$26,5,FALSE),"")</f>
        <v/>
      </c>
      <c r="I23" s="16">
        <f>IFERROR(VLOOKUP(B23,'Reference Data 기준데이터'!$A$3:$J$5,3,FALSE),"")</f>
        <v/>
      </c>
      <c r="J23" s="16">
        <f>IFERROR(I23+VLOOKUP(B23,'Reference Data 기준데이터'!$A$3:$J$5,7,FALSE),"")</f>
        <v/>
      </c>
      <c r="K23" s="13" t="n"/>
      <c r="L23" s="13" t="n"/>
      <c r="M23" s="16">
        <f>IFERROR(I23+VLOOKUP(B23,'Reference Data 기준데이터'!$A$3:$J$5,8,FALSE),"")</f>
        <v/>
      </c>
      <c r="N23" s="13" t="n"/>
      <c r="O23" s="16">
        <f>IFERROR(IF(G23="차량장착",MAX(I23+VLOOKUP(B23,'Reference Data 기준데이터'!$A$3:$J$5,9,FALSE),VLOOKUP(B23,'Reference Data 기준데이터'!$A$3:$J$5,4,FALSE)),I23+VLOOKUP(B23,'Reference Data 기준데이터'!$A$3:$J$5,9,FALSE)),"")</f>
        <v/>
      </c>
      <c r="P23" s="13" t="n"/>
      <c r="Q23" s="16">
        <f>IFERROR(O23+VLOOKUP(F23,'Reference Data 기준데이터'!$A$9:$E$26,4,FALSE),"")</f>
        <v/>
      </c>
      <c r="R23" s="13" t="n"/>
      <c r="S23" s="16">
        <f>IFERROR(MIN(I23+VLOOKUP(B23,'Reference Data 기준데이터'!$A$3:$J$5,10,FALSE),VLOOKUP(B23,'Reference Data 기준데이터'!$A$3:$J$5,6,FALSE)),"")</f>
        <v/>
      </c>
      <c r="T23" s="13" t="n"/>
      <c r="U23" s="13" t="n"/>
      <c r="V23" s="17">
        <f>IF(U23&lt;&gt;"",U23,IF(AND(T23&lt;&gt;"",R23&lt;&gt;""),"11-결과등록완료",IF(AND(R23&lt;&gt;"",T23=""),"10-시험완료",IF(AND(P23&lt;&gt;"",R23=""),"09-시험준비중",IF(AND(N23&lt;&gt;"",P23=""),"08-단품준비완료",IF(L23="Approved","05-계획서승인",IF(L23="Revision Needed","04-검토중_보완",IF(L23="Under Review","03-검토중",IF(AND(K23&lt;&gt;"",L23=""),"02-제출_미검토","01-미제출")))))))))</f>
        <v/>
      </c>
      <c r="W23" s="18">
        <f>IFS(V23="01-미제출",0,V23="02-제출_미검토",0.05,V23="03-검토중",0.1,V23="04-검토중_보완",0.05,V23="05-계획서승인",0.2,V23="06-BIW중단",0.15,V23="07-미인수",0.3,V23="08-단품준비완료",0.4,V23="09-시험준비중",0.55,V23="10-시험완료",0.85,V23="11-결과등록완료",1,V23="12-조건부승인",0.9,TRUE,0)</f>
        <v/>
      </c>
      <c r="X23" s="5">
        <f>IF(T23&lt;&gt;"","-",IF(S23="","N/A",S23-TODAY()))</f>
        <v/>
      </c>
      <c r="Y23" s="17">
        <f>IF(V23="11-결과등록완료","DONE",IF(U23="06-BIW중단","BLOCKED",IF(AND(K23="",J23&lt;TODAY()),"CRITICAL",IF(AND(ISNUMBER(X23),X23&lt;=0),"OVERDUE",IF(AND(ISNUMBER(X23),X23&lt;=14),"WARNING",IF(U23&lt;&gt;"","ACTION","ON TRACK"))))))</f>
        <v/>
      </c>
      <c r="Z23" s="5">
        <f>IF(OR(T23&lt;&gt;"",R23&lt;&gt;"",P23&lt;&gt;"",N23&lt;&gt;"",K23&lt;&gt;""),TODAY()-MAX(T23,R23,P23,N23,K23),"—")</f>
        <v/>
      </c>
      <c r="AA23" s="19">
        <f>IF(V23="11-결과등록완료","— 완료",IF(V23="01-미제출",IF(J23&lt;TODAY(),"계획서 제출 독촉 (OVERDUE)","계획서 제출 대기"),IF(V23="02-제출_미검토","설계자: 계획서 검토 착수",IF(V23="03-검토중","설계자: 승인 처리",IF(V23="04-검토중_보완","보완 요청 → 협력사 재제출 독촉",IF(V23="05-계획서승인","시험편 준비 현황 확인",IF(V23="06-BIW중단","BIW 생산팀 확인 → 일정 재수립",IF(V23="07-미인수","협력사 인수 독촉",IF(V23="08-단품준비완료","시험 일정 확인",IF(V23="09-시험준비중","시험 진행 모니터링",IF(V23="10-시험완료","결과 보고서 전산 등록 독촉",IF(V23="12-조건부승인","조건부 승인 여부 판단 → 관련부서 협의","—"))))))))))))</f>
        <v/>
      </c>
      <c r="AB23" s="15" t="n"/>
    </row>
    <row r="24">
      <c r="A24" s="5" t="n">
        <v>20</v>
      </c>
      <c r="B24" s="13" t="inlineStr">
        <is>
          <t>AE_PE</t>
        </is>
      </c>
      <c r="C24" s="14">
        <f>IFERROR(VLOOKUP(D24,'Reference Data 기준데이터'!$A$30:$D$41,2,FALSE),"")</f>
        <v/>
      </c>
      <c r="D24" s="15" t="inlineStr">
        <is>
          <t>시트(뒤)</t>
        </is>
      </c>
      <c r="E24" s="14">
        <f>IFERROR(VLOOKUP(D24,'Reference Data 기준데이터'!$A$30:$D$41,3,FALSE),"")</f>
        <v/>
      </c>
      <c r="F24" s="15" t="inlineStr">
        <is>
          <t>시트 내구 시험</t>
        </is>
      </c>
      <c r="G24" s="14">
        <f>IFERROR(VLOOKUP(F24,'Reference Data 기준데이터'!$A$9:$E$26,2,FALSE),"")</f>
        <v/>
      </c>
      <c r="H24" s="14">
        <f>IFERROR(VLOOKUP(F24,'Reference Data 기준데이터'!$A$9:$E$26,5,FALSE),"")</f>
        <v/>
      </c>
      <c r="I24" s="16">
        <f>IFERROR(VLOOKUP(B24,'Reference Data 기준데이터'!$A$3:$J$5,3,FALSE),"")</f>
        <v/>
      </c>
      <c r="J24" s="16">
        <f>IFERROR(I24+VLOOKUP(B24,'Reference Data 기준데이터'!$A$3:$J$5,7,FALSE),"")</f>
        <v/>
      </c>
      <c r="K24" s="20" t="n">
        <v>46047</v>
      </c>
      <c r="L24" s="13" t="inlineStr">
        <is>
          <t>Approved</t>
        </is>
      </c>
      <c r="M24" s="16">
        <f>IFERROR(I24+VLOOKUP(B24,'Reference Data 기준데이터'!$A$3:$J$5,8,FALSE),"")</f>
        <v/>
      </c>
      <c r="N24" s="20" t="n">
        <v>46086</v>
      </c>
      <c r="O24" s="16">
        <f>IFERROR(IF(G24="차량장착",MAX(I24+VLOOKUP(B24,'Reference Data 기준데이터'!$A$3:$J$5,9,FALSE),VLOOKUP(B24,'Reference Data 기준데이터'!$A$3:$J$5,4,FALSE)),I24+VLOOKUP(B24,'Reference Data 기준데이터'!$A$3:$J$5,9,FALSE)),"")</f>
        <v/>
      </c>
      <c r="P24" s="20" t="n">
        <v>46101</v>
      </c>
      <c r="Q24" s="16">
        <f>IFERROR(O24+VLOOKUP(F24,'Reference Data 기준데이터'!$A$9:$E$26,4,FALSE),"")</f>
        <v/>
      </c>
      <c r="R24" s="20" t="n">
        <v>46128</v>
      </c>
      <c r="S24" s="16">
        <f>IFERROR(MIN(I24+VLOOKUP(B24,'Reference Data 기준데이터'!$A$3:$J$5,10,FALSE),VLOOKUP(B24,'Reference Data 기준데이터'!$A$3:$J$5,6,FALSE)),"")</f>
        <v/>
      </c>
      <c r="T24" s="20" t="n">
        <v>46130</v>
      </c>
      <c r="U24" s="13" t="n"/>
      <c r="V24" s="17">
        <f>IF(U24&lt;&gt;"",U24,IF(AND(T24&lt;&gt;"",R24&lt;&gt;""),"11-결과등록완료",IF(AND(R24&lt;&gt;"",T24=""),"10-시험완료",IF(AND(P24&lt;&gt;"",R24=""),"09-시험준비중",IF(AND(N24&lt;&gt;"",P24=""),"08-단품준비완료",IF(L24="Approved","05-계획서승인",IF(L24="Revision Needed","04-검토중_보완",IF(L24="Under Review","03-검토중",IF(AND(K24&lt;&gt;"",L24=""),"02-제출_미검토","01-미제출")))))))))</f>
        <v/>
      </c>
      <c r="W24" s="18">
        <f>IFS(V24="01-미제출",0,V24="02-제출_미검토",0.05,V24="03-검토중",0.1,V24="04-검토중_보완",0.05,V24="05-계획서승인",0.2,V24="06-BIW중단",0.15,V24="07-미인수",0.3,V24="08-단품준비완료",0.4,V24="09-시험준비중",0.55,V24="10-시험완료",0.85,V24="11-결과등록완료",1,V24="12-조건부승인",0.9,TRUE,0)</f>
        <v/>
      </c>
      <c r="X24" s="5">
        <f>IF(T24&lt;&gt;"","-",IF(S24="","N/A",S24-TODAY()))</f>
        <v/>
      </c>
      <c r="Y24" s="17">
        <f>IF(V24="11-결과등록완료","DONE",IF(U24="06-BIW중단","BLOCKED",IF(AND(K24="",J24&lt;TODAY()),"CRITICAL",IF(AND(ISNUMBER(X24),X24&lt;=0),"OVERDUE",IF(AND(ISNUMBER(X24),X24&lt;=14),"WARNING",IF(U24&lt;&gt;"","ACTION","ON TRACK"))))))</f>
        <v/>
      </c>
      <c r="Z24" s="5">
        <f>IF(OR(T24&lt;&gt;"",R24&lt;&gt;"",P24&lt;&gt;"",N24&lt;&gt;"",K24&lt;&gt;""),TODAY()-MAX(T24,R24,P24,N24,K24),"—")</f>
        <v/>
      </c>
      <c r="AA24" s="19">
        <f>IF(V24="11-결과등록완료","— 완료",IF(V24="01-미제출",IF(J24&lt;TODAY(),"계획서 제출 독촉 (OVERDUE)","계획서 제출 대기"),IF(V24="02-제출_미검토","설계자: 계획서 검토 착수",IF(V24="03-검토중","설계자: 승인 처리",IF(V24="04-검토중_보완","보완 요청 → 협력사 재제출 독촉",IF(V24="05-계획서승인","시험편 준비 현황 확인",IF(V24="06-BIW중단","BIW 생산팀 확인 → 일정 재수립",IF(V24="07-미인수","협력사 인수 독촉",IF(V24="08-단품준비완료","시험 일정 확인",IF(V24="09-시험준비중","시험 진행 모니터링",IF(V24="10-시험완료","결과 보고서 전산 등록 독촉",IF(V24="12-조건부승인","조건부 승인 여부 판단 → 관련부서 협의","—"))))))))))))</f>
        <v/>
      </c>
      <c r="AB24" s="15" t="n"/>
    </row>
    <row r="25">
      <c r="A25" s="5" t="n">
        <v>21</v>
      </c>
      <c r="B25" s="13" t="inlineStr">
        <is>
          <t>AE_PE</t>
        </is>
      </c>
      <c r="C25" s="14">
        <f>IFERROR(VLOOKUP(D25,'Reference Data 기준데이터'!$A$30:$D$41,2,FALSE),"")</f>
        <v/>
      </c>
      <c r="D25" s="15" t="inlineStr">
        <is>
          <t>시트(뒤)</t>
        </is>
      </c>
      <c r="E25" s="14">
        <f>IFERROR(VLOOKUP(D25,'Reference Data 기준데이터'!$A$30:$D$41,3,FALSE),"")</f>
        <v/>
      </c>
      <c r="F25" s="15" t="inlineStr">
        <is>
          <t>안전벨트 앵커리지</t>
        </is>
      </c>
      <c r="G25" s="14">
        <f>IFERROR(VLOOKUP(F25,'Reference Data 기준데이터'!$A$9:$E$26,2,FALSE),"")</f>
        <v/>
      </c>
      <c r="H25" s="14">
        <f>IFERROR(VLOOKUP(F25,'Reference Data 기준데이터'!$A$9:$E$26,5,FALSE),"")</f>
        <v/>
      </c>
      <c r="I25" s="16">
        <f>IFERROR(VLOOKUP(B25,'Reference Data 기준데이터'!$A$3:$J$5,3,FALSE),"")</f>
        <v/>
      </c>
      <c r="J25" s="16">
        <f>IFERROR(I25+VLOOKUP(B25,'Reference Data 기준데이터'!$A$3:$J$5,7,FALSE),"")</f>
        <v/>
      </c>
      <c r="K25" s="20" t="n">
        <v>46048</v>
      </c>
      <c r="L25" s="13" t="inlineStr">
        <is>
          <t>Approved</t>
        </is>
      </c>
      <c r="M25" s="16">
        <f>IFERROR(I25+VLOOKUP(B25,'Reference Data 기준데이터'!$A$3:$J$5,8,FALSE),"")</f>
        <v/>
      </c>
      <c r="N25" s="20" t="n">
        <v>46087</v>
      </c>
      <c r="O25" s="16">
        <f>IFERROR(IF(G25="차량장착",MAX(I25+VLOOKUP(B25,'Reference Data 기준데이터'!$A$3:$J$5,9,FALSE),VLOOKUP(B25,'Reference Data 기준데이터'!$A$3:$J$5,4,FALSE)),I25+VLOOKUP(B25,'Reference Data 기준데이터'!$A$3:$J$5,9,FALSE)),"")</f>
        <v/>
      </c>
      <c r="P25" s="20" t="n">
        <v>46102</v>
      </c>
      <c r="Q25" s="16">
        <f>IFERROR(O25+VLOOKUP(F25,'Reference Data 기준데이터'!$A$9:$E$26,4,FALSE),"")</f>
        <v/>
      </c>
      <c r="R25" s="20" t="n">
        <v>46122</v>
      </c>
      <c r="S25" s="16">
        <f>IFERROR(MIN(I25+VLOOKUP(B25,'Reference Data 기준데이터'!$A$3:$J$5,10,FALSE),VLOOKUP(B25,'Reference Data 기준데이터'!$A$3:$J$5,6,FALSE)),"")</f>
        <v/>
      </c>
      <c r="T25" s="13" t="n"/>
      <c r="U25" s="13" t="n"/>
      <c r="V25" s="17">
        <f>IF(U25&lt;&gt;"",U25,IF(AND(T25&lt;&gt;"",R25&lt;&gt;""),"11-결과등록완료",IF(AND(R25&lt;&gt;"",T25=""),"10-시험완료",IF(AND(P25&lt;&gt;"",R25=""),"09-시험준비중",IF(AND(N25&lt;&gt;"",P25=""),"08-단품준비완료",IF(L25="Approved","05-계획서승인",IF(L25="Revision Needed","04-검토중_보완",IF(L25="Under Review","03-검토중",IF(AND(K25&lt;&gt;"",L25=""),"02-제출_미검토","01-미제출")))))))))</f>
        <v/>
      </c>
      <c r="W25" s="18">
        <f>IFS(V25="01-미제출",0,V25="02-제출_미검토",0.05,V25="03-검토중",0.1,V25="04-검토중_보완",0.05,V25="05-계획서승인",0.2,V25="06-BIW중단",0.15,V25="07-미인수",0.3,V25="08-단품준비완료",0.4,V25="09-시험준비중",0.55,V25="10-시험완료",0.85,V25="11-결과등록완료",1,V25="12-조건부승인",0.9,TRUE,0)</f>
        <v/>
      </c>
      <c r="X25" s="5">
        <f>IF(T25&lt;&gt;"","-",IF(S25="","N/A",S25-TODAY()))</f>
        <v/>
      </c>
      <c r="Y25" s="17">
        <f>IF(V25="11-결과등록완료","DONE",IF(U25="06-BIW중단","BLOCKED",IF(AND(K25="",J25&lt;TODAY()),"CRITICAL",IF(AND(ISNUMBER(X25),X25&lt;=0),"OVERDUE",IF(AND(ISNUMBER(X25),X25&lt;=14),"WARNING",IF(U25&lt;&gt;"","ACTION","ON TRACK"))))))</f>
        <v/>
      </c>
      <c r="Z25" s="5">
        <f>IF(OR(T25&lt;&gt;"",R25&lt;&gt;"",P25&lt;&gt;"",N25&lt;&gt;"",K25&lt;&gt;""),TODAY()-MAX(T25,R25,P25,N25,K25),"—")</f>
        <v/>
      </c>
      <c r="AA25" s="19">
        <f>IF(V25="11-결과등록완료","— 완료",IF(V25="01-미제출",IF(J25&lt;TODAY(),"계획서 제출 독촉 (OVERDUE)","계획서 제출 대기"),IF(V25="02-제출_미검토","설계자: 계획서 검토 착수",IF(V25="03-검토중","설계자: 승인 처리",IF(V25="04-검토중_보완","보완 요청 → 협력사 재제출 독촉",IF(V25="05-계획서승인","시험편 준비 현황 확인",IF(V25="06-BIW중단","BIW 생산팀 확인 → 일정 재수립",IF(V25="07-미인수","협력사 인수 독촉",IF(V25="08-단품준비완료","시험 일정 확인",IF(V25="09-시험준비중","시험 진행 모니터링",IF(V25="10-시험완료","결과 보고서 전산 등록 독촉",IF(V25="12-조건부승인","조건부 승인 여부 판단 → 관련부서 협의","—"))))))))))))</f>
        <v/>
      </c>
      <c r="AB25" s="15" t="n"/>
    </row>
    <row r="26">
      <c r="A26" s="5" t="n">
        <v>22</v>
      </c>
      <c r="B26" s="13" t="inlineStr">
        <is>
          <t>AE_PE</t>
        </is>
      </c>
      <c r="C26" s="14">
        <f>IFERROR(VLOOKUP(D26,'Reference Data 기준데이터'!$A$30:$D$41,2,FALSE),"")</f>
        <v/>
      </c>
      <c r="D26" s="15" t="inlineStr">
        <is>
          <t>시트(뒤)</t>
        </is>
      </c>
      <c r="E26" s="14">
        <f>IFERROR(VLOOKUP(D26,'Reference Data 기준데이터'!$A$30:$D$41,3,FALSE),"")</f>
        <v/>
      </c>
      <c r="F26" s="15" t="inlineStr">
        <is>
          <t>ISOFIX 강도 시험</t>
        </is>
      </c>
      <c r="G26" s="14">
        <f>IFERROR(VLOOKUP(F26,'Reference Data 기준데이터'!$A$9:$E$26,2,FALSE),"")</f>
        <v/>
      </c>
      <c r="H26" s="14">
        <f>IFERROR(VLOOKUP(F26,'Reference Data 기준데이터'!$A$9:$E$26,5,FALSE),"")</f>
        <v/>
      </c>
      <c r="I26" s="16">
        <f>IFERROR(VLOOKUP(B26,'Reference Data 기준데이터'!$A$3:$J$5,3,FALSE),"")</f>
        <v/>
      </c>
      <c r="J26" s="16">
        <f>IFERROR(I26+VLOOKUP(B26,'Reference Data 기준데이터'!$A$3:$J$5,7,FALSE),"")</f>
        <v/>
      </c>
      <c r="K26" s="20" t="n">
        <v>46049</v>
      </c>
      <c r="L26" s="13" t="inlineStr">
        <is>
          <t>Approved</t>
        </is>
      </c>
      <c r="M26" s="16">
        <f>IFERROR(I26+VLOOKUP(B26,'Reference Data 기준데이터'!$A$3:$J$5,8,FALSE),"")</f>
        <v/>
      </c>
      <c r="N26" s="20" t="n">
        <v>46088</v>
      </c>
      <c r="O26" s="16">
        <f>IFERROR(IF(G26="차량장착",MAX(I26+VLOOKUP(B26,'Reference Data 기준데이터'!$A$3:$J$5,9,FALSE),VLOOKUP(B26,'Reference Data 기준데이터'!$A$3:$J$5,4,FALSE)),I26+VLOOKUP(B26,'Reference Data 기준데이터'!$A$3:$J$5,9,FALSE)),"")</f>
        <v/>
      </c>
      <c r="P26" s="20" t="n">
        <v>46103</v>
      </c>
      <c r="Q26" s="16">
        <f>IFERROR(O26+VLOOKUP(F26,'Reference Data 기준데이터'!$A$9:$E$26,4,FALSE),"")</f>
        <v/>
      </c>
      <c r="R26" s="13" t="n"/>
      <c r="S26" s="16">
        <f>IFERROR(MIN(I26+VLOOKUP(B26,'Reference Data 기준데이터'!$A$3:$J$5,10,FALSE),VLOOKUP(B26,'Reference Data 기준데이터'!$A$3:$J$5,6,FALSE)),"")</f>
        <v/>
      </c>
      <c r="T26" s="13" t="n"/>
      <c r="U26" s="13" t="n"/>
      <c r="V26" s="17">
        <f>IF(U26&lt;&gt;"",U26,IF(AND(T26&lt;&gt;"",R26&lt;&gt;""),"11-결과등록완료",IF(AND(R26&lt;&gt;"",T26=""),"10-시험완료",IF(AND(P26&lt;&gt;"",R26=""),"09-시험준비중",IF(AND(N26&lt;&gt;"",P26=""),"08-단품준비완료",IF(L26="Approved","05-계획서승인",IF(L26="Revision Needed","04-검토중_보완",IF(L26="Under Review","03-검토중",IF(AND(K26&lt;&gt;"",L26=""),"02-제출_미검토","01-미제출")))))))))</f>
        <v/>
      </c>
      <c r="W26" s="18">
        <f>IFS(V26="01-미제출",0,V26="02-제출_미검토",0.05,V26="03-검토중",0.1,V26="04-검토중_보완",0.05,V26="05-계획서승인",0.2,V26="06-BIW중단",0.15,V26="07-미인수",0.3,V26="08-단품준비완료",0.4,V26="09-시험준비중",0.55,V26="10-시험완료",0.85,V26="11-결과등록완료",1,V26="12-조건부승인",0.9,TRUE,0)</f>
        <v/>
      </c>
      <c r="X26" s="5">
        <f>IF(T26&lt;&gt;"","-",IF(S26="","N/A",S26-TODAY()))</f>
        <v/>
      </c>
      <c r="Y26" s="17">
        <f>IF(V26="11-결과등록완료","DONE",IF(U26="06-BIW중단","BLOCKED",IF(AND(K26="",J26&lt;TODAY()),"CRITICAL",IF(AND(ISNUMBER(X26),X26&lt;=0),"OVERDUE",IF(AND(ISNUMBER(X26),X26&lt;=14),"WARNING",IF(U26&lt;&gt;"","ACTION","ON TRACK"))))))</f>
        <v/>
      </c>
      <c r="Z26" s="5">
        <f>IF(OR(T26&lt;&gt;"",R26&lt;&gt;"",P26&lt;&gt;"",N26&lt;&gt;"",K26&lt;&gt;""),TODAY()-MAX(T26,R26,P26,N26,K26),"—")</f>
        <v/>
      </c>
      <c r="AA26" s="19">
        <f>IF(V26="11-결과등록완료","— 완료",IF(V26="01-미제출",IF(J26&lt;TODAY(),"계획서 제출 독촉 (OVERDUE)","계획서 제출 대기"),IF(V26="02-제출_미검토","설계자: 계획서 검토 착수",IF(V26="03-검토중","설계자: 승인 처리",IF(V26="04-검토중_보완","보완 요청 → 협력사 재제출 독촉",IF(V26="05-계획서승인","시험편 준비 현황 확인",IF(V26="06-BIW중단","BIW 생산팀 확인 → 일정 재수립",IF(V26="07-미인수","협력사 인수 독촉",IF(V26="08-단품준비완료","시험 일정 확인",IF(V26="09-시험준비중","시험 진행 모니터링",IF(V26="10-시험완료","결과 보고서 전산 등록 독촉",IF(V26="12-조건부승인","조건부 승인 여부 판단 → 관련부서 협의","—"))))))))))))</f>
        <v/>
      </c>
      <c r="AB26" s="15" t="n"/>
    </row>
    <row r="27">
      <c r="A27" s="5" t="n">
        <v>23</v>
      </c>
      <c r="B27" s="13" t="inlineStr">
        <is>
          <t>AE_PE</t>
        </is>
      </c>
      <c r="C27" s="14">
        <f>IFERROR(VLOOKUP(D27,'Reference Data 기준데이터'!$A$30:$D$41,2,FALSE),"")</f>
        <v/>
      </c>
      <c r="D27" s="15" t="inlineStr">
        <is>
          <t>시트(뒤)</t>
        </is>
      </c>
      <c r="E27" s="14">
        <f>IFERROR(VLOOKUP(D27,'Reference Data 기준데이터'!$A$30:$D$41,3,FALSE),"")</f>
        <v/>
      </c>
      <c r="F27" s="15" t="inlineStr">
        <is>
          <t>수하물 충격 시험</t>
        </is>
      </c>
      <c r="G27" s="14">
        <f>IFERROR(VLOOKUP(F27,'Reference Data 기준데이터'!$A$9:$E$26,2,FALSE),"")</f>
        <v/>
      </c>
      <c r="H27" s="14">
        <f>IFERROR(VLOOKUP(F27,'Reference Data 기준데이터'!$A$9:$E$26,5,FALSE),"")</f>
        <v/>
      </c>
      <c r="I27" s="16">
        <f>IFERROR(VLOOKUP(B27,'Reference Data 기준데이터'!$A$3:$J$5,3,FALSE),"")</f>
        <v/>
      </c>
      <c r="J27" s="16">
        <f>IFERROR(I27+VLOOKUP(B27,'Reference Data 기준데이터'!$A$3:$J$5,7,FALSE),"")</f>
        <v/>
      </c>
      <c r="K27" s="20" t="n">
        <v>46050</v>
      </c>
      <c r="L27" s="13" t="inlineStr">
        <is>
          <t>Approved</t>
        </is>
      </c>
      <c r="M27" s="16">
        <f>IFERROR(I27+VLOOKUP(B27,'Reference Data 기준데이터'!$A$3:$J$5,8,FALSE),"")</f>
        <v/>
      </c>
      <c r="N27" s="20" t="n">
        <v>46089</v>
      </c>
      <c r="O27" s="16">
        <f>IFERROR(IF(G27="차량장착",MAX(I27+VLOOKUP(B27,'Reference Data 기준데이터'!$A$3:$J$5,9,FALSE),VLOOKUP(B27,'Reference Data 기준데이터'!$A$3:$J$5,4,FALSE)),I27+VLOOKUP(B27,'Reference Data 기준데이터'!$A$3:$J$5,9,FALSE)),"")</f>
        <v/>
      </c>
      <c r="P27" s="20" t="n">
        <v>46104</v>
      </c>
      <c r="Q27" s="16">
        <f>IFERROR(O27+VLOOKUP(F27,'Reference Data 기준데이터'!$A$9:$E$26,4,FALSE),"")</f>
        <v/>
      </c>
      <c r="R27" s="20" t="n">
        <v>46124</v>
      </c>
      <c r="S27" s="16">
        <f>IFERROR(MIN(I27+VLOOKUP(B27,'Reference Data 기준데이터'!$A$3:$J$5,10,FALSE),VLOOKUP(B27,'Reference Data 기준데이터'!$A$3:$J$5,6,FALSE)),"")</f>
        <v/>
      </c>
      <c r="T27" s="20" t="n">
        <v>46133</v>
      </c>
      <c r="U27" s="13" t="n"/>
      <c r="V27" s="17">
        <f>IF(U27&lt;&gt;"",U27,IF(AND(T27&lt;&gt;"",R27&lt;&gt;""),"11-결과등록완료",IF(AND(R27&lt;&gt;"",T27=""),"10-시험완료",IF(AND(P27&lt;&gt;"",R27=""),"09-시험준비중",IF(AND(N27&lt;&gt;"",P27=""),"08-단품준비완료",IF(L27="Approved","05-계획서승인",IF(L27="Revision Needed","04-검토중_보완",IF(L27="Under Review","03-검토중",IF(AND(K27&lt;&gt;"",L27=""),"02-제출_미검토","01-미제출")))))))))</f>
        <v/>
      </c>
      <c r="W27" s="18">
        <f>IFS(V27="01-미제출",0,V27="02-제출_미검토",0.05,V27="03-검토중",0.1,V27="04-검토중_보완",0.05,V27="05-계획서승인",0.2,V27="06-BIW중단",0.15,V27="07-미인수",0.3,V27="08-단품준비완료",0.4,V27="09-시험준비중",0.55,V27="10-시험완료",0.85,V27="11-결과등록완료",1,V27="12-조건부승인",0.9,TRUE,0)</f>
        <v/>
      </c>
      <c r="X27" s="5">
        <f>IF(T27&lt;&gt;"","-",IF(S27="","N/A",S27-TODAY()))</f>
        <v/>
      </c>
      <c r="Y27" s="17">
        <f>IF(V27="11-결과등록완료","DONE",IF(U27="06-BIW중단","BLOCKED",IF(AND(K27="",J27&lt;TODAY()),"CRITICAL",IF(AND(ISNUMBER(X27),X27&lt;=0),"OVERDUE",IF(AND(ISNUMBER(X27),X27&lt;=14),"WARNING",IF(U27&lt;&gt;"","ACTION","ON TRACK"))))))</f>
        <v/>
      </c>
      <c r="Z27" s="5">
        <f>IF(OR(T27&lt;&gt;"",R27&lt;&gt;"",P27&lt;&gt;"",N27&lt;&gt;"",K27&lt;&gt;""),TODAY()-MAX(T27,R27,P27,N27,K27),"—")</f>
        <v/>
      </c>
      <c r="AA27" s="19">
        <f>IF(V27="11-결과등록완료","— 완료",IF(V27="01-미제출",IF(J27&lt;TODAY(),"계획서 제출 독촉 (OVERDUE)","계획서 제출 대기"),IF(V27="02-제출_미검토","설계자: 계획서 검토 착수",IF(V27="03-검토중","설계자: 승인 처리",IF(V27="04-검토중_보완","보완 요청 → 협력사 재제출 독촉",IF(V27="05-계획서승인","시험편 준비 현황 확인",IF(V27="06-BIW중단","BIW 생산팀 확인 → 일정 재수립",IF(V27="07-미인수","협력사 인수 독촉",IF(V27="08-단품준비완료","시험 일정 확인",IF(V27="09-시험준비중","시험 진행 모니터링",IF(V27="10-시험완료","결과 보고서 전산 등록 독촉",IF(V27="12-조건부승인","조건부 승인 여부 판단 → 관련부서 협의","—"))))))))))))</f>
        <v/>
      </c>
      <c r="AB27" s="15" t="n"/>
    </row>
    <row r="28">
      <c r="A28" s="5" t="n">
        <v>24</v>
      </c>
      <c r="B28" s="13" t="inlineStr">
        <is>
          <t>SU2i</t>
        </is>
      </c>
      <c r="C28" s="14">
        <f>IFERROR(VLOOKUP(D28,'Reference Data 기준데이터'!$A$30:$D$41,2,FALSE),"")</f>
        <v/>
      </c>
      <c r="D28" s="15" t="inlineStr">
        <is>
          <t>센터콘솔</t>
        </is>
      </c>
      <c r="E28" s="14">
        <f>IFERROR(VLOOKUP(D28,'Reference Data 기준데이터'!$A$30:$D$41,3,FALSE),"")</f>
        <v/>
      </c>
      <c r="F28" s="15" t="inlineStr">
        <is>
          <t>EMC 시험</t>
        </is>
      </c>
      <c r="G28" s="14">
        <f>IFERROR(VLOOKUP(F28,'Reference Data 기준데이터'!$A$9:$E$26,2,FALSE),"")</f>
        <v/>
      </c>
      <c r="H28" s="14">
        <f>IFERROR(VLOOKUP(F28,'Reference Data 기준데이터'!$A$9:$E$26,5,FALSE),"")</f>
        <v/>
      </c>
      <c r="I28" s="16">
        <f>IFERROR(VLOOKUP(B28,'Reference Data 기준데이터'!$A$3:$J$5,3,FALSE),"")</f>
        <v/>
      </c>
      <c r="J28" s="16">
        <f>IFERROR(I28+VLOOKUP(B28,'Reference Data 기준데이터'!$A$3:$J$5,7,FALSE),"")</f>
        <v/>
      </c>
      <c r="K28" s="13" t="n"/>
      <c r="L28" s="13" t="n"/>
      <c r="M28" s="16">
        <f>IFERROR(I28+VLOOKUP(B28,'Reference Data 기준데이터'!$A$3:$J$5,8,FALSE),"")</f>
        <v/>
      </c>
      <c r="N28" s="13" t="n"/>
      <c r="O28" s="16">
        <f>IFERROR(IF(G28="차량장착",MAX(I28+VLOOKUP(B28,'Reference Data 기준데이터'!$A$3:$J$5,9,FALSE),VLOOKUP(B28,'Reference Data 기준데이터'!$A$3:$J$5,4,FALSE)),I28+VLOOKUP(B28,'Reference Data 기준데이터'!$A$3:$J$5,9,FALSE)),"")</f>
        <v/>
      </c>
      <c r="P28" s="13" t="n"/>
      <c r="Q28" s="16">
        <f>IFERROR(O28+VLOOKUP(F28,'Reference Data 기준데이터'!$A$9:$E$26,4,FALSE),"")</f>
        <v/>
      </c>
      <c r="R28" s="13" t="n"/>
      <c r="S28" s="16">
        <f>IFERROR(MIN(I28+VLOOKUP(B28,'Reference Data 기준데이터'!$A$3:$J$5,10,FALSE),VLOOKUP(B28,'Reference Data 기준데이터'!$A$3:$J$5,6,FALSE)),"")</f>
        <v/>
      </c>
      <c r="T28" s="13" t="n"/>
      <c r="U28" s="13" t="n"/>
      <c r="V28" s="17">
        <f>IF(U28&lt;&gt;"",U28,IF(AND(T28&lt;&gt;"",R28&lt;&gt;""),"11-결과등록완료",IF(AND(R28&lt;&gt;"",T28=""),"10-시험완료",IF(AND(P28&lt;&gt;"",R28=""),"09-시험준비중",IF(AND(N28&lt;&gt;"",P28=""),"08-단품준비완료",IF(L28="Approved","05-계획서승인",IF(L28="Revision Needed","04-검토중_보완",IF(L28="Under Review","03-검토중",IF(AND(K28&lt;&gt;"",L28=""),"02-제출_미검토","01-미제출")))))))))</f>
        <v/>
      </c>
      <c r="W28" s="18">
        <f>IFS(V28="01-미제출",0,V28="02-제출_미검토",0.05,V28="03-검토중",0.1,V28="04-검토중_보완",0.05,V28="05-계획서승인",0.2,V28="06-BIW중단",0.15,V28="07-미인수",0.3,V28="08-단품준비완료",0.4,V28="09-시험준비중",0.55,V28="10-시험완료",0.85,V28="11-결과등록완료",1,V28="12-조건부승인",0.9,TRUE,0)</f>
        <v/>
      </c>
      <c r="X28" s="5">
        <f>IF(T28&lt;&gt;"","-",IF(S28="","N/A",S28-TODAY()))</f>
        <v/>
      </c>
      <c r="Y28" s="17">
        <f>IF(V28="11-결과등록완료","DONE",IF(U28="06-BIW중단","BLOCKED",IF(AND(K28="",J28&lt;TODAY()),"CRITICAL",IF(AND(ISNUMBER(X28),X28&lt;=0),"OVERDUE",IF(AND(ISNUMBER(X28),X28&lt;=14),"WARNING",IF(U28&lt;&gt;"","ACTION","ON TRACK"))))))</f>
        <v/>
      </c>
      <c r="Z28" s="5">
        <f>IF(OR(T28&lt;&gt;"",R28&lt;&gt;"",P28&lt;&gt;"",N28&lt;&gt;"",K28&lt;&gt;""),TODAY()-MAX(T28,R28,P28,N28,K28),"—")</f>
        <v/>
      </c>
      <c r="AA28" s="19">
        <f>IF(V28="11-결과등록완료","— 완료",IF(V28="01-미제출",IF(J28&lt;TODAY(),"계획서 제출 독촉 (OVERDUE)","계획서 제출 대기"),IF(V28="02-제출_미검토","설계자: 계획서 검토 착수",IF(V28="03-검토중","설계자: 승인 처리",IF(V28="04-검토중_보완","보완 요청 → 협력사 재제출 독촉",IF(V28="05-계획서승인","시험편 준비 현황 확인",IF(V28="06-BIW중단","BIW 생산팀 확인 → 일정 재수립",IF(V28="07-미인수","협력사 인수 독촉",IF(V28="08-단품준비완료","시험 일정 확인",IF(V28="09-시험준비중","시험 진행 모니터링",IF(V28="10-시험완료","결과 보고서 전산 등록 독촉",IF(V28="12-조건부승인","조건부 승인 여부 판단 → 관련부서 협의","—"))))))))))))</f>
        <v/>
      </c>
      <c r="AB28" s="15" t="n"/>
    </row>
    <row r="29">
      <c r="A29" s="5" t="n">
        <v>25</v>
      </c>
      <c r="B29" s="13" t="inlineStr">
        <is>
          <t>SU2i</t>
        </is>
      </c>
      <c r="C29" s="14">
        <f>IFERROR(VLOOKUP(D29,'Reference Data 기준데이터'!$A$30:$D$41,2,FALSE),"")</f>
        <v/>
      </c>
      <c r="D29" s="15" t="inlineStr">
        <is>
          <t>센터콘솔</t>
        </is>
      </c>
      <c r="E29" s="14">
        <f>IFERROR(VLOOKUP(D29,'Reference Data 기준데이터'!$A$30:$D$41,3,FALSE),"")</f>
        <v/>
      </c>
      <c r="F29" s="15" t="inlineStr">
        <is>
          <t>VOC 방출 시험</t>
        </is>
      </c>
      <c r="G29" s="14">
        <f>IFERROR(VLOOKUP(F29,'Reference Data 기준데이터'!$A$9:$E$26,2,FALSE),"")</f>
        <v/>
      </c>
      <c r="H29" s="14">
        <f>IFERROR(VLOOKUP(F29,'Reference Data 기준데이터'!$A$9:$E$26,5,FALSE),"")</f>
        <v/>
      </c>
      <c r="I29" s="16">
        <f>IFERROR(VLOOKUP(B29,'Reference Data 기준데이터'!$A$3:$J$5,3,FALSE),"")</f>
        <v/>
      </c>
      <c r="J29" s="16">
        <f>IFERROR(I29+VLOOKUP(B29,'Reference Data 기준데이터'!$A$3:$J$5,7,FALSE),"")</f>
        <v/>
      </c>
      <c r="K29" s="20" t="n">
        <v>46092</v>
      </c>
      <c r="L29" s="13" t="inlineStr">
        <is>
          <t>Approved</t>
        </is>
      </c>
      <c r="M29" s="16">
        <f>IFERROR(I29+VLOOKUP(B29,'Reference Data 기준데이터'!$A$3:$J$5,8,FALSE),"")</f>
        <v/>
      </c>
      <c r="N29" s="13" t="n"/>
      <c r="O29" s="16">
        <f>IFERROR(IF(G29="차량장착",MAX(I29+VLOOKUP(B29,'Reference Data 기준데이터'!$A$3:$J$5,9,FALSE),VLOOKUP(B29,'Reference Data 기준데이터'!$A$3:$J$5,4,FALSE)),I29+VLOOKUP(B29,'Reference Data 기준데이터'!$A$3:$J$5,9,FALSE)),"")</f>
        <v/>
      </c>
      <c r="P29" s="13" t="n"/>
      <c r="Q29" s="16">
        <f>IFERROR(O29+VLOOKUP(F29,'Reference Data 기준데이터'!$A$9:$E$26,4,FALSE),"")</f>
        <v/>
      </c>
      <c r="R29" s="13" t="n"/>
      <c r="S29" s="16">
        <f>IFERROR(MIN(I29+VLOOKUP(B29,'Reference Data 기준데이터'!$A$3:$J$5,10,FALSE),VLOOKUP(B29,'Reference Data 기준데이터'!$A$3:$J$5,6,FALSE)),"")</f>
        <v/>
      </c>
      <c r="T29" s="13" t="n"/>
      <c r="U29" s="13" t="n"/>
      <c r="V29" s="17">
        <f>IF(U29&lt;&gt;"",U29,IF(AND(T29&lt;&gt;"",R29&lt;&gt;""),"11-결과등록완료",IF(AND(R29&lt;&gt;"",T29=""),"10-시험완료",IF(AND(P29&lt;&gt;"",R29=""),"09-시험준비중",IF(AND(N29&lt;&gt;"",P29=""),"08-단품준비완료",IF(L29="Approved","05-계획서승인",IF(L29="Revision Needed","04-검토중_보완",IF(L29="Under Review","03-검토중",IF(AND(K29&lt;&gt;"",L29=""),"02-제출_미검토","01-미제출")))))))))</f>
        <v/>
      </c>
      <c r="W29" s="18">
        <f>IFS(V29="01-미제출",0,V29="02-제출_미검토",0.05,V29="03-검토중",0.1,V29="04-검토중_보완",0.05,V29="05-계획서승인",0.2,V29="06-BIW중단",0.15,V29="07-미인수",0.3,V29="08-단품준비완료",0.4,V29="09-시험준비중",0.55,V29="10-시험완료",0.85,V29="11-결과등록완료",1,V29="12-조건부승인",0.9,TRUE,0)</f>
        <v/>
      </c>
      <c r="X29" s="5">
        <f>IF(T29&lt;&gt;"","-",IF(S29="","N/A",S29-TODAY()))</f>
        <v/>
      </c>
      <c r="Y29" s="17">
        <f>IF(V29="11-결과등록완료","DONE",IF(U29="06-BIW중단","BLOCKED",IF(AND(K29="",J29&lt;TODAY()),"CRITICAL",IF(AND(ISNUMBER(X29),X29&lt;=0),"OVERDUE",IF(AND(ISNUMBER(X29),X29&lt;=14),"WARNING",IF(U29&lt;&gt;"","ACTION","ON TRACK"))))))</f>
        <v/>
      </c>
      <c r="Z29" s="5">
        <f>IF(OR(T29&lt;&gt;"",R29&lt;&gt;"",P29&lt;&gt;"",N29&lt;&gt;"",K29&lt;&gt;""),TODAY()-MAX(T29,R29,P29,N29,K29),"—")</f>
        <v/>
      </c>
      <c r="AA29" s="19">
        <f>IF(V29="11-결과등록완료","— 완료",IF(V29="01-미제출",IF(J29&lt;TODAY(),"계획서 제출 독촉 (OVERDUE)","계획서 제출 대기"),IF(V29="02-제출_미검토","설계자: 계획서 검토 착수",IF(V29="03-검토중","설계자: 승인 처리",IF(V29="04-검토중_보완","보완 요청 → 협력사 재제출 독촉",IF(V29="05-계획서승인","시험편 준비 현황 확인",IF(V29="06-BIW중단","BIW 생산팀 확인 → 일정 재수립",IF(V29="07-미인수","협력사 인수 독촉",IF(V29="08-단품준비완료","시험 일정 확인",IF(V29="09-시험준비중","시험 진행 모니터링",IF(V29="10-시험완료","결과 보고서 전산 등록 독촉",IF(V29="12-조건부승인","조건부 승인 여부 판단 → 관련부서 협의","—"))))))))))))</f>
        <v/>
      </c>
      <c r="AB29" s="15" t="n"/>
    </row>
    <row r="30">
      <c r="A30" s="5" t="n">
        <v>26</v>
      </c>
      <c r="B30" s="13" t="inlineStr">
        <is>
          <t>SU2i</t>
        </is>
      </c>
      <c r="C30" s="14">
        <f>IFERROR(VLOOKUP(D30,'Reference Data 기준데이터'!$A$30:$D$41,2,FALSE),"")</f>
        <v/>
      </c>
      <c r="D30" s="15" t="inlineStr">
        <is>
          <t>센터콘솔</t>
        </is>
      </c>
      <c r="E30" s="14">
        <f>IFERROR(VLOOKUP(D30,'Reference Data 기준데이터'!$A$30:$D$41,3,FALSE),"")</f>
        <v/>
      </c>
      <c r="F30" s="15" t="inlineStr">
        <is>
          <t>연소성 시험</t>
        </is>
      </c>
      <c r="G30" s="14">
        <f>IFERROR(VLOOKUP(F30,'Reference Data 기준데이터'!$A$9:$E$26,2,FALSE),"")</f>
        <v/>
      </c>
      <c r="H30" s="14">
        <f>IFERROR(VLOOKUP(F30,'Reference Data 기준데이터'!$A$9:$E$26,5,FALSE),"")</f>
        <v/>
      </c>
      <c r="I30" s="16">
        <f>IFERROR(VLOOKUP(B30,'Reference Data 기준데이터'!$A$3:$J$5,3,FALSE),"")</f>
        <v/>
      </c>
      <c r="J30" s="16">
        <f>IFERROR(I30+VLOOKUP(B30,'Reference Data 기준데이터'!$A$3:$J$5,7,FALSE),"")</f>
        <v/>
      </c>
      <c r="K30" s="20" t="n">
        <v>46093</v>
      </c>
      <c r="L30" s="13" t="inlineStr">
        <is>
          <t>Approved</t>
        </is>
      </c>
      <c r="M30" s="16">
        <f>IFERROR(I30+VLOOKUP(B30,'Reference Data 기준데이터'!$A$3:$J$5,8,FALSE),"")</f>
        <v/>
      </c>
      <c r="N30" s="20" t="n">
        <v>46129</v>
      </c>
      <c r="O30" s="16">
        <f>IFERROR(IF(G30="차량장착",MAX(I30+VLOOKUP(B30,'Reference Data 기준데이터'!$A$3:$J$5,9,FALSE),VLOOKUP(B30,'Reference Data 기준데이터'!$A$3:$J$5,4,FALSE)),I30+VLOOKUP(B30,'Reference Data 기준데이터'!$A$3:$J$5,9,FALSE)),"")</f>
        <v/>
      </c>
      <c r="P30" s="20" t="n">
        <v>46146</v>
      </c>
      <c r="Q30" s="16">
        <f>IFERROR(O30+VLOOKUP(F30,'Reference Data 기준데이터'!$A$9:$E$26,4,FALSE),"")</f>
        <v/>
      </c>
      <c r="R30" s="13" t="n"/>
      <c r="S30" s="16">
        <f>IFERROR(MIN(I30+VLOOKUP(B30,'Reference Data 기준데이터'!$A$3:$J$5,10,FALSE),VLOOKUP(B30,'Reference Data 기준데이터'!$A$3:$J$5,6,FALSE)),"")</f>
        <v/>
      </c>
      <c r="T30" s="13" t="n"/>
      <c r="U30" s="13" t="n"/>
      <c r="V30" s="17">
        <f>IF(U30&lt;&gt;"",U30,IF(AND(T30&lt;&gt;"",R30&lt;&gt;""),"11-결과등록완료",IF(AND(R30&lt;&gt;"",T30=""),"10-시험완료",IF(AND(P30&lt;&gt;"",R30=""),"09-시험준비중",IF(AND(N30&lt;&gt;"",P30=""),"08-단품준비완료",IF(L30="Approved","05-계획서승인",IF(L30="Revision Needed","04-검토중_보완",IF(L30="Under Review","03-검토중",IF(AND(K30&lt;&gt;"",L30=""),"02-제출_미검토","01-미제출")))))))))</f>
        <v/>
      </c>
      <c r="W30" s="18">
        <f>IFS(V30="01-미제출",0,V30="02-제출_미검토",0.05,V30="03-검토중",0.1,V30="04-검토중_보완",0.05,V30="05-계획서승인",0.2,V30="06-BIW중단",0.15,V30="07-미인수",0.3,V30="08-단품준비완료",0.4,V30="09-시험준비중",0.55,V30="10-시험완료",0.85,V30="11-결과등록완료",1,V30="12-조건부승인",0.9,TRUE,0)</f>
        <v/>
      </c>
      <c r="X30" s="5">
        <f>IF(T30&lt;&gt;"","-",IF(S30="","N/A",S30-TODAY()))</f>
        <v/>
      </c>
      <c r="Y30" s="17">
        <f>IF(V30="11-결과등록완료","DONE",IF(U30="06-BIW중단","BLOCKED",IF(AND(K30="",J30&lt;TODAY()),"CRITICAL",IF(AND(ISNUMBER(X30),X30&lt;=0),"OVERDUE",IF(AND(ISNUMBER(X30),X30&lt;=14),"WARNING",IF(U30&lt;&gt;"","ACTION","ON TRACK"))))))</f>
        <v/>
      </c>
      <c r="Z30" s="5">
        <f>IF(OR(T30&lt;&gt;"",R30&lt;&gt;"",P30&lt;&gt;"",N30&lt;&gt;"",K30&lt;&gt;""),TODAY()-MAX(T30,R30,P30,N30,K30),"—")</f>
        <v/>
      </c>
      <c r="AA30" s="19">
        <f>IF(V30="11-결과등록완료","— 완료",IF(V30="01-미제출",IF(J30&lt;TODAY(),"계획서 제출 독촉 (OVERDUE)","계획서 제출 대기"),IF(V30="02-제출_미검토","설계자: 계획서 검토 착수",IF(V30="03-검토중","설계자: 승인 처리",IF(V30="04-검토중_보완","보완 요청 → 협력사 재제출 독촉",IF(V30="05-계획서승인","시험편 준비 현황 확인",IF(V30="06-BIW중단","BIW 생산팀 확인 → 일정 재수립",IF(V30="07-미인수","협력사 인수 독촉",IF(V30="08-단품준비완료","시험 일정 확인",IF(V30="09-시험준비중","시험 진행 모니터링",IF(V30="10-시험완료","결과 보고서 전산 등록 독촉",IF(V30="12-조건부승인","조건부 승인 여부 판단 → 관련부서 협의","—"))))))))))))</f>
        <v/>
      </c>
      <c r="AB30" s="15" t="n"/>
    </row>
    <row r="31">
      <c r="A31" s="5" t="n">
        <v>27</v>
      </c>
      <c r="B31" s="13" t="inlineStr">
        <is>
          <t>SU2i</t>
        </is>
      </c>
      <c r="C31" s="14">
        <f>IFERROR(VLOOKUP(D31,'Reference Data 기준데이터'!$A$30:$D$41,2,FALSE),"")</f>
        <v/>
      </c>
      <c r="D31" s="15" t="inlineStr">
        <is>
          <t>센터콘솔</t>
        </is>
      </c>
      <c r="E31" s="14">
        <f>IFERROR(VLOOKUP(D31,'Reference Data 기준데이터'!$A$30:$D$41,3,FALSE),"")</f>
        <v/>
      </c>
      <c r="F31" s="15" t="inlineStr">
        <is>
          <t>BSR 시험</t>
        </is>
      </c>
      <c r="G31" s="14">
        <f>IFERROR(VLOOKUP(F31,'Reference Data 기준데이터'!$A$9:$E$26,2,FALSE),"")</f>
        <v/>
      </c>
      <c r="H31" s="14">
        <f>IFERROR(VLOOKUP(F31,'Reference Data 기준데이터'!$A$9:$E$26,5,FALSE),"")</f>
        <v/>
      </c>
      <c r="I31" s="16">
        <f>IFERROR(VLOOKUP(B31,'Reference Data 기준데이터'!$A$3:$J$5,3,FALSE),"")</f>
        <v/>
      </c>
      <c r="J31" s="16">
        <f>IFERROR(I31+VLOOKUP(B31,'Reference Data 기준데이터'!$A$3:$J$5,7,FALSE),"")</f>
        <v/>
      </c>
      <c r="K31" s="20" t="n">
        <v>46094</v>
      </c>
      <c r="L31" s="13" t="inlineStr">
        <is>
          <t>Approved</t>
        </is>
      </c>
      <c r="M31" s="16">
        <f>IFERROR(I31+VLOOKUP(B31,'Reference Data 기준데이터'!$A$3:$J$5,8,FALSE),"")</f>
        <v/>
      </c>
      <c r="N31" s="20" t="n">
        <v>46130</v>
      </c>
      <c r="O31" s="16">
        <f>IFERROR(IF(G31="차량장착",MAX(I31+VLOOKUP(B31,'Reference Data 기준데이터'!$A$3:$J$5,9,FALSE),VLOOKUP(B31,'Reference Data 기준데이터'!$A$3:$J$5,4,FALSE)),I31+VLOOKUP(B31,'Reference Data 기준데이터'!$A$3:$J$5,9,FALSE)),"")</f>
        <v/>
      </c>
      <c r="P31" s="20" t="n">
        <v>46147</v>
      </c>
      <c r="Q31" s="16">
        <f>IFERROR(O31+VLOOKUP(F31,'Reference Data 기준데이터'!$A$9:$E$26,4,FALSE),"")</f>
        <v/>
      </c>
      <c r="R31" s="20" t="n">
        <v>46173</v>
      </c>
      <c r="S31" s="16">
        <f>IFERROR(MIN(I31+VLOOKUP(B31,'Reference Data 기준데이터'!$A$3:$J$5,10,FALSE),VLOOKUP(B31,'Reference Data 기준데이터'!$A$3:$J$5,6,FALSE)),"")</f>
        <v/>
      </c>
      <c r="T31" s="20" t="n">
        <v>46178</v>
      </c>
      <c r="U31" s="13" t="n"/>
      <c r="V31" s="17">
        <f>IF(U31&lt;&gt;"",U31,IF(AND(T31&lt;&gt;"",R31&lt;&gt;""),"11-결과등록완료",IF(AND(R31&lt;&gt;"",T31=""),"10-시험완료",IF(AND(P31&lt;&gt;"",R31=""),"09-시험준비중",IF(AND(N31&lt;&gt;"",P31=""),"08-단품준비완료",IF(L31="Approved","05-계획서승인",IF(L31="Revision Needed","04-검토중_보완",IF(L31="Under Review","03-검토중",IF(AND(K31&lt;&gt;"",L31=""),"02-제출_미검토","01-미제출")))))))))</f>
        <v/>
      </c>
      <c r="W31" s="18">
        <f>IFS(V31="01-미제출",0,V31="02-제출_미검토",0.05,V31="03-검토중",0.1,V31="04-검토중_보완",0.05,V31="05-계획서승인",0.2,V31="06-BIW중단",0.15,V31="07-미인수",0.3,V31="08-단품준비완료",0.4,V31="09-시험준비중",0.55,V31="10-시험완료",0.85,V31="11-결과등록완료",1,V31="12-조건부승인",0.9,TRUE,0)</f>
        <v/>
      </c>
      <c r="X31" s="5">
        <f>IF(T31&lt;&gt;"","-",IF(S31="","N/A",S31-TODAY()))</f>
        <v/>
      </c>
      <c r="Y31" s="17">
        <f>IF(V31="11-결과등록완료","DONE",IF(U31="06-BIW중단","BLOCKED",IF(AND(K31="",J31&lt;TODAY()),"CRITICAL",IF(AND(ISNUMBER(X31),X31&lt;=0),"OVERDUE",IF(AND(ISNUMBER(X31),X31&lt;=14),"WARNING",IF(U31&lt;&gt;"","ACTION","ON TRACK"))))))</f>
        <v/>
      </c>
      <c r="Z31" s="5">
        <f>IF(OR(T31&lt;&gt;"",R31&lt;&gt;"",P31&lt;&gt;"",N31&lt;&gt;"",K31&lt;&gt;""),TODAY()-MAX(T31,R31,P31,N31,K31),"—")</f>
        <v/>
      </c>
      <c r="AA31" s="19">
        <f>IF(V31="11-결과등록완료","— 완료",IF(V31="01-미제출",IF(J31&lt;TODAY(),"계획서 제출 독촉 (OVERDUE)","계획서 제출 대기"),IF(V31="02-제출_미검토","설계자: 계획서 검토 착수",IF(V31="03-검토중","설계자: 승인 처리",IF(V31="04-검토중_보완","보완 요청 → 협력사 재제출 독촉",IF(V31="05-계획서승인","시험편 준비 현황 확인",IF(V31="06-BIW중단","BIW 생산팀 확인 → 일정 재수립",IF(V31="07-미인수","협력사 인수 독촉",IF(V31="08-단품준비완료","시험 일정 확인",IF(V31="09-시험준비중","시험 진행 모니터링",IF(V31="10-시험완료","결과 보고서 전산 등록 독촉",IF(V31="12-조건부승인","조건부 승인 여부 판단 → 관련부서 협의","—"))))))))))))</f>
        <v/>
      </c>
      <c r="AB31" s="15" t="n"/>
    </row>
    <row r="32">
      <c r="A32" s="5" t="n">
        <v>28</v>
      </c>
      <c r="B32" s="13" t="inlineStr">
        <is>
          <t>SU2i</t>
        </is>
      </c>
      <c r="C32" s="14">
        <f>IFERROR(VLOOKUP(D32,'Reference Data 기준데이터'!$A$30:$D$41,2,FALSE),"")</f>
        <v/>
      </c>
      <c r="D32" s="15" t="inlineStr">
        <is>
          <t>센터콘솔</t>
        </is>
      </c>
      <c r="E32" s="14">
        <f>IFERROR(VLOOKUP(D32,'Reference Data 기준데이터'!$A$30:$D$41,3,FALSE),"")</f>
        <v/>
      </c>
      <c r="F32" s="15" t="inlineStr">
        <is>
          <t>치수 검사</t>
        </is>
      </c>
      <c r="G32" s="14">
        <f>IFERROR(VLOOKUP(F32,'Reference Data 기준데이터'!$A$9:$E$26,2,FALSE),"")</f>
        <v/>
      </c>
      <c r="H32" s="14">
        <f>IFERROR(VLOOKUP(F32,'Reference Data 기준데이터'!$A$9:$E$26,5,FALSE),"")</f>
        <v/>
      </c>
      <c r="I32" s="16">
        <f>IFERROR(VLOOKUP(B32,'Reference Data 기준데이터'!$A$3:$J$5,3,FALSE),"")</f>
        <v/>
      </c>
      <c r="J32" s="16">
        <f>IFERROR(I32+VLOOKUP(B32,'Reference Data 기준데이터'!$A$3:$J$5,7,FALSE),"")</f>
        <v/>
      </c>
      <c r="K32" s="20" t="n">
        <v>46095</v>
      </c>
      <c r="L32" s="13" t="inlineStr">
        <is>
          <t>Under Review</t>
        </is>
      </c>
      <c r="M32" s="16">
        <f>IFERROR(I32+VLOOKUP(B32,'Reference Data 기준데이터'!$A$3:$J$5,8,FALSE),"")</f>
        <v/>
      </c>
      <c r="N32" s="13" t="n"/>
      <c r="O32" s="16">
        <f>IFERROR(IF(G32="차량장착",MAX(I32+VLOOKUP(B32,'Reference Data 기준데이터'!$A$3:$J$5,9,FALSE),VLOOKUP(B32,'Reference Data 기준데이터'!$A$3:$J$5,4,FALSE)),I32+VLOOKUP(B32,'Reference Data 기준데이터'!$A$3:$J$5,9,FALSE)),"")</f>
        <v/>
      </c>
      <c r="P32" s="13" t="n"/>
      <c r="Q32" s="16">
        <f>IFERROR(O32+VLOOKUP(F32,'Reference Data 기준데이터'!$A$9:$E$26,4,FALSE),"")</f>
        <v/>
      </c>
      <c r="R32" s="13" t="n"/>
      <c r="S32" s="16">
        <f>IFERROR(MIN(I32+VLOOKUP(B32,'Reference Data 기준데이터'!$A$3:$J$5,10,FALSE),VLOOKUP(B32,'Reference Data 기준데이터'!$A$3:$J$5,6,FALSE)),"")</f>
        <v/>
      </c>
      <c r="T32" s="13" t="n"/>
      <c r="U32" s="13" t="n"/>
      <c r="V32" s="17">
        <f>IF(U32&lt;&gt;"",U32,IF(AND(T32&lt;&gt;"",R32&lt;&gt;""),"11-결과등록완료",IF(AND(R32&lt;&gt;"",T32=""),"10-시험완료",IF(AND(P32&lt;&gt;"",R32=""),"09-시험준비중",IF(AND(N32&lt;&gt;"",P32=""),"08-단품준비완료",IF(L32="Approved","05-계획서승인",IF(L32="Revision Needed","04-검토중_보완",IF(L32="Under Review","03-검토중",IF(AND(K32&lt;&gt;"",L32=""),"02-제출_미검토","01-미제출")))))))))</f>
        <v/>
      </c>
      <c r="W32" s="18">
        <f>IFS(V32="01-미제출",0,V32="02-제출_미검토",0.05,V32="03-검토중",0.1,V32="04-검토중_보완",0.05,V32="05-계획서승인",0.2,V32="06-BIW중단",0.15,V32="07-미인수",0.3,V32="08-단품준비완료",0.4,V32="09-시험준비중",0.55,V32="10-시험완료",0.85,V32="11-결과등록완료",1,V32="12-조건부승인",0.9,TRUE,0)</f>
        <v/>
      </c>
      <c r="X32" s="5">
        <f>IF(T32&lt;&gt;"","-",IF(S32="","N/A",S32-TODAY()))</f>
        <v/>
      </c>
      <c r="Y32" s="17">
        <f>IF(V32="11-결과등록완료","DONE",IF(U32="06-BIW중단","BLOCKED",IF(AND(K32="",J32&lt;TODAY()),"CRITICAL",IF(AND(ISNUMBER(X32),X32&lt;=0),"OVERDUE",IF(AND(ISNUMBER(X32),X32&lt;=14),"WARNING",IF(U32&lt;&gt;"","ACTION","ON TRACK"))))))</f>
        <v/>
      </c>
      <c r="Z32" s="5">
        <f>IF(OR(T32&lt;&gt;"",R32&lt;&gt;"",P32&lt;&gt;"",N32&lt;&gt;"",K32&lt;&gt;""),TODAY()-MAX(T32,R32,P32,N32,K32),"—")</f>
        <v/>
      </c>
      <c r="AA32" s="19">
        <f>IF(V32="11-결과등록완료","— 완료",IF(V32="01-미제출",IF(J32&lt;TODAY(),"계획서 제출 독촉 (OVERDUE)","계획서 제출 대기"),IF(V32="02-제출_미검토","설계자: 계획서 검토 착수",IF(V32="03-검토중","설계자: 승인 처리",IF(V32="04-검토중_보완","보완 요청 → 협력사 재제출 독촉",IF(V32="05-계획서승인","시험편 준비 현황 확인",IF(V32="06-BIW중단","BIW 생산팀 확인 → 일정 재수립",IF(V32="07-미인수","협력사 인수 독촉",IF(V32="08-단품준비완료","시험 일정 확인",IF(V32="09-시험준비중","시험 진행 모니터링",IF(V32="10-시험완료","결과 보고서 전산 등록 독촉",IF(V32="12-조건부승인","조건부 승인 여부 판단 → 관련부서 협의","—"))))))))))))</f>
        <v/>
      </c>
      <c r="AB32" s="15" t="n"/>
    </row>
    <row r="33">
      <c r="A33" s="5" t="n">
        <v>29</v>
      </c>
      <c r="B33" s="13" t="inlineStr">
        <is>
          <t>SU2i</t>
        </is>
      </c>
      <c r="C33" s="14">
        <f>IFERROR(VLOOKUP(D33,'Reference Data 기준데이터'!$A$30:$D$41,2,FALSE),"")</f>
        <v/>
      </c>
      <c r="D33" s="15" t="inlineStr">
        <is>
          <t>콘솔리드</t>
        </is>
      </c>
      <c r="E33" s="14">
        <f>IFERROR(VLOOKUP(D33,'Reference Data 기준데이터'!$A$30:$D$41,3,FALSE),"")</f>
        <v/>
      </c>
      <c r="F33" s="15" t="inlineStr">
        <is>
          <t>EMC 시험</t>
        </is>
      </c>
      <c r="G33" s="14">
        <f>IFERROR(VLOOKUP(F33,'Reference Data 기준데이터'!$A$9:$E$26,2,FALSE),"")</f>
        <v/>
      </c>
      <c r="H33" s="14">
        <f>IFERROR(VLOOKUP(F33,'Reference Data 기준데이터'!$A$9:$E$26,5,FALSE),"")</f>
        <v/>
      </c>
      <c r="I33" s="16">
        <f>IFERROR(VLOOKUP(B33,'Reference Data 기준데이터'!$A$3:$J$5,3,FALSE),"")</f>
        <v/>
      </c>
      <c r="J33" s="16">
        <f>IFERROR(I33+VLOOKUP(B33,'Reference Data 기준데이터'!$A$3:$J$5,7,FALSE),"")</f>
        <v/>
      </c>
      <c r="K33" s="20" t="n">
        <v>46096</v>
      </c>
      <c r="L33" s="13" t="n"/>
      <c r="M33" s="16">
        <f>IFERROR(I33+VLOOKUP(B33,'Reference Data 기준데이터'!$A$3:$J$5,8,FALSE),"")</f>
        <v/>
      </c>
      <c r="N33" s="13" t="n"/>
      <c r="O33" s="16">
        <f>IFERROR(IF(G33="차량장착",MAX(I33+VLOOKUP(B33,'Reference Data 기준데이터'!$A$3:$J$5,9,FALSE),VLOOKUP(B33,'Reference Data 기준데이터'!$A$3:$J$5,4,FALSE)),I33+VLOOKUP(B33,'Reference Data 기준데이터'!$A$3:$J$5,9,FALSE)),"")</f>
        <v/>
      </c>
      <c r="P33" s="13" t="n"/>
      <c r="Q33" s="16">
        <f>IFERROR(O33+VLOOKUP(F33,'Reference Data 기준데이터'!$A$9:$E$26,4,FALSE),"")</f>
        <v/>
      </c>
      <c r="R33" s="13" t="n"/>
      <c r="S33" s="16">
        <f>IFERROR(MIN(I33+VLOOKUP(B33,'Reference Data 기준데이터'!$A$3:$J$5,10,FALSE),VLOOKUP(B33,'Reference Data 기준데이터'!$A$3:$J$5,6,FALSE)),"")</f>
        <v/>
      </c>
      <c r="T33" s="13" t="n"/>
      <c r="U33" s="13" t="n"/>
      <c r="V33" s="17">
        <f>IF(U33&lt;&gt;"",U33,IF(AND(T33&lt;&gt;"",R33&lt;&gt;""),"11-결과등록완료",IF(AND(R33&lt;&gt;"",T33=""),"10-시험완료",IF(AND(P33&lt;&gt;"",R33=""),"09-시험준비중",IF(AND(N33&lt;&gt;"",P33=""),"08-단품준비완료",IF(L33="Approved","05-계획서승인",IF(L33="Revision Needed","04-검토중_보완",IF(L33="Under Review","03-검토중",IF(AND(K33&lt;&gt;"",L33=""),"02-제출_미검토","01-미제출")))))))))</f>
        <v/>
      </c>
      <c r="W33" s="18">
        <f>IFS(V33="01-미제출",0,V33="02-제출_미검토",0.05,V33="03-검토중",0.1,V33="04-검토중_보완",0.05,V33="05-계획서승인",0.2,V33="06-BIW중단",0.15,V33="07-미인수",0.3,V33="08-단품준비완료",0.4,V33="09-시험준비중",0.55,V33="10-시험완료",0.85,V33="11-결과등록완료",1,V33="12-조건부승인",0.9,TRUE,0)</f>
        <v/>
      </c>
      <c r="X33" s="5">
        <f>IF(T33&lt;&gt;"","-",IF(S33="","N/A",S33-TODAY()))</f>
        <v/>
      </c>
      <c r="Y33" s="17">
        <f>IF(V33="11-결과등록완료","DONE",IF(U33="06-BIW중단","BLOCKED",IF(AND(K33="",J33&lt;TODAY()),"CRITICAL",IF(AND(ISNUMBER(X33),X33&lt;=0),"OVERDUE",IF(AND(ISNUMBER(X33),X33&lt;=14),"WARNING",IF(U33&lt;&gt;"","ACTION","ON TRACK"))))))</f>
        <v/>
      </c>
      <c r="Z33" s="5">
        <f>IF(OR(T33&lt;&gt;"",R33&lt;&gt;"",P33&lt;&gt;"",N33&lt;&gt;"",K33&lt;&gt;""),TODAY()-MAX(T33,R33,P33,N33,K33),"—")</f>
        <v/>
      </c>
      <c r="AA33" s="19">
        <f>IF(V33="11-결과등록완료","— 완료",IF(V33="01-미제출",IF(J33&lt;TODAY(),"계획서 제출 독촉 (OVERDUE)","계획서 제출 대기"),IF(V33="02-제출_미검토","설계자: 계획서 검토 착수",IF(V33="03-검토중","설계자: 승인 처리",IF(V33="04-검토중_보완","보완 요청 → 협력사 재제출 독촉",IF(V33="05-계획서승인","시험편 준비 현황 확인",IF(V33="06-BIW중단","BIW 생산팀 확인 → 일정 재수립",IF(V33="07-미인수","협력사 인수 독촉",IF(V33="08-단품준비완료","시험 일정 확인",IF(V33="09-시험준비중","시험 진행 모니터링",IF(V33="10-시험완료","결과 보고서 전산 등록 독촉",IF(V33="12-조건부승인","조건부 승인 여부 판단 → 관련부서 협의","—"))))))))))))</f>
        <v/>
      </c>
      <c r="AB33" s="15" t="n"/>
    </row>
    <row r="34">
      <c r="A34" s="5" t="n">
        <v>30</v>
      </c>
      <c r="B34" s="13" t="inlineStr">
        <is>
          <t>SU2i</t>
        </is>
      </c>
      <c r="C34" s="14">
        <f>IFERROR(VLOOKUP(D34,'Reference Data 기준데이터'!$A$30:$D$41,2,FALSE),"")</f>
        <v/>
      </c>
      <c r="D34" s="15" t="inlineStr">
        <is>
          <t>콘솔리드</t>
        </is>
      </c>
      <c r="E34" s="14">
        <f>IFERROR(VLOOKUP(D34,'Reference Data 기준데이터'!$A$30:$D$41,3,FALSE),"")</f>
        <v/>
      </c>
      <c r="F34" s="15" t="inlineStr">
        <is>
          <t>VOC 방출 시험</t>
        </is>
      </c>
      <c r="G34" s="14">
        <f>IFERROR(VLOOKUP(F34,'Reference Data 기준데이터'!$A$9:$E$26,2,FALSE),"")</f>
        <v/>
      </c>
      <c r="H34" s="14">
        <f>IFERROR(VLOOKUP(F34,'Reference Data 기준데이터'!$A$9:$E$26,5,FALSE),"")</f>
        <v/>
      </c>
      <c r="I34" s="16">
        <f>IFERROR(VLOOKUP(B34,'Reference Data 기준데이터'!$A$3:$J$5,3,FALSE),"")</f>
        <v/>
      </c>
      <c r="J34" s="16">
        <f>IFERROR(I34+VLOOKUP(B34,'Reference Data 기준데이터'!$A$3:$J$5,7,FALSE),"")</f>
        <v/>
      </c>
      <c r="K34" s="20" t="n">
        <v>46092</v>
      </c>
      <c r="L34" s="13" t="inlineStr">
        <is>
          <t>Approved</t>
        </is>
      </c>
      <c r="M34" s="16">
        <f>IFERROR(I34+VLOOKUP(B34,'Reference Data 기준데이터'!$A$3:$J$5,8,FALSE),"")</f>
        <v/>
      </c>
      <c r="N34" s="20" t="n">
        <v>46133</v>
      </c>
      <c r="O34" s="16">
        <f>IFERROR(IF(G34="차량장착",MAX(I34+VLOOKUP(B34,'Reference Data 기준데이터'!$A$3:$J$5,9,FALSE),VLOOKUP(B34,'Reference Data 기준데이터'!$A$3:$J$5,4,FALSE)),I34+VLOOKUP(B34,'Reference Data 기준데이터'!$A$3:$J$5,9,FALSE)),"")</f>
        <v/>
      </c>
      <c r="P34" s="13" t="n"/>
      <c r="Q34" s="16">
        <f>IFERROR(O34+VLOOKUP(F34,'Reference Data 기준데이터'!$A$9:$E$26,4,FALSE),"")</f>
        <v/>
      </c>
      <c r="R34" s="13" t="n"/>
      <c r="S34" s="16">
        <f>IFERROR(MIN(I34+VLOOKUP(B34,'Reference Data 기준데이터'!$A$3:$J$5,10,FALSE),VLOOKUP(B34,'Reference Data 기준데이터'!$A$3:$J$5,6,FALSE)),"")</f>
        <v/>
      </c>
      <c r="T34" s="13" t="n"/>
      <c r="U34" s="13" t="n"/>
      <c r="V34" s="17">
        <f>IF(U34&lt;&gt;"",U34,IF(AND(T34&lt;&gt;"",R34&lt;&gt;""),"11-결과등록완료",IF(AND(R34&lt;&gt;"",T34=""),"10-시험완료",IF(AND(P34&lt;&gt;"",R34=""),"09-시험준비중",IF(AND(N34&lt;&gt;"",P34=""),"08-단품준비완료",IF(L34="Approved","05-계획서승인",IF(L34="Revision Needed","04-검토중_보완",IF(L34="Under Review","03-검토중",IF(AND(K34&lt;&gt;"",L34=""),"02-제출_미검토","01-미제출")))))))))</f>
        <v/>
      </c>
      <c r="W34" s="18">
        <f>IFS(V34="01-미제출",0,V34="02-제출_미검토",0.05,V34="03-검토중",0.1,V34="04-검토중_보완",0.05,V34="05-계획서승인",0.2,V34="06-BIW중단",0.15,V34="07-미인수",0.3,V34="08-단품준비완료",0.4,V34="09-시험준비중",0.55,V34="10-시험완료",0.85,V34="11-결과등록완료",1,V34="12-조건부승인",0.9,TRUE,0)</f>
        <v/>
      </c>
      <c r="X34" s="5">
        <f>IF(T34&lt;&gt;"","-",IF(S34="","N/A",S34-TODAY()))</f>
        <v/>
      </c>
      <c r="Y34" s="17">
        <f>IF(V34="11-결과등록완료","DONE",IF(U34="06-BIW중단","BLOCKED",IF(AND(K34="",J34&lt;TODAY()),"CRITICAL",IF(AND(ISNUMBER(X34),X34&lt;=0),"OVERDUE",IF(AND(ISNUMBER(X34),X34&lt;=14),"WARNING",IF(U34&lt;&gt;"","ACTION","ON TRACK"))))))</f>
        <v/>
      </c>
      <c r="Z34" s="5">
        <f>IF(OR(T34&lt;&gt;"",R34&lt;&gt;"",P34&lt;&gt;"",N34&lt;&gt;"",K34&lt;&gt;""),TODAY()-MAX(T34,R34,P34,N34,K34),"—")</f>
        <v/>
      </c>
      <c r="AA34" s="19">
        <f>IF(V34="11-결과등록완료","— 완료",IF(V34="01-미제출",IF(J34&lt;TODAY(),"계획서 제출 독촉 (OVERDUE)","계획서 제출 대기"),IF(V34="02-제출_미검토","설계자: 계획서 검토 착수",IF(V34="03-검토중","설계자: 승인 처리",IF(V34="04-검토중_보완","보완 요청 → 협력사 재제출 독촉",IF(V34="05-계획서승인","시험편 준비 현황 확인",IF(V34="06-BIW중단","BIW 생산팀 확인 → 일정 재수립",IF(V34="07-미인수","협력사 인수 독촉",IF(V34="08-단품준비완료","시험 일정 확인",IF(V34="09-시험준비중","시험 진행 모니터링",IF(V34="10-시험완료","결과 보고서 전산 등록 독촉",IF(V34="12-조건부승인","조건부 승인 여부 판단 → 관련부서 협의","—"))))))))))))</f>
        <v/>
      </c>
      <c r="AB34" s="15" t="n"/>
    </row>
    <row r="35">
      <c r="A35" s="5" t="n">
        <v>31</v>
      </c>
      <c r="B35" s="13" t="inlineStr">
        <is>
          <t>SU2i</t>
        </is>
      </c>
      <c r="C35" s="14">
        <f>IFERROR(VLOOKUP(D35,'Reference Data 기준데이터'!$A$30:$D$41,2,FALSE),"")</f>
        <v/>
      </c>
      <c r="D35" s="15" t="inlineStr">
        <is>
          <t>콘솔리드</t>
        </is>
      </c>
      <c r="E35" s="14">
        <f>IFERROR(VLOOKUP(D35,'Reference Data 기준데이터'!$A$30:$D$41,3,FALSE),"")</f>
        <v/>
      </c>
      <c r="F35" s="15" t="inlineStr">
        <is>
          <t>연소성 시험</t>
        </is>
      </c>
      <c r="G35" s="14">
        <f>IFERROR(VLOOKUP(F35,'Reference Data 기준데이터'!$A$9:$E$26,2,FALSE),"")</f>
        <v/>
      </c>
      <c r="H35" s="14">
        <f>IFERROR(VLOOKUP(F35,'Reference Data 기준데이터'!$A$9:$E$26,5,FALSE),"")</f>
        <v/>
      </c>
      <c r="I35" s="16">
        <f>IFERROR(VLOOKUP(B35,'Reference Data 기준데이터'!$A$3:$J$5,3,FALSE),"")</f>
        <v/>
      </c>
      <c r="J35" s="16">
        <f>IFERROR(I35+VLOOKUP(B35,'Reference Data 기준데이터'!$A$3:$J$5,7,FALSE),"")</f>
        <v/>
      </c>
      <c r="K35" s="20" t="n">
        <v>46093</v>
      </c>
      <c r="L35" s="13" t="inlineStr">
        <is>
          <t>Approved</t>
        </is>
      </c>
      <c r="M35" s="16">
        <f>IFERROR(I35+VLOOKUP(B35,'Reference Data 기준데이터'!$A$3:$J$5,8,FALSE),"")</f>
        <v/>
      </c>
      <c r="N35" s="20" t="n">
        <v>46134</v>
      </c>
      <c r="O35" s="16">
        <f>IFERROR(IF(G35="차량장착",MAX(I35+VLOOKUP(B35,'Reference Data 기준데이터'!$A$3:$J$5,9,FALSE),VLOOKUP(B35,'Reference Data 기준데이터'!$A$3:$J$5,4,FALSE)),I35+VLOOKUP(B35,'Reference Data 기준데이터'!$A$3:$J$5,9,FALSE)),"")</f>
        <v/>
      </c>
      <c r="P35" s="20" t="n">
        <v>46145</v>
      </c>
      <c r="Q35" s="16">
        <f>IFERROR(O35+VLOOKUP(F35,'Reference Data 기준데이터'!$A$9:$E$26,4,FALSE),"")</f>
        <v/>
      </c>
      <c r="R35" s="20" t="n">
        <v>46170</v>
      </c>
      <c r="S35" s="16">
        <f>IFERROR(MIN(I35+VLOOKUP(B35,'Reference Data 기준데이터'!$A$3:$J$5,10,FALSE),VLOOKUP(B35,'Reference Data 기준데이터'!$A$3:$J$5,6,FALSE)),"")</f>
        <v/>
      </c>
      <c r="T35" s="13" t="n"/>
      <c r="U35" s="13" t="n"/>
      <c r="V35" s="17">
        <f>IF(U35&lt;&gt;"",U35,IF(AND(T35&lt;&gt;"",R35&lt;&gt;""),"11-결과등록완료",IF(AND(R35&lt;&gt;"",T35=""),"10-시험완료",IF(AND(P35&lt;&gt;"",R35=""),"09-시험준비중",IF(AND(N35&lt;&gt;"",P35=""),"08-단품준비완료",IF(L35="Approved","05-계획서승인",IF(L35="Revision Needed","04-검토중_보완",IF(L35="Under Review","03-검토중",IF(AND(K35&lt;&gt;"",L35=""),"02-제출_미검토","01-미제출")))))))))</f>
        <v/>
      </c>
      <c r="W35" s="18">
        <f>IFS(V35="01-미제출",0,V35="02-제출_미검토",0.05,V35="03-검토중",0.1,V35="04-검토중_보완",0.05,V35="05-계획서승인",0.2,V35="06-BIW중단",0.15,V35="07-미인수",0.3,V35="08-단품준비완료",0.4,V35="09-시험준비중",0.55,V35="10-시험완료",0.85,V35="11-결과등록완료",1,V35="12-조건부승인",0.9,TRUE,0)</f>
        <v/>
      </c>
      <c r="X35" s="5">
        <f>IF(T35&lt;&gt;"","-",IF(S35="","N/A",S35-TODAY()))</f>
        <v/>
      </c>
      <c r="Y35" s="17">
        <f>IF(V35="11-결과등록완료","DONE",IF(U35="06-BIW중단","BLOCKED",IF(AND(K35="",J35&lt;TODAY()),"CRITICAL",IF(AND(ISNUMBER(X35),X35&lt;=0),"OVERDUE",IF(AND(ISNUMBER(X35),X35&lt;=14),"WARNING",IF(U35&lt;&gt;"","ACTION","ON TRACK"))))))</f>
        <v/>
      </c>
      <c r="Z35" s="5">
        <f>IF(OR(T35&lt;&gt;"",R35&lt;&gt;"",P35&lt;&gt;"",N35&lt;&gt;"",K35&lt;&gt;""),TODAY()-MAX(T35,R35,P35,N35,K35),"—")</f>
        <v/>
      </c>
      <c r="AA35" s="19">
        <f>IF(V35="11-결과등록완료","— 완료",IF(V35="01-미제출",IF(J35&lt;TODAY(),"계획서 제출 독촉 (OVERDUE)","계획서 제출 대기"),IF(V35="02-제출_미검토","설계자: 계획서 검토 착수",IF(V35="03-검토중","설계자: 승인 처리",IF(V35="04-검토중_보완","보완 요청 → 협력사 재제출 독촉",IF(V35="05-계획서승인","시험편 준비 현황 확인",IF(V35="06-BIW중단","BIW 생산팀 확인 → 일정 재수립",IF(V35="07-미인수","협력사 인수 독촉",IF(V35="08-단품준비완료","시험 일정 확인",IF(V35="09-시험준비중","시험 진행 모니터링",IF(V35="10-시험완료","결과 보고서 전산 등록 독촉",IF(V35="12-조건부승인","조건부 승인 여부 판단 → 관련부서 협의","—"))))))))))))</f>
        <v/>
      </c>
      <c r="AB35" s="15" t="n"/>
    </row>
    <row r="36">
      <c r="A36" s="5" t="n">
        <v>32</v>
      </c>
      <c r="B36" s="13" t="inlineStr">
        <is>
          <t>SU2i</t>
        </is>
      </c>
      <c r="C36" s="14">
        <f>IFERROR(VLOOKUP(D36,'Reference Data 기준데이터'!$A$30:$D$41,2,FALSE),"")</f>
        <v/>
      </c>
      <c r="D36" s="15" t="inlineStr">
        <is>
          <t>콘솔리드</t>
        </is>
      </c>
      <c r="E36" s="14">
        <f>IFERROR(VLOOKUP(D36,'Reference Data 기준데이터'!$A$30:$D$41,3,FALSE),"")</f>
        <v/>
      </c>
      <c r="F36" s="15" t="inlineStr">
        <is>
          <t>힌지 내구 시험</t>
        </is>
      </c>
      <c r="G36" s="14">
        <f>IFERROR(VLOOKUP(F36,'Reference Data 기준데이터'!$A$9:$E$26,2,FALSE),"")</f>
        <v/>
      </c>
      <c r="H36" s="14">
        <f>IFERROR(VLOOKUP(F36,'Reference Data 기준데이터'!$A$9:$E$26,5,FALSE),"")</f>
        <v/>
      </c>
      <c r="I36" s="16">
        <f>IFERROR(VLOOKUP(B36,'Reference Data 기준데이터'!$A$3:$J$5,3,FALSE),"")</f>
        <v/>
      </c>
      <c r="J36" s="16">
        <f>IFERROR(I36+VLOOKUP(B36,'Reference Data 기준데이터'!$A$3:$J$5,7,FALSE),"")</f>
        <v/>
      </c>
      <c r="K36" s="20" t="n">
        <v>46094</v>
      </c>
      <c r="L36" s="13" t="inlineStr">
        <is>
          <t>Approved</t>
        </is>
      </c>
      <c r="M36" s="16">
        <f>IFERROR(I36+VLOOKUP(B36,'Reference Data 기준데이터'!$A$3:$J$5,8,FALSE),"")</f>
        <v/>
      </c>
      <c r="N36" s="13" t="n"/>
      <c r="O36" s="16">
        <f>IFERROR(IF(G36="차량장착",MAX(I36+VLOOKUP(B36,'Reference Data 기준데이터'!$A$3:$J$5,9,FALSE),VLOOKUP(B36,'Reference Data 기준데이터'!$A$3:$J$5,4,FALSE)),I36+VLOOKUP(B36,'Reference Data 기준데이터'!$A$3:$J$5,9,FALSE)),"")</f>
        <v/>
      </c>
      <c r="P36" s="13" t="n"/>
      <c r="Q36" s="16">
        <f>IFERROR(O36+VLOOKUP(F36,'Reference Data 기준데이터'!$A$9:$E$26,4,FALSE),"")</f>
        <v/>
      </c>
      <c r="R36" s="13" t="n"/>
      <c r="S36" s="16">
        <f>IFERROR(MIN(I36+VLOOKUP(B36,'Reference Data 기준데이터'!$A$3:$J$5,10,FALSE),VLOOKUP(B36,'Reference Data 기준데이터'!$A$3:$J$5,6,FALSE)),"")</f>
        <v/>
      </c>
      <c r="T36" s="13" t="n"/>
      <c r="U36" s="13" t="inlineStr">
        <is>
          <t>06-BIW중단</t>
        </is>
      </c>
      <c r="V36" s="17">
        <f>IF(U36&lt;&gt;"",U36,IF(AND(T36&lt;&gt;"",R36&lt;&gt;""),"11-결과등록완료",IF(AND(R36&lt;&gt;"",T36=""),"10-시험완료",IF(AND(P36&lt;&gt;"",R36=""),"09-시험준비중",IF(AND(N36&lt;&gt;"",P36=""),"08-단품준비완료",IF(L36="Approved","05-계획서승인",IF(L36="Revision Needed","04-검토중_보완",IF(L36="Under Review","03-검토중",IF(AND(K36&lt;&gt;"",L36=""),"02-제출_미검토","01-미제출")))))))))</f>
        <v/>
      </c>
      <c r="W36" s="18">
        <f>IFS(V36="01-미제출",0,V36="02-제출_미검토",0.05,V36="03-검토중",0.1,V36="04-검토중_보완",0.05,V36="05-계획서승인",0.2,V36="06-BIW중단",0.15,V36="07-미인수",0.3,V36="08-단품준비완료",0.4,V36="09-시험준비중",0.55,V36="10-시험완료",0.85,V36="11-결과등록완료",1,V36="12-조건부승인",0.9,TRUE,0)</f>
        <v/>
      </c>
      <c r="X36" s="5">
        <f>IF(T36&lt;&gt;"","-",IF(S36="","N/A",S36-TODAY()))</f>
        <v/>
      </c>
      <c r="Y36" s="17">
        <f>IF(V36="11-결과등록완료","DONE",IF(U36="06-BIW중단","BLOCKED",IF(AND(K36="",J36&lt;TODAY()),"CRITICAL",IF(AND(ISNUMBER(X36),X36&lt;=0),"OVERDUE",IF(AND(ISNUMBER(X36),X36&lt;=14),"WARNING",IF(U36&lt;&gt;"","ACTION","ON TRACK"))))))</f>
        <v/>
      </c>
      <c r="Z36" s="5">
        <f>IF(OR(T36&lt;&gt;"",R36&lt;&gt;"",P36&lt;&gt;"",N36&lt;&gt;"",K36&lt;&gt;""),TODAY()-MAX(T36,R36,P36,N36,K36),"—")</f>
        <v/>
      </c>
      <c r="AA36" s="19">
        <f>IF(V36="11-결과등록완료","— 완료",IF(V36="01-미제출",IF(J36&lt;TODAY(),"계획서 제출 독촉 (OVERDUE)","계획서 제출 대기"),IF(V36="02-제출_미검토","설계자: 계획서 검토 착수",IF(V36="03-검토중","설계자: 승인 처리",IF(V36="04-검토중_보완","보완 요청 → 협력사 재제출 독촉",IF(V36="05-계획서승인","시험편 준비 현황 확인",IF(V36="06-BIW중단","BIW 생산팀 확인 → 일정 재수립",IF(V36="07-미인수","협력사 인수 독촉",IF(V36="08-단품준비완료","시험 일정 확인",IF(V36="09-시험준비중","시험 진행 모니터링",IF(V36="10-시험완료","결과 보고서 전산 등록 독촉",IF(V36="12-조건부승인","조건부 승인 여부 판단 → 관련부서 협의","—"))))))))))))</f>
        <v/>
      </c>
      <c r="AB36" s="15" t="n"/>
    </row>
    <row r="37">
      <c r="A37" s="5" t="n">
        <v>33</v>
      </c>
      <c r="B37" s="13" t="inlineStr">
        <is>
          <t>SU2i</t>
        </is>
      </c>
      <c r="C37" s="14">
        <f>IFERROR(VLOOKUP(D37,'Reference Data 기준데이터'!$A$30:$D$41,2,FALSE),"")</f>
        <v/>
      </c>
      <c r="D37" s="15" t="inlineStr">
        <is>
          <t>콘솔리드</t>
        </is>
      </c>
      <c r="E37" s="14">
        <f>IFERROR(VLOOKUP(D37,'Reference Data 기준데이터'!$A$30:$D$41,3,FALSE),"")</f>
        <v/>
      </c>
      <c r="F37" s="15" t="inlineStr">
        <is>
          <t>조작력 시험</t>
        </is>
      </c>
      <c r="G37" s="14">
        <f>IFERROR(VLOOKUP(F37,'Reference Data 기준데이터'!$A$9:$E$26,2,FALSE),"")</f>
        <v/>
      </c>
      <c r="H37" s="14">
        <f>IFERROR(VLOOKUP(F37,'Reference Data 기준데이터'!$A$9:$E$26,5,FALSE),"")</f>
        <v/>
      </c>
      <c r="I37" s="16">
        <f>IFERROR(VLOOKUP(B37,'Reference Data 기준데이터'!$A$3:$J$5,3,FALSE),"")</f>
        <v/>
      </c>
      <c r="J37" s="16">
        <f>IFERROR(I37+VLOOKUP(B37,'Reference Data 기준데이터'!$A$3:$J$5,7,FALSE),"")</f>
        <v/>
      </c>
      <c r="K37" s="20" t="n">
        <v>46095</v>
      </c>
      <c r="L37" s="13" t="inlineStr">
        <is>
          <t>Approved</t>
        </is>
      </c>
      <c r="M37" s="16">
        <f>IFERROR(I37+VLOOKUP(B37,'Reference Data 기준데이터'!$A$3:$J$5,8,FALSE),"")</f>
        <v/>
      </c>
      <c r="N37" s="20" t="n">
        <v>46128</v>
      </c>
      <c r="O37" s="16">
        <f>IFERROR(IF(G37="차량장착",MAX(I37+VLOOKUP(B37,'Reference Data 기준데이터'!$A$3:$J$5,9,FALSE),VLOOKUP(B37,'Reference Data 기준데이터'!$A$3:$J$5,4,FALSE)),I37+VLOOKUP(B37,'Reference Data 기준데이터'!$A$3:$J$5,9,FALSE)),"")</f>
        <v/>
      </c>
      <c r="P37" s="20" t="n">
        <v>46147</v>
      </c>
      <c r="Q37" s="16">
        <f>IFERROR(O37+VLOOKUP(F37,'Reference Data 기준데이터'!$A$9:$E$26,4,FALSE),"")</f>
        <v/>
      </c>
      <c r="R37" s="20" t="n">
        <v>46172</v>
      </c>
      <c r="S37" s="16">
        <f>IFERROR(MIN(I37+VLOOKUP(B37,'Reference Data 기준데이터'!$A$3:$J$5,10,FALSE),VLOOKUP(B37,'Reference Data 기준데이터'!$A$3:$J$5,6,FALSE)),"")</f>
        <v/>
      </c>
      <c r="T37" s="20" t="n">
        <v>46176</v>
      </c>
      <c r="U37" s="13" t="n"/>
      <c r="V37" s="17">
        <f>IF(U37&lt;&gt;"",U37,IF(AND(T37&lt;&gt;"",R37&lt;&gt;""),"11-결과등록완료",IF(AND(R37&lt;&gt;"",T37=""),"10-시험완료",IF(AND(P37&lt;&gt;"",R37=""),"09-시험준비중",IF(AND(N37&lt;&gt;"",P37=""),"08-단품준비완료",IF(L37="Approved","05-계획서승인",IF(L37="Revision Needed","04-검토중_보완",IF(L37="Under Review","03-검토중",IF(AND(K37&lt;&gt;"",L37=""),"02-제출_미검토","01-미제출")))))))))</f>
        <v/>
      </c>
      <c r="W37" s="18">
        <f>IFS(V37="01-미제출",0,V37="02-제출_미검토",0.05,V37="03-검토중",0.1,V37="04-검토중_보완",0.05,V37="05-계획서승인",0.2,V37="06-BIW중단",0.15,V37="07-미인수",0.3,V37="08-단품준비완료",0.4,V37="09-시험준비중",0.55,V37="10-시험완료",0.85,V37="11-결과등록완료",1,V37="12-조건부승인",0.9,TRUE,0)</f>
        <v/>
      </c>
      <c r="X37" s="5">
        <f>IF(T37&lt;&gt;"","-",IF(S37="","N/A",S37-TODAY()))</f>
        <v/>
      </c>
      <c r="Y37" s="17">
        <f>IF(V37="11-결과등록완료","DONE",IF(U37="06-BIW중단","BLOCKED",IF(AND(K37="",J37&lt;TODAY()),"CRITICAL",IF(AND(ISNUMBER(X37),X37&lt;=0),"OVERDUE",IF(AND(ISNUMBER(X37),X37&lt;=14),"WARNING",IF(U37&lt;&gt;"","ACTION","ON TRACK"))))))</f>
        <v/>
      </c>
      <c r="Z37" s="5">
        <f>IF(OR(T37&lt;&gt;"",R37&lt;&gt;"",P37&lt;&gt;"",N37&lt;&gt;"",K37&lt;&gt;""),TODAY()-MAX(T37,R37,P37,N37,K37),"—")</f>
        <v/>
      </c>
      <c r="AA37" s="19">
        <f>IF(V37="11-결과등록완료","— 완료",IF(V37="01-미제출",IF(J37&lt;TODAY(),"계획서 제출 독촉 (OVERDUE)","계획서 제출 대기"),IF(V37="02-제출_미검토","설계자: 계획서 검토 착수",IF(V37="03-검토중","설계자: 승인 처리",IF(V37="04-검토중_보완","보완 요청 → 협력사 재제출 독촉",IF(V37="05-계획서승인","시험편 준비 현황 확인",IF(V37="06-BIW중단","BIW 생산팀 확인 → 일정 재수립",IF(V37="07-미인수","협력사 인수 독촉",IF(V37="08-단품준비완료","시험 일정 확인",IF(V37="09-시험준비중","시험 진행 모니터링",IF(V37="10-시험완료","결과 보고서 전산 등록 독촉",IF(V37="12-조건부승인","조건부 승인 여부 판단 → 관련부서 협의","—"))))))))))))</f>
        <v/>
      </c>
      <c r="AB37" s="15" t="n"/>
    </row>
    <row r="38">
      <c r="A38" s="5" t="n">
        <v>34</v>
      </c>
      <c r="B38" s="13" t="inlineStr">
        <is>
          <t>SU2i</t>
        </is>
      </c>
      <c r="C38" s="14">
        <f>IFERROR(VLOOKUP(D38,'Reference Data 기준데이터'!$A$30:$D$41,2,FALSE),"")</f>
        <v/>
      </c>
      <c r="D38" s="15" t="inlineStr">
        <is>
          <t>시트(앞)</t>
        </is>
      </c>
      <c r="E38" s="14">
        <f>IFERROR(VLOOKUP(D38,'Reference Data 기준데이터'!$A$30:$D$41,3,FALSE),"")</f>
        <v/>
      </c>
      <c r="F38" s="15" t="inlineStr">
        <is>
          <t>EMC 시험</t>
        </is>
      </c>
      <c r="G38" s="14">
        <f>IFERROR(VLOOKUP(F38,'Reference Data 기준데이터'!$A$9:$E$26,2,FALSE),"")</f>
        <v/>
      </c>
      <c r="H38" s="14">
        <f>IFERROR(VLOOKUP(F38,'Reference Data 기준데이터'!$A$9:$E$26,5,FALSE),"")</f>
        <v/>
      </c>
      <c r="I38" s="16">
        <f>IFERROR(VLOOKUP(B38,'Reference Data 기준데이터'!$A$3:$J$5,3,FALSE),"")</f>
        <v/>
      </c>
      <c r="J38" s="16">
        <f>IFERROR(I38+VLOOKUP(B38,'Reference Data 기준데이터'!$A$3:$J$5,7,FALSE),"")</f>
        <v/>
      </c>
      <c r="K38" s="20" t="n">
        <v>46096</v>
      </c>
      <c r="L38" s="13" t="inlineStr">
        <is>
          <t>Revision Needed</t>
        </is>
      </c>
      <c r="M38" s="16">
        <f>IFERROR(I38+VLOOKUP(B38,'Reference Data 기준데이터'!$A$3:$J$5,8,FALSE),"")</f>
        <v/>
      </c>
      <c r="N38" s="13" t="n"/>
      <c r="O38" s="16">
        <f>IFERROR(IF(G38="차량장착",MAX(I38+VLOOKUP(B38,'Reference Data 기준데이터'!$A$3:$J$5,9,FALSE),VLOOKUP(B38,'Reference Data 기준데이터'!$A$3:$J$5,4,FALSE)),I38+VLOOKUP(B38,'Reference Data 기준데이터'!$A$3:$J$5,9,FALSE)),"")</f>
        <v/>
      </c>
      <c r="P38" s="13" t="n"/>
      <c r="Q38" s="16">
        <f>IFERROR(O38+VLOOKUP(F38,'Reference Data 기준데이터'!$A$9:$E$26,4,FALSE),"")</f>
        <v/>
      </c>
      <c r="R38" s="13" t="n"/>
      <c r="S38" s="16">
        <f>IFERROR(MIN(I38+VLOOKUP(B38,'Reference Data 기준데이터'!$A$3:$J$5,10,FALSE),VLOOKUP(B38,'Reference Data 기준데이터'!$A$3:$J$5,6,FALSE)),"")</f>
        <v/>
      </c>
      <c r="T38" s="13" t="n"/>
      <c r="U38" s="13" t="n"/>
      <c r="V38" s="17">
        <f>IF(U38&lt;&gt;"",U38,IF(AND(T38&lt;&gt;"",R38&lt;&gt;""),"11-결과등록완료",IF(AND(R38&lt;&gt;"",T38=""),"10-시험완료",IF(AND(P38&lt;&gt;"",R38=""),"09-시험준비중",IF(AND(N38&lt;&gt;"",P38=""),"08-단품준비완료",IF(L38="Approved","05-계획서승인",IF(L38="Revision Needed","04-검토중_보완",IF(L38="Under Review","03-검토중",IF(AND(K38&lt;&gt;"",L38=""),"02-제출_미검토","01-미제출")))))))))</f>
        <v/>
      </c>
      <c r="W38" s="18">
        <f>IFS(V38="01-미제출",0,V38="02-제출_미검토",0.05,V38="03-검토중",0.1,V38="04-검토중_보완",0.05,V38="05-계획서승인",0.2,V38="06-BIW중단",0.15,V38="07-미인수",0.3,V38="08-단품준비완료",0.4,V38="09-시험준비중",0.55,V38="10-시험완료",0.85,V38="11-결과등록완료",1,V38="12-조건부승인",0.9,TRUE,0)</f>
        <v/>
      </c>
      <c r="X38" s="5">
        <f>IF(T38&lt;&gt;"","-",IF(S38="","N/A",S38-TODAY()))</f>
        <v/>
      </c>
      <c r="Y38" s="17">
        <f>IF(V38="11-결과등록완료","DONE",IF(U38="06-BIW중단","BLOCKED",IF(AND(K38="",J38&lt;TODAY()),"CRITICAL",IF(AND(ISNUMBER(X38),X38&lt;=0),"OVERDUE",IF(AND(ISNUMBER(X38),X38&lt;=14),"WARNING",IF(U38&lt;&gt;"","ACTION","ON TRACK"))))))</f>
        <v/>
      </c>
      <c r="Z38" s="5">
        <f>IF(OR(T38&lt;&gt;"",R38&lt;&gt;"",P38&lt;&gt;"",N38&lt;&gt;"",K38&lt;&gt;""),TODAY()-MAX(T38,R38,P38,N38,K38),"—")</f>
        <v/>
      </c>
      <c r="AA38" s="19">
        <f>IF(V38="11-결과등록완료","— 완료",IF(V38="01-미제출",IF(J38&lt;TODAY(),"계획서 제출 독촉 (OVERDUE)","계획서 제출 대기"),IF(V38="02-제출_미검토","설계자: 계획서 검토 착수",IF(V38="03-검토중","설계자: 승인 처리",IF(V38="04-검토중_보완","보완 요청 → 협력사 재제출 독촉",IF(V38="05-계획서승인","시험편 준비 현황 확인",IF(V38="06-BIW중단","BIW 생산팀 확인 → 일정 재수립",IF(V38="07-미인수","협력사 인수 독촉",IF(V38="08-단품준비완료","시험 일정 확인",IF(V38="09-시험준비중","시험 진행 모니터링",IF(V38="10-시험완료","결과 보고서 전산 등록 독촉",IF(V38="12-조건부승인","조건부 승인 여부 판단 → 관련부서 협의","—"))))))))))))</f>
        <v/>
      </c>
      <c r="AB38" s="15" t="n"/>
    </row>
    <row r="39">
      <c r="A39" s="5" t="n">
        <v>35</v>
      </c>
      <c r="B39" s="13" t="inlineStr">
        <is>
          <t>SU2i</t>
        </is>
      </c>
      <c r="C39" s="14">
        <f>IFERROR(VLOOKUP(D39,'Reference Data 기준데이터'!$A$30:$D$41,2,FALSE),"")</f>
        <v/>
      </c>
      <c r="D39" s="15" t="inlineStr">
        <is>
          <t>시트(앞)</t>
        </is>
      </c>
      <c r="E39" s="14">
        <f>IFERROR(VLOOKUP(D39,'Reference Data 기준데이터'!$A$30:$D$41,3,FALSE),"")</f>
        <v/>
      </c>
      <c r="F39" s="15" t="inlineStr">
        <is>
          <t>VOC 방출 시험</t>
        </is>
      </c>
      <c r="G39" s="14">
        <f>IFERROR(VLOOKUP(F39,'Reference Data 기준데이터'!$A$9:$E$26,2,FALSE),"")</f>
        <v/>
      </c>
      <c r="H39" s="14">
        <f>IFERROR(VLOOKUP(F39,'Reference Data 기준데이터'!$A$9:$E$26,5,FALSE),"")</f>
        <v/>
      </c>
      <c r="I39" s="16">
        <f>IFERROR(VLOOKUP(B39,'Reference Data 기준데이터'!$A$3:$J$5,3,FALSE),"")</f>
        <v/>
      </c>
      <c r="J39" s="16">
        <f>IFERROR(I39+VLOOKUP(B39,'Reference Data 기준데이터'!$A$3:$J$5,7,FALSE),"")</f>
        <v/>
      </c>
      <c r="K39" s="20" t="n">
        <v>46092</v>
      </c>
      <c r="L39" s="13" t="inlineStr">
        <is>
          <t>Approved</t>
        </is>
      </c>
      <c r="M39" s="16">
        <f>IFERROR(I39+VLOOKUP(B39,'Reference Data 기준데이터'!$A$3:$J$5,8,FALSE),"")</f>
        <v/>
      </c>
      <c r="N39" s="20" t="n">
        <v>46130</v>
      </c>
      <c r="O39" s="16">
        <f>IFERROR(IF(G39="차량장착",MAX(I39+VLOOKUP(B39,'Reference Data 기준데이터'!$A$3:$J$5,9,FALSE),VLOOKUP(B39,'Reference Data 기준데이터'!$A$3:$J$5,4,FALSE)),I39+VLOOKUP(B39,'Reference Data 기준데이터'!$A$3:$J$5,9,FALSE)),"")</f>
        <v/>
      </c>
      <c r="P39" s="20" t="n">
        <v>46149</v>
      </c>
      <c r="Q39" s="16">
        <f>IFERROR(O39+VLOOKUP(F39,'Reference Data 기준데이터'!$A$9:$E$26,4,FALSE),"")</f>
        <v/>
      </c>
      <c r="R39" s="13" t="n"/>
      <c r="S39" s="16">
        <f>IFERROR(MIN(I39+VLOOKUP(B39,'Reference Data 기준데이터'!$A$3:$J$5,10,FALSE),VLOOKUP(B39,'Reference Data 기준데이터'!$A$3:$J$5,6,FALSE)),"")</f>
        <v/>
      </c>
      <c r="T39" s="13" t="n"/>
      <c r="U39" s="13" t="n"/>
      <c r="V39" s="17">
        <f>IF(U39&lt;&gt;"",U39,IF(AND(T39&lt;&gt;"",R39&lt;&gt;""),"11-결과등록완료",IF(AND(R39&lt;&gt;"",T39=""),"10-시험완료",IF(AND(P39&lt;&gt;"",R39=""),"09-시험준비중",IF(AND(N39&lt;&gt;"",P39=""),"08-단품준비완료",IF(L39="Approved","05-계획서승인",IF(L39="Revision Needed","04-검토중_보완",IF(L39="Under Review","03-검토중",IF(AND(K39&lt;&gt;"",L39=""),"02-제출_미검토","01-미제출")))))))))</f>
        <v/>
      </c>
      <c r="W39" s="18">
        <f>IFS(V39="01-미제출",0,V39="02-제출_미검토",0.05,V39="03-검토중",0.1,V39="04-검토중_보완",0.05,V39="05-계획서승인",0.2,V39="06-BIW중단",0.15,V39="07-미인수",0.3,V39="08-단품준비완료",0.4,V39="09-시험준비중",0.55,V39="10-시험완료",0.85,V39="11-결과등록완료",1,V39="12-조건부승인",0.9,TRUE,0)</f>
        <v/>
      </c>
      <c r="X39" s="5">
        <f>IF(T39&lt;&gt;"","-",IF(S39="","N/A",S39-TODAY()))</f>
        <v/>
      </c>
      <c r="Y39" s="17">
        <f>IF(V39="11-결과등록완료","DONE",IF(U39="06-BIW중단","BLOCKED",IF(AND(K39="",J39&lt;TODAY()),"CRITICAL",IF(AND(ISNUMBER(X39),X39&lt;=0),"OVERDUE",IF(AND(ISNUMBER(X39),X39&lt;=14),"WARNING",IF(U39&lt;&gt;"","ACTION","ON TRACK"))))))</f>
        <v/>
      </c>
      <c r="Z39" s="5">
        <f>IF(OR(T39&lt;&gt;"",R39&lt;&gt;"",P39&lt;&gt;"",N39&lt;&gt;"",K39&lt;&gt;""),TODAY()-MAX(T39,R39,P39,N39,K39),"—")</f>
        <v/>
      </c>
      <c r="AA39" s="19">
        <f>IF(V39="11-결과등록완료","— 완료",IF(V39="01-미제출",IF(J39&lt;TODAY(),"계획서 제출 독촉 (OVERDUE)","계획서 제출 대기"),IF(V39="02-제출_미검토","설계자: 계획서 검토 착수",IF(V39="03-검토중","설계자: 승인 처리",IF(V39="04-검토중_보완","보완 요청 → 협력사 재제출 독촉",IF(V39="05-계획서승인","시험편 준비 현황 확인",IF(V39="06-BIW중단","BIW 생산팀 확인 → 일정 재수립",IF(V39="07-미인수","협력사 인수 독촉",IF(V39="08-단품준비완료","시험 일정 확인",IF(V39="09-시험준비중","시험 진행 모니터링",IF(V39="10-시험완료","결과 보고서 전산 등록 독촉",IF(V39="12-조건부승인","조건부 승인 여부 판단 → 관련부서 협의","—"))))))))))))</f>
        <v/>
      </c>
      <c r="AB39" s="15" t="n"/>
    </row>
    <row r="40">
      <c r="A40" s="5" t="n">
        <v>36</v>
      </c>
      <c r="B40" s="13" t="inlineStr">
        <is>
          <t>SU2i</t>
        </is>
      </c>
      <c r="C40" s="14">
        <f>IFERROR(VLOOKUP(D40,'Reference Data 기준데이터'!$A$30:$D$41,2,FALSE),"")</f>
        <v/>
      </c>
      <c r="D40" s="15" t="inlineStr">
        <is>
          <t>시트(앞)</t>
        </is>
      </c>
      <c r="E40" s="14">
        <f>IFERROR(VLOOKUP(D40,'Reference Data 기준데이터'!$A$30:$D$41,3,FALSE),"")</f>
        <v/>
      </c>
      <c r="F40" s="15" t="inlineStr">
        <is>
          <t>연소성 시험</t>
        </is>
      </c>
      <c r="G40" s="14">
        <f>IFERROR(VLOOKUP(F40,'Reference Data 기준데이터'!$A$9:$E$26,2,FALSE),"")</f>
        <v/>
      </c>
      <c r="H40" s="14">
        <f>IFERROR(VLOOKUP(F40,'Reference Data 기준데이터'!$A$9:$E$26,5,FALSE),"")</f>
        <v/>
      </c>
      <c r="I40" s="16">
        <f>IFERROR(VLOOKUP(B40,'Reference Data 기준데이터'!$A$3:$J$5,3,FALSE),"")</f>
        <v/>
      </c>
      <c r="J40" s="16">
        <f>IFERROR(I40+VLOOKUP(B40,'Reference Data 기준데이터'!$A$3:$J$5,7,FALSE),"")</f>
        <v/>
      </c>
      <c r="K40" s="20" t="n">
        <v>46093</v>
      </c>
      <c r="L40" s="13" t="inlineStr">
        <is>
          <t>Approved</t>
        </is>
      </c>
      <c r="M40" s="16">
        <f>IFERROR(I40+VLOOKUP(B40,'Reference Data 기준데이터'!$A$3:$J$5,8,FALSE),"")</f>
        <v/>
      </c>
      <c r="N40" s="20" t="n">
        <v>46131</v>
      </c>
      <c r="O40" s="16">
        <f>IFERROR(IF(G40="차량장착",MAX(I40+VLOOKUP(B40,'Reference Data 기준데이터'!$A$3:$J$5,9,FALSE),VLOOKUP(B40,'Reference Data 기준데이터'!$A$3:$J$5,4,FALSE)),I40+VLOOKUP(B40,'Reference Data 기준데이터'!$A$3:$J$5,9,FALSE)),"")</f>
        <v/>
      </c>
      <c r="P40" s="20" t="n">
        <v>46144</v>
      </c>
      <c r="Q40" s="16">
        <f>IFERROR(O40+VLOOKUP(F40,'Reference Data 기준데이터'!$A$9:$E$26,4,FALSE),"")</f>
        <v/>
      </c>
      <c r="R40" s="20" t="n">
        <v>46168</v>
      </c>
      <c r="S40" s="16">
        <f>IFERROR(MIN(I40+VLOOKUP(B40,'Reference Data 기준데이터'!$A$3:$J$5,10,FALSE),VLOOKUP(B40,'Reference Data 기준데이터'!$A$3:$J$5,6,FALSE)),"")</f>
        <v/>
      </c>
      <c r="T40" s="20" t="n">
        <v>46175</v>
      </c>
      <c r="U40" s="13" t="n"/>
      <c r="V40" s="17">
        <f>IF(U40&lt;&gt;"",U40,IF(AND(T40&lt;&gt;"",R40&lt;&gt;""),"11-결과등록완료",IF(AND(R40&lt;&gt;"",T40=""),"10-시험완료",IF(AND(P40&lt;&gt;"",R40=""),"09-시험준비중",IF(AND(N40&lt;&gt;"",P40=""),"08-단품준비완료",IF(L40="Approved","05-계획서승인",IF(L40="Revision Needed","04-검토중_보완",IF(L40="Under Review","03-검토중",IF(AND(K40&lt;&gt;"",L40=""),"02-제출_미검토","01-미제출")))))))))</f>
        <v/>
      </c>
      <c r="W40" s="18">
        <f>IFS(V40="01-미제출",0,V40="02-제출_미검토",0.05,V40="03-검토중",0.1,V40="04-검토중_보완",0.05,V40="05-계획서승인",0.2,V40="06-BIW중단",0.15,V40="07-미인수",0.3,V40="08-단품준비완료",0.4,V40="09-시험준비중",0.55,V40="10-시험완료",0.85,V40="11-결과등록완료",1,V40="12-조건부승인",0.9,TRUE,0)</f>
        <v/>
      </c>
      <c r="X40" s="5">
        <f>IF(T40&lt;&gt;"","-",IF(S40="","N/A",S40-TODAY()))</f>
        <v/>
      </c>
      <c r="Y40" s="17">
        <f>IF(V40="11-결과등록완료","DONE",IF(U40="06-BIW중단","BLOCKED",IF(AND(K40="",J40&lt;TODAY()),"CRITICAL",IF(AND(ISNUMBER(X40),X40&lt;=0),"OVERDUE",IF(AND(ISNUMBER(X40),X40&lt;=14),"WARNING",IF(U40&lt;&gt;"","ACTION","ON TRACK"))))))</f>
        <v/>
      </c>
      <c r="Z40" s="5">
        <f>IF(OR(T40&lt;&gt;"",R40&lt;&gt;"",P40&lt;&gt;"",N40&lt;&gt;"",K40&lt;&gt;""),TODAY()-MAX(T40,R40,P40,N40,K40),"—")</f>
        <v/>
      </c>
      <c r="AA40" s="19">
        <f>IF(V40="11-결과등록완료","— 완료",IF(V40="01-미제출",IF(J40&lt;TODAY(),"계획서 제출 독촉 (OVERDUE)","계획서 제출 대기"),IF(V40="02-제출_미검토","설계자: 계획서 검토 착수",IF(V40="03-검토중","설계자: 승인 처리",IF(V40="04-검토중_보완","보완 요청 → 협력사 재제출 독촉",IF(V40="05-계획서승인","시험편 준비 현황 확인",IF(V40="06-BIW중단","BIW 생산팀 확인 → 일정 재수립",IF(V40="07-미인수","협력사 인수 독촉",IF(V40="08-단품준비완료","시험 일정 확인",IF(V40="09-시험준비중","시험 진행 모니터링",IF(V40="10-시험완료","결과 보고서 전산 등록 독촉",IF(V40="12-조건부승인","조건부 승인 여부 판단 → 관련부서 협의","—"))))))))))))</f>
        <v/>
      </c>
      <c r="AB40" s="15" t="n"/>
    </row>
    <row r="41">
      <c r="A41" s="5" t="n">
        <v>37</v>
      </c>
      <c r="B41" s="13" t="inlineStr">
        <is>
          <t>SU2i</t>
        </is>
      </c>
      <c r="C41" s="14">
        <f>IFERROR(VLOOKUP(D41,'Reference Data 기준데이터'!$A$30:$D$41,2,FALSE),"")</f>
        <v/>
      </c>
      <c r="D41" s="15" t="inlineStr">
        <is>
          <t>시트(앞)</t>
        </is>
      </c>
      <c r="E41" s="14">
        <f>IFERROR(VLOOKUP(D41,'Reference Data 기준데이터'!$A$30:$D$41,3,FALSE),"")</f>
        <v/>
      </c>
      <c r="F41" s="15" t="inlineStr">
        <is>
          <t>시트 내구 시험</t>
        </is>
      </c>
      <c r="G41" s="14">
        <f>IFERROR(VLOOKUP(F41,'Reference Data 기준데이터'!$A$9:$E$26,2,FALSE),"")</f>
        <v/>
      </c>
      <c r="H41" s="14">
        <f>IFERROR(VLOOKUP(F41,'Reference Data 기준데이터'!$A$9:$E$26,5,FALSE),"")</f>
        <v/>
      </c>
      <c r="I41" s="16">
        <f>IFERROR(VLOOKUP(B41,'Reference Data 기준데이터'!$A$3:$J$5,3,FALSE),"")</f>
        <v/>
      </c>
      <c r="J41" s="16">
        <f>IFERROR(I41+VLOOKUP(B41,'Reference Data 기준데이터'!$A$3:$J$5,7,FALSE),"")</f>
        <v/>
      </c>
      <c r="K41" s="20" t="n">
        <v>46094</v>
      </c>
      <c r="L41" s="13" t="inlineStr">
        <is>
          <t>Approved</t>
        </is>
      </c>
      <c r="M41" s="16">
        <f>IFERROR(I41+VLOOKUP(B41,'Reference Data 기준데이터'!$A$3:$J$5,8,FALSE),"")</f>
        <v/>
      </c>
      <c r="N41" s="13" t="n"/>
      <c r="O41" s="16">
        <f>IFERROR(IF(G41="차량장착",MAX(I41+VLOOKUP(B41,'Reference Data 기준데이터'!$A$3:$J$5,9,FALSE),VLOOKUP(B41,'Reference Data 기준데이터'!$A$3:$J$5,4,FALSE)),I41+VLOOKUP(B41,'Reference Data 기준데이터'!$A$3:$J$5,9,FALSE)),"")</f>
        <v/>
      </c>
      <c r="P41" s="13" t="n"/>
      <c r="Q41" s="16">
        <f>IFERROR(O41+VLOOKUP(F41,'Reference Data 기준데이터'!$A$9:$E$26,4,FALSE),"")</f>
        <v/>
      </c>
      <c r="R41" s="13" t="n"/>
      <c r="S41" s="16">
        <f>IFERROR(MIN(I41+VLOOKUP(B41,'Reference Data 기준데이터'!$A$3:$J$5,10,FALSE),VLOOKUP(B41,'Reference Data 기준데이터'!$A$3:$J$5,6,FALSE)),"")</f>
        <v/>
      </c>
      <c r="T41" s="13" t="n"/>
      <c r="U41" s="13" t="n"/>
      <c r="V41" s="17">
        <f>IF(U41&lt;&gt;"",U41,IF(AND(T41&lt;&gt;"",R41&lt;&gt;""),"11-결과등록완료",IF(AND(R41&lt;&gt;"",T41=""),"10-시험완료",IF(AND(P41&lt;&gt;"",R41=""),"09-시험준비중",IF(AND(N41&lt;&gt;"",P41=""),"08-단품준비완료",IF(L41="Approved","05-계획서승인",IF(L41="Revision Needed","04-검토중_보완",IF(L41="Under Review","03-검토중",IF(AND(K41&lt;&gt;"",L41=""),"02-제출_미검토","01-미제출")))))))))</f>
        <v/>
      </c>
      <c r="W41" s="18">
        <f>IFS(V41="01-미제출",0,V41="02-제출_미검토",0.05,V41="03-검토중",0.1,V41="04-검토중_보완",0.05,V41="05-계획서승인",0.2,V41="06-BIW중단",0.15,V41="07-미인수",0.3,V41="08-단품준비완료",0.4,V41="09-시험준비중",0.55,V41="10-시험완료",0.85,V41="11-결과등록완료",1,V41="12-조건부승인",0.9,TRUE,0)</f>
        <v/>
      </c>
      <c r="X41" s="5">
        <f>IF(T41&lt;&gt;"","-",IF(S41="","N/A",S41-TODAY()))</f>
        <v/>
      </c>
      <c r="Y41" s="17">
        <f>IF(V41="11-결과등록완료","DONE",IF(U41="06-BIW중단","BLOCKED",IF(AND(K41="",J41&lt;TODAY()),"CRITICAL",IF(AND(ISNUMBER(X41),X41&lt;=0),"OVERDUE",IF(AND(ISNUMBER(X41),X41&lt;=14),"WARNING",IF(U41&lt;&gt;"","ACTION","ON TRACK"))))))</f>
        <v/>
      </c>
      <c r="Z41" s="5">
        <f>IF(OR(T41&lt;&gt;"",R41&lt;&gt;"",P41&lt;&gt;"",N41&lt;&gt;"",K41&lt;&gt;""),TODAY()-MAX(T41,R41,P41,N41,K41),"—")</f>
        <v/>
      </c>
      <c r="AA41" s="19">
        <f>IF(V41="11-결과등록완료","— 완료",IF(V41="01-미제출",IF(J41&lt;TODAY(),"계획서 제출 독촉 (OVERDUE)","계획서 제출 대기"),IF(V41="02-제출_미검토","설계자: 계획서 검토 착수",IF(V41="03-검토중","설계자: 승인 처리",IF(V41="04-검토중_보완","보완 요청 → 협력사 재제출 독촉",IF(V41="05-계획서승인","시험편 준비 현황 확인",IF(V41="06-BIW중단","BIW 생산팀 확인 → 일정 재수립",IF(V41="07-미인수","협력사 인수 독촉",IF(V41="08-단품준비완료","시험 일정 확인",IF(V41="09-시험준비중","시험 진행 모니터링",IF(V41="10-시험완료","결과 보고서 전산 등록 독촉",IF(V41="12-조건부승인","조건부 승인 여부 판단 → 관련부서 협의","—"))))))))))))</f>
        <v/>
      </c>
      <c r="AB41" s="15" t="n"/>
    </row>
    <row r="42">
      <c r="A42" s="5" t="n">
        <v>38</v>
      </c>
      <c r="B42" s="13" t="inlineStr">
        <is>
          <t>SU2i</t>
        </is>
      </c>
      <c r="C42" s="14">
        <f>IFERROR(VLOOKUP(D42,'Reference Data 기준데이터'!$A$30:$D$41,2,FALSE),"")</f>
        <v/>
      </c>
      <c r="D42" s="15" t="inlineStr">
        <is>
          <t>시트(앞)</t>
        </is>
      </c>
      <c r="E42" s="14">
        <f>IFERROR(VLOOKUP(D42,'Reference Data 기준데이터'!$A$30:$D$41,3,FALSE),"")</f>
        <v/>
      </c>
      <c r="F42" s="15" t="inlineStr">
        <is>
          <t>H-Point 검증</t>
        </is>
      </c>
      <c r="G42" s="14">
        <f>IFERROR(VLOOKUP(F42,'Reference Data 기준데이터'!$A$9:$E$26,2,FALSE),"")</f>
        <v/>
      </c>
      <c r="H42" s="14">
        <f>IFERROR(VLOOKUP(F42,'Reference Data 기준데이터'!$A$9:$E$26,5,FALSE),"")</f>
        <v/>
      </c>
      <c r="I42" s="16">
        <f>IFERROR(VLOOKUP(B42,'Reference Data 기준데이터'!$A$3:$J$5,3,FALSE),"")</f>
        <v/>
      </c>
      <c r="J42" s="16">
        <f>IFERROR(I42+VLOOKUP(B42,'Reference Data 기준데이터'!$A$3:$J$5,7,FALSE),"")</f>
        <v/>
      </c>
      <c r="K42" s="20" t="n">
        <v>46095</v>
      </c>
      <c r="L42" s="13" t="inlineStr">
        <is>
          <t>Approved</t>
        </is>
      </c>
      <c r="M42" s="16">
        <f>IFERROR(I42+VLOOKUP(B42,'Reference Data 기준데이터'!$A$3:$J$5,8,FALSE),"")</f>
        <v/>
      </c>
      <c r="N42" s="20" t="n">
        <v>46133</v>
      </c>
      <c r="O42" s="16">
        <f>IFERROR(IF(G42="차량장착",MAX(I42+VLOOKUP(B42,'Reference Data 기준데이터'!$A$3:$J$5,9,FALSE),VLOOKUP(B42,'Reference Data 기준데이터'!$A$3:$J$5,4,FALSE)),I42+VLOOKUP(B42,'Reference Data 기준데이터'!$A$3:$J$5,9,FALSE)),"")</f>
        <v/>
      </c>
      <c r="P42" s="13" t="n"/>
      <c r="Q42" s="16">
        <f>IFERROR(O42+VLOOKUP(F42,'Reference Data 기준데이터'!$A$9:$E$26,4,FALSE),"")</f>
        <v/>
      </c>
      <c r="R42" s="13" t="n"/>
      <c r="S42" s="16">
        <f>IFERROR(MIN(I42+VLOOKUP(B42,'Reference Data 기준데이터'!$A$3:$J$5,10,FALSE),VLOOKUP(B42,'Reference Data 기준데이터'!$A$3:$J$5,6,FALSE)),"")</f>
        <v/>
      </c>
      <c r="T42" s="13" t="n"/>
      <c r="U42" s="13" t="inlineStr">
        <is>
          <t>07-미인수</t>
        </is>
      </c>
      <c r="V42" s="17">
        <f>IF(U42&lt;&gt;"",U42,IF(AND(T42&lt;&gt;"",R42&lt;&gt;""),"11-결과등록완료",IF(AND(R42&lt;&gt;"",T42=""),"10-시험완료",IF(AND(P42&lt;&gt;"",R42=""),"09-시험준비중",IF(AND(N42&lt;&gt;"",P42=""),"08-단품준비완료",IF(L42="Approved","05-계획서승인",IF(L42="Revision Needed","04-검토중_보완",IF(L42="Under Review","03-검토중",IF(AND(K42&lt;&gt;"",L42=""),"02-제출_미검토","01-미제출")))))))))</f>
        <v/>
      </c>
      <c r="W42" s="18">
        <f>IFS(V42="01-미제출",0,V42="02-제출_미검토",0.05,V42="03-검토중",0.1,V42="04-검토중_보완",0.05,V42="05-계획서승인",0.2,V42="06-BIW중단",0.15,V42="07-미인수",0.3,V42="08-단품준비완료",0.4,V42="09-시험준비중",0.55,V42="10-시험완료",0.85,V42="11-결과등록완료",1,V42="12-조건부승인",0.9,TRUE,0)</f>
        <v/>
      </c>
      <c r="X42" s="5">
        <f>IF(T42&lt;&gt;"","-",IF(S42="","N/A",S42-TODAY()))</f>
        <v/>
      </c>
      <c r="Y42" s="17">
        <f>IF(V42="11-결과등록완료","DONE",IF(U42="06-BIW중단","BLOCKED",IF(AND(K42="",J42&lt;TODAY()),"CRITICAL",IF(AND(ISNUMBER(X42),X42&lt;=0),"OVERDUE",IF(AND(ISNUMBER(X42),X42&lt;=14),"WARNING",IF(U42&lt;&gt;"","ACTION","ON TRACK"))))))</f>
        <v/>
      </c>
      <c r="Z42" s="5">
        <f>IF(OR(T42&lt;&gt;"",R42&lt;&gt;"",P42&lt;&gt;"",N42&lt;&gt;"",K42&lt;&gt;""),TODAY()-MAX(T42,R42,P42,N42,K42),"—")</f>
        <v/>
      </c>
      <c r="AA42" s="19">
        <f>IF(V42="11-결과등록완료","— 완료",IF(V42="01-미제출",IF(J42&lt;TODAY(),"계획서 제출 독촉 (OVERDUE)","계획서 제출 대기"),IF(V42="02-제출_미검토","설계자: 계획서 검토 착수",IF(V42="03-검토중","설계자: 승인 처리",IF(V42="04-검토중_보완","보완 요청 → 협력사 재제출 독촉",IF(V42="05-계획서승인","시험편 준비 현황 확인",IF(V42="06-BIW중단","BIW 생산팀 확인 → 일정 재수립",IF(V42="07-미인수","협력사 인수 독촉",IF(V42="08-단품준비완료","시험 일정 확인",IF(V42="09-시험준비중","시험 진행 모니터링",IF(V42="10-시험완료","결과 보고서 전산 등록 독촉",IF(V42="12-조건부승인","조건부 승인 여부 판단 → 관련부서 협의","—"))))))))))))</f>
        <v/>
      </c>
      <c r="AB42" s="15" t="n"/>
    </row>
    <row r="43">
      <c r="A43" s="5" t="n">
        <v>39</v>
      </c>
      <c r="B43" s="13" t="inlineStr">
        <is>
          <t>SU2i</t>
        </is>
      </c>
      <c r="C43" s="14">
        <f>IFERROR(VLOOKUP(D43,'Reference Data 기준데이터'!$A$30:$D$41,2,FALSE),"")</f>
        <v/>
      </c>
      <c r="D43" s="15" t="inlineStr">
        <is>
          <t>시트(앞)</t>
        </is>
      </c>
      <c r="E43" s="14">
        <f>IFERROR(VLOOKUP(D43,'Reference Data 기준데이터'!$A$30:$D$41,3,FALSE),"")</f>
        <v/>
      </c>
      <c r="F43" s="15" t="inlineStr">
        <is>
          <t>안전벨트 앵커리지</t>
        </is>
      </c>
      <c r="G43" s="14">
        <f>IFERROR(VLOOKUP(F43,'Reference Data 기준데이터'!$A$9:$E$26,2,FALSE),"")</f>
        <v/>
      </c>
      <c r="H43" s="14">
        <f>IFERROR(VLOOKUP(F43,'Reference Data 기준데이터'!$A$9:$E$26,5,FALSE),"")</f>
        <v/>
      </c>
      <c r="I43" s="16">
        <f>IFERROR(VLOOKUP(B43,'Reference Data 기준데이터'!$A$3:$J$5,3,FALSE),"")</f>
        <v/>
      </c>
      <c r="J43" s="16">
        <f>IFERROR(I43+VLOOKUP(B43,'Reference Data 기준데이터'!$A$3:$J$5,7,FALSE),"")</f>
        <v/>
      </c>
      <c r="K43" s="20" t="n">
        <v>46096</v>
      </c>
      <c r="L43" s="13" t="inlineStr">
        <is>
          <t>Under Review</t>
        </is>
      </c>
      <c r="M43" s="16">
        <f>IFERROR(I43+VLOOKUP(B43,'Reference Data 기준데이터'!$A$3:$J$5,8,FALSE),"")</f>
        <v/>
      </c>
      <c r="N43" s="13" t="n"/>
      <c r="O43" s="16">
        <f>IFERROR(IF(G43="차량장착",MAX(I43+VLOOKUP(B43,'Reference Data 기준데이터'!$A$3:$J$5,9,FALSE),VLOOKUP(B43,'Reference Data 기준데이터'!$A$3:$J$5,4,FALSE)),I43+VLOOKUP(B43,'Reference Data 기준데이터'!$A$3:$J$5,9,FALSE)),"")</f>
        <v/>
      </c>
      <c r="P43" s="13" t="n"/>
      <c r="Q43" s="16">
        <f>IFERROR(O43+VLOOKUP(F43,'Reference Data 기준데이터'!$A$9:$E$26,4,FALSE),"")</f>
        <v/>
      </c>
      <c r="R43" s="13" t="n"/>
      <c r="S43" s="16">
        <f>IFERROR(MIN(I43+VLOOKUP(B43,'Reference Data 기준데이터'!$A$3:$J$5,10,FALSE),VLOOKUP(B43,'Reference Data 기준데이터'!$A$3:$J$5,6,FALSE)),"")</f>
        <v/>
      </c>
      <c r="T43" s="13" t="n"/>
      <c r="U43" s="13" t="n"/>
      <c r="V43" s="17">
        <f>IF(U43&lt;&gt;"",U43,IF(AND(T43&lt;&gt;"",R43&lt;&gt;""),"11-결과등록완료",IF(AND(R43&lt;&gt;"",T43=""),"10-시험완료",IF(AND(P43&lt;&gt;"",R43=""),"09-시험준비중",IF(AND(N43&lt;&gt;"",P43=""),"08-단품준비완료",IF(L43="Approved","05-계획서승인",IF(L43="Revision Needed","04-검토중_보완",IF(L43="Under Review","03-검토중",IF(AND(K43&lt;&gt;"",L43=""),"02-제출_미검토","01-미제출")))))))))</f>
        <v/>
      </c>
      <c r="W43" s="18">
        <f>IFS(V43="01-미제출",0,V43="02-제출_미검토",0.05,V43="03-검토중",0.1,V43="04-검토중_보완",0.05,V43="05-계획서승인",0.2,V43="06-BIW중단",0.15,V43="07-미인수",0.3,V43="08-단품준비완료",0.4,V43="09-시험준비중",0.55,V43="10-시험완료",0.85,V43="11-결과등록완료",1,V43="12-조건부승인",0.9,TRUE,0)</f>
        <v/>
      </c>
      <c r="X43" s="5">
        <f>IF(T43&lt;&gt;"","-",IF(S43="","N/A",S43-TODAY()))</f>
        <v/>
      </c>
      <c r="Y43" s="17">
        <f>IF(V43="11-결과등록완료","DONE",IF(U43="06-BIW중단","BLOCKED",IF(AND(K43="",J43&lt;TODAY()),"CRITICAL",IF(AND(ISNUMBER(X43),X43&lt;=0),"OVERDUE",IF(AND(ISNUMBER(X43),X43&lt;=14),"WARNING",IF(U43&lt;&gt;"","ACTION","ON TRACK"))))))</f>
        <v/>
      </c>
      <c r="Z43" s="5">
        <f>IF(OR(T43&lt;&gt;"",R43&lt;&gt;"",P43&lt;&gt;"",N43&lt;&gt;"",K43&lt;&gt;""),TODAY()-MAX(T43,R43,P43,N43,K43),"—")</f>
        <v/>
      </c>
      <c r="AA43" s="19">
        <f>IF(V43="11-결과등록완료","— 완료",IF(V43="01-미제출",IF(J43&lt;TODAY(),"계획서 제출 독촉 (OVERDUE)","계획서 제출 대기"),IF(V43="02-제출_미검토","설계자: 계획서 검토 착수",IF(V43="03-검토중","설계자: 승인 처리",IF(V43="04-검토중_보완","보완 요청 → 협력사 재제출 독촉",IF(V43="05-계획서승인","시험편 준비 현황 확인",IF(V43="06-BIW중단","BIW 생산팀 확인 → 일정 재수립",IF(V43="07-미인수","협력사 인수 독촉",IF(V43="08-단품준비완료","시험 일정 확인",IF(V43="09-시험준비중","시험 진행 모니터링",IF(V43="10-시험완료","결과 보고서 전산 등록 독촉",IF(V43="12-조건부승인","조건부 승인 여부 판단 → 관련부서 협의","—"))))))))))))</f>
        <v/>
      </c>
      <c r="AB43" s="15" t="n"/>
    </row>
    <row r="44">
      <c r="A44" s="5" t="n">
        <v>40</v>
      </c>
      <c r="B44" s="13" t="inlineStr">
        <is>
          <t>SU2i</t>
        </is>
      </c>
      <c r="C44" s="14">
        <f>IFERROR(VLOOKUP(D44,'Reference Data 기준데이터'!$A$30:$D$41,2,FALSE),"")</f>
        <v/>
      </c>
      <c r="D44" s="15" t="inlineStr">
        <is>
          <t>시트(뒤)</t>
        </is>
      </c>
      <c r="E44" s="14">
        <f>IFERROR(VLOOKUP(D44,'Reference Data 기준데이터'!$A$30:$D$41,3,FALSE),"")</f>
        <v/>
      </c>
      <c r="F44" s="15" t="inlineStr">
        <is>
          <t>EMC 시험</t>
        </is>
      </c>
      <c r="G44" s="14">
        <f>IFERROR(VLOOKUP(F44,'Reference Data 기준데이터'!$A$9:$E$26,2,FALSE),"")</f>
        <v/>
      </c>
      <c r="H44" s="14">
        <f>IFERROR(VLOOKUP(F44,'Reference Data 기준데이터'!$A$9:$E$26,5,FALSE),"")</f>
        <v/>
      </c>
      <c r="I44" s="16">
        <f>IFERROR(VLOOKUP(B44,'Reference Data 기준데이터'!$A$3:$J$5,3,FALSE),"")</f>
        <v/>
      </c>
      <c r="J44" s="16">
        <f>IFERROR(I44+VLOOKUP(B44,'Reference Data 기준데이터'!$A$3:$J$5,7,FALSE),"")</f>
        <v/>
      </c>
      <c r="K44" s="20" t="n">
        <v>46092</v>
      </c>
      <c r="L44" s="13" t="inlineStr">
        <is>
          <t>Approved</t>
        </is>
      </c>
      <c r="M44" s="16">
        <f>IFERROR(I44+VLOOKUP(B44,'Reference Data 기준데이터'!$A$3:$J$5,8,FALSE),"")</f>
        <v/>
      </c>
      <c r="N44" s="20" t="n">
        <v>46127</v>
      </c>
      <c r="O44" s="16">
        <f>IFERROR(IF(G44="차량장착",MAX(I44+VLOOKUP(B44,'Reference Data 기준데이터'!$A$3:$J$5,9,FALSE),VLOOKUP(B44,'Reference Data 기준데이터'!$A$3:$J$5,4,FALSE)),I44+VLOOKUP(B44,'Reference Data 기준데이터'!$A$3:$J$5,9,FALSE)),"")</f>
        <v/>
      </c>
      <c r="P44" s="13" t="n"/>
      <c r="Q44" s="16">
        <f>IFERROR(O44+VLOOKUP(F44,'Reference Data 기준데이터'!$A$9:$E$26,4,FALSE),"")</f>
        <v/>
      </c>
      <c r="R44" s="13" t="n"/>
      <c r="S44" s="16">
        <f>IFERROR(MIN(I44+VLOOKUP(B44,'Reference Data 기준데이터'!$A$3:$J$5,10,FALSE),VLOOKUP(B44,'Reference Data 기준데이터'!$A$3:$J$5,6,FALSE)),"")</f>
        <v/>
      </c>
      <c r="T44" s="13" t="n"/>
      <c r="U44" s="13" t="n"/>
      <c r="V44" s="17">
        <f>IF(U44&lt;&gt;"",U44,IF(AND(T44&lt;&gt;"",R44&lt;&gt;""),"11-결과등록완료",IF(AND(R44&lt;&gt;"",T44=""),"10-시험완료",IF(AND(P44&lt;&gt;"",R44=""),"09-시험준비중",IF(AND(N44&lt;&gt;"",P44=""),"08-단품준비완료",IF(L44="Approved","05-계획서승인",IF(L44="Revision Needed","04-검토중_보완",IF(L44="Under Review","03-검토중",IF(AND(K44&lt;&gt;"",L44=""),"02-제출_미검토","01-미제출")))))))))</f>
        <v/>
      </c>
      <c r="W44" s="18">
        <f>IFS(V44="01-미제출",0,V44="02-제출_미검토",0.05,V44="03-검토중",0.1,V44="04-검토중_보완",0.05,V44="05-계획서승인",0.2,V44="06-BIW중단",0.15,V44="07-미인수",0.3,V44="08-단품준비완료",0.4,V44="09-시험준비중",0.55,V44="10-시험완료",0.85,V44="11-결과등록완료",1,V44="12-조건부승인",0.9,TRUE,0)</f>
        <v/>
      </c>
      <c r="X44" s="5">
        <f>IF(T44&lt;&gt;"","-",IF(S44="","N/A",S44-TODAY()))</f>
        <v/>
      </c>
      <c r="Y44" s="17">
        <f>IF(V44="11-결과등록완료","DONE",IF(U44="06-BIW중단","BLOCKED",IF(AND(K44="",J44&lt;TODAY()),"CRITICAL",IF(AND(ISNUMBER(X44),X44&lt;=0),"OVERDUE",IF(AND(ISNUMBER(X44),X44&lt;=14),"WARNING",IF(U44&lt;&gt;"","ACTION","ON TRACK"))))))</f>
        <v/>
      </c>
      <c r="Z44" s="5">
        <f>IF(OR(T44&lt;&gt;"",R44&lt;&gt;"",P44&lt;&gt;"",N44&lt;&gt;"",K44&lt;&gt;""),TODAY()-MAX(T44,R44,P44,N44,K44),"—")</f>
        <v/>
      </c>
      <c r="AA44" s="19">
        <f>IF(V44="11-결과등록완료","— 완료",IF(V44="01-미제출",IF(J44&lt;TODAY(),"계획서 제출 독촉 (OVERDUE)","계획서 제출 대기"),IF(V44="02-제출_미검토","설계자: 계획서 검토 착수",IF(V44="03-검토중","설계자: 승인 처리",IF(V44="04-검토중_보완","보완 요청 → 협력사 재제출 독촉",IF(V44="05-계획서승인","시험편 준비 현황 확인",IF(V44="06-BIW중단","BIW 생산팀 확인 → 일정 재수립",IF(V44="07-미인수","협력사 인수 독촉",IF(V44="08-단품준비완료","시험 일정 확인",IF(V44="09-시험준비중","시험 진행 모니터링",IF(V44="10-시험완료","결과 보고서 전산 등록 독촉",IF(V44="12-조건부승인","조건부 승인 여부 판단 → 관련부서 협의","—"))))))))))))</f>
        <v/>
      </c>
      <c r="AB44" s="15" t="n"/>
    </row>
    <row r="45">
      <c r="A45" s="5" t="n">
        <v>41</v>
      </c>
      <c r="B45" s="13" t="inlineStr">
        <is>
          <t>SU2i</t>
        </is>
      </c>
      <c r="C45" s="14">
        <f>IFERROR(VLOOKUP(D45,'Reference Data 기준데이터'!$A$30:$D$41,2,FALSE),"")</f>
        <v/>
      </c>
      <c r="D45" s="15" t="inlineStr">
        <is>
          <t>시트(뒤)</t>
        </is>
      </c>
      <c r="E45" s="14">
        <f>IFERROR(VLOOKUP(D45,'Reference Data 기준데이터'!$A$30:$D$41,3,FALSE),"")</f>
        <v/>
      </c>
      <c r="F45" s="15" t="inlineStr">
        <is>
          <t>VOC 방출 시험</t>
        </is>
      </c>
      <c r="G45" s="14">
        <f>IFERROR(VLOOKUP(F45,'Reference Data 기준데이터'!$A$9:$E$26,2,FALSE),"")</f>
        <v/>
      </c>
      <c r="H45" s="14">
        <f>IFERROR(VLOOKUP(F45,'Reference Data 기준데이터'!$A$9:$E$26,5,FALSE),"")</f>
        <v/>
      </c>
      <c r="I45" s="16">
        <f>IFERROR(VLOOKUP(B45,'Reference Data 기준데이터'!$A$3:$J$5,3,FALSE),"")</f>
        <v/>
      </c>
      <c r="J45" s="16">
        <f>IFERROR(I45+VLOOKUP(B45,'Reference Data 기준데이터'!$A$3:$J$5,7,FALSE),"")</f>
        <v/>
      </c>
      <c r="K45" s="20" t="n">
        <v>46093</v>
      </c>
      <c r="L45" s="13" t="inlineStr">
        <is>
          <t>Approved</t>
        </is>
      </c>
      <c r="M45" s="16">
        <f>IFERROR(I45+VLOOKUP(B45,'Reference Data 기준데이터'!$A$3:$J$5,8,FALSE),"")</f>
        <v/>
      </c>
      <c r="N45" s="20" t="n">
        <v>46128</v>
      </c>
      <c r="O45" s="16">
        <f>IFERROR(IF(G45="차량장착",MAX(I45+VLOOKUP(B45,'Reference Data 기준데이터'!$A$3:$J$5,9,FALSE),VLOOKUP(B45,'Reference Data 기준데이터'!$A$3:$J$5,4,FALSE)),I45+VLOOKUP(B45,'Reference Data 기준데이터'!$A$3:$J$5,9,FALSE)),"")</f>
        <v/>
      </c>
      <c r="P45" s="20" t="n">
        <v>46149</v>
      </c>
      <c r="Q45" s="16">
        <f>IFERROR(O45+VLOOKUP(F45,'Reference Data 기준데이터'!$A$9:$E$26,4,FALSE),"")</f>
        <v/>
      </c>
      <c r="R45" s="20" t="n">
        <v>46173</v>
      </c>
      <c r="S45" s="16">
        <f>IFERROR(MIN(I45+VLOOKUP(B45,'Reference Data 기준데이터'!$A$3:$J$5,10,FALSE),VLOOKUP(B45,'Reference Data 기준데이터'!$A$3:$J$5,6,FALSE)),"")</f>
        <v/>
      </c>
      <c r="T45" s="20" t="n">
        <v>46176</v>
      </c>
      <c r="U45" s="13" t="inlineStr">
        <is>
          <t>12-조건부승인</t>
        </is>
      </c>
      <c r="V45" s="17">
        <f>IF(U45&lt;&gt;"",U45,IF(AND(T45&lt;&gt;"",R45&lt;&gt;""),"11-결과등록완료",IF(AND(R45&lt;&gt;"",T45=""),"10-시험완료",IF(AND(P45&lt;&gt;"",R45=""),"09-시험준비중",IF(AND(N45&lt;&gt;"",P45=""),"08-단품준비완료",IF(L45="Approved","05-계획서승인",IF(L45="Revision Needed","04-검토중_보완",IF(L45="Under Review","03-검토중",IF(AND(K45&lt;&gt;"",L45=""),"02-제출_미검토","01-미제출")))))))))</f>
        <v/>
      </c>
      <c r="W45" s="18">
        <f>IFS(V45="01-미제출",0,V45="02-제출_미검토",0.05,V45="03-검토중",0.1,V45="04-검토중_보완",0.05,V45="05-계획서승인",0.2,V45="06-BIW중단",0.15,V45="07-미인수",0.3,V45="08-단품준비완료",0.4,V45="09-시험준비중",0.55,V45="10-시험완료",0.85,V45="11-결과등록완료",1,V45="12-조건부승인",0.9,TRUE,0)</f>
        <v/>
      </c>
      <c r="X45" s="5">
        <f>IF(T45&lt;&gt;"","-",IF(S45="","N/A",S45-TODAY()))</f>
        <v/>
      </c>
      <c r="Y45" s="17">
        <f>IF(V45="11-결과등록완료","DONE",IF(U45="06-BIW중단","BLOCKED",IF(AND(K45="",J45&lt;TODAY()),"CRITICAL",IF(AND(ISNUMBER(X45),X45&lt;=0),"OVERDUE",IF(AND(ISNUMBER(X45),X45&lt;=14),"WARNING",IF(U45&lt;&gt;"","ACTION","ON TRACK"))))))</f>
        <v/>
      </c>
      <c r="Z45" s="5">
        <f>IF(OR(T45&lt;&gt;"",R45&lt;&gt;"",P45&lt;&gt;"",N45&lt;&gt;"",K45&lt;&gt;""),TODAY()-MAX(T45,R45,P45,N45,K45),"—")</f>
        <v/>
      </c>
      <c r="AA45" s="19">
        <f>IF(V45="11-결과등록완료","— 완료",IF(V45="01-미제출",IF(J45&lt;TODAY(),"계획서 제출 독촉 (OVERDUE)","계획서 제출 대기"),IF(V45="02-제출_미검토","설계자: 계획서 검토 착수",IF(V45="03-검토중","설계자: 승인 처리",IF(V45="04-검토중_보완","보완 요청 → 협력사 재제출 독촉",IF(V45="05-계획서승인","시험편 준비 현황 확인",IF(V45="06-BIW중단","BIW 생산팀 확인 → 일정 재수립",IF(V45="07-미인수","협력사 인수 독촉",IF(V45="08-단품준비완료","시험 일정 확인",IF(V45="09-시험준비중","시험 진행 모니터링",IF(V45="10-시험완료","결과 보고서 전산 등록 독촉",IF(V45="12-조건부승인","조건부 승인 여부 판단 → 관련부서 협의","—"))))))))))))</f>
        <v/>
      </c>
      <c r="AB45" s="15" t="n"/>
    </row>
    <row r="46">
      <c r="A46" s="5" t="n">
        <v>42</v>
      </c>
      <c r="B46" s="13" t="inlineStr">
        <is>
          <t>SU2i</t>
        </is>
      </c>
      <c r="C46" s="14">
        <f>IFERROR(VLOOKUP(D46,'Reference Data 기준데이터'!$A$30:$D$41,2,FALSE),"")</f>
        <v/>
      </c>
      <c r="D46" s="15" t="inlineStr">
        <is>
          <t>시트(뒤)</t>
        </is>
      </c>
      <c r="E46" s="14">
        <f>IFERROR(VLOOKUP(D46,'Reference Data 기준데이터'!$A$30:$D$41,3,FALSE),"")</f>
        <v/>
      </c>
      <c r="F46" s="15" t="inlineStr">
        <is>
          <t>연소성 시험</t>
        </is>
      </c>
      <c r="G46" s="14">
        <f>IFERROR(VLOOKUP(F46,'Reference Data 기준데이터'!$A$9:$E$26,2,FALSE),"")</f>
        <v/>
      </c>
      <c r="H46" s="14">
        <f>IFERROR(VLOOKUP(F46,'Reference Data 기준데이터'!$A$9:$E$26,5,FALSE),"")</f>
        <v/>
      </c>
      <c r="I46" s="16">
        <f>IFERROR(VLOOKUP(B46,'Reference Data 기준데이터'!$A$3:$J$5,3,FALSE),"")</f>
        <v/>
      </c>
      <c r="J46" s="16">
        <f>IFERROR(I46+VLOOKUP(B46,'Reference Data 기준데이터'!$A$3:$J$5,7,FALSE),"")</f>
        <v/>
      </c>
      <c r="K46" s="13" t="n"/>
      <c r="L46" s="13" t="n"/>
      <c r="M46" s="16">
        <f>IFERROR(I46+VLOOKUP(B46,'Reference Data 기준데이터'!$A$3:$J$5,8,FALSE),"")</f>
        <v/>
      </c>
      <c r="N46" s="13" t="n"/>
      <c r="O46" s="16">
        <f>IFERROR(IF(G46="차량장착",MAX(I46+VLOOKUP(B46,'Reference Data 기준데이터'!$A$3:$J$5,9,FALSE),VLOOKUP(B46,'Reference Data 기준데이터'!$A$3:$J$5,4,FALSE)),I46+VLOOKUP(B46,'Reference Data 기준데이터'!$A$3:$J$5,9,FALSE)),"")</f>
        <v/>
      </c>
      <c r="P46" s="13" t="n"/>
      <c r="Q46" s="16">
        <f>IFERROR(O46+VLOOKUP(F46,'Reference Data 기준데이터'!$A$9:$E$26,4,FALSE),"")</f>
        <v/>
      </c>
      <c r="R46" s="13" t="n"/>
      <c r="S46" s="16">
        <f>IFERROR(MIN(I46+VLOOKUP(B46,'Reference Data 기준데이터'!$A$3:$J$5,10,FALSE),VLOOKUP(B46,'Reference Data 기준데이터'!$A$3:$J$5,6,FALSE)),"")</f>
        <v/>
      </c>
      <c r="T46" s="13" t="n"/>
      <c r="U46" s="13" t="n"/>
      <c r="V46" s="17">
        <f>IF(U46&lt;&gt;"",U46,IF(AND(T46&lt;&gt;"",R46&lt;&gt;""),"11-결과등록완료",IF(AND(R46&lt;&gt;"",T46=""),"10-시험완료",IF(AND(P46&lt;&gt;"",R46=""),"09-시험준비중",IF(AND(N46&lt;&gt;"",P46=""),"08-단품준비완료",IF(L46="Approved","05-계획서승인",IF(L46="Revision Needed","04-검토중_보완",IF(L46="Under Review","03-검토중",IF(AND(K46&lt;&gt;"",L46=""),"02-제출_미검토","01-미제출")))))))))</f>
        <v/>
      </c>
      <c r="W46" s="18">
        <f>IFS(V46="01-미제출",0,V46="02-제출_미검토",0.05,V46="03-검토중",0.1,V46="04-검토중_보완",0.05,V46="05-계획서승인",0.2,V46="06-BIW중단",0.15,V46="07-미인수",0.3,V46="08-단품준비완료",0.4,V46="09-시험준비중",0.55,V46="10-시험완료",0.85,V46="11-결과등록완료",1,V46="12-조건부승인",0.9,TRUE,0)</f>
        <v/>
      </c>
      <c r="X46" s="5">
        <f>IF(T46&lt;&gt;"","-",IF(S46="","N/A",S46-TODAY()))</f>
        <v/>
      </c>
      <c r="Y46" s="17">
        <f>IF(V46="11-결과등록완료","DONE",IF(U46="06-BIW중단","BLOCKED",IF(AND(K46="",J46&lt;TODAY()),"CRITICAL",IF(AND(ISNUMBER(X46),X46&lt;=0),"OVERDUE",IF(AND(ISNUMBER(X46),X46&lt;=14),"WARNING",IF(U46&lt;&gt;"","ACTION","ON TRACK"))))))</f>
        <v/>
      </c>
      <c r="Z46" s="5">
        <f>IF(OR(T46&lt;&gt;"",R46&lt;&gt;"",P46&lt;&gt;"",N46&lt;&gt;"",K46&lt;&gt;""),TODAY()-MAX(T46,R46,P46,N46,K46),"—")</f>
        <v/>
      </c>
      <c r="AA46" s="19">
        <f>IF(V46="11-결과등록완료","— 완료",IF(V46="01-미제출",IF(J46&lt;TODAY(),"계획서 제출 독촉 (OVERDUE)","계획서 제출 대기"),IF(V46="02-제출_미검토","설계자: 계획서 검토 착수",IF(V46="03-검토중","설계자: 승인 처리",IF(V46="04-검토중_보완","보완 요청 → 협력사 재제출 독촉",IF(V46="05-계획서승인","시험편 준비 현황 확인",IF(V46="06-BIW중단","BIW 생산팀 확인 → 일정 재수립",IF(V46="07-미인수","협력사 인수 독촉",IF(V46="08-단품준비완료","시험 일정 확인",IF(V46="09-시험준비중","시험 진행 모니터링",IF(V46="10-시험완료","결과 보고서 전산 등록 독촉",IF(V46="12-조건부승인","조건부 승인 여부 판단 → 관련부서 협의","—"))))))))))))</f>
        <v/>
      </c>
      <c r="AB46" s="15" t="n"/>
    </row>
    <row r="47">
      <c r="A47" s="5" t="n">
        <v>43</v>
      </c>
      <c r="B47" s="13" t="inlineStr">
        <is>
          <t>SU2i</t>
        </is>
      </c>
      <c r="C47" s="14">
        <f>IFERROR(VLOOKUP(D47,'Reference Data 기준데이터'!$A$30:$D$41,2,FALSE),"")</f>
        <v/>
      </c>
      <c r="D47" s="15" t="inlineStr">
        <is>
          <t>시트(뒤)</t>
        </is>
      </c>
      <c r="E47" s="14">
        <f>IFERROR(VLOOKUP(D47,'Reference Data 기준데이터'!$A$30:$D$41,3,FALSE),"")</f>
        <v/>
      </c>
      <c r="F47" s="15" t="inlineStr">
        <is>
          <t>시트 내구 시험</t>
        </is>
      </c>
      <c r="G47" s="14">
        <f>IFERROR(VLOOKUP(F47,'Reference Data 기준데이터'!$A$9:$E$26,2,FALSE),"")</f>
        <v/>
      </c>
      <c r="H47" s="14">
        <f>IFERROR(VLOOKUP(F47,'Reference Data 기준데이터'!$A$9:$E$26,5,FALSE),"")</f>
        <v/>
      </c>
      <c r="I47" s="16">
        <f>IFERROR(VLOOKUP(B47,'Reference Data 기준데이터'!$A$3:$J$5,3,FALSE),"")</f>
        <v/>
      </c>
      <c r="J47" s="16">
        <f>IFERROR(I47+VLOOKUP(B47,'Reference Data 기준데이터'!$A$3:$J$5,7,FALSE),"")</f>
        <v/>
      </c>
      <c r="K47" s="20" t="n">
        <v>46095</v>
      </c>
      <c r="L47" s="13" t="inlineStr">
        <is>
          <t>Approved</t>
        </is>
      </c>
      <c r="M47" s="16">
        <f>IFERROR(I47+VLOOKUP(B47,'Reference Data 기준데이터'!$A$3:$J$5,8,FALSE),"")</f>
        <v/>
      </c>
      <c r="N47" s="20" t="n">
        <v>46130</v>
      </c>
      <c r="O47" s="16">
        <f>IFERROR(IF(G47="차량장착",MAX(I47+VLOOKUP(B47,'Reference Data 기준데이터'!$A$3:$J$5,9,FALSE),VLOOKUP(B47,'Reference Data 기준데이터'!$A$3:$J$5,4,FALSE)),I47+VLOOKUP(B47,'Reference Data 기준데이터'!$A$3:$J$5,9,FALSE)),"")</f>
        <v/>
      </c>
      <c r="P47" s="20" t="n">
        <v>46145</v>
      </c>
      <c r="Q47" s="16">
        <f>IFERROR(O47+VLOOKUP(F47,'Reference Data 기준데이터'!$A$9:$E$26,4,FALSE),"")</f>
        <v/>
      </c>
      <c r="R47" s="20" t="n">
        <v>46168</v>
      </c>
      <c r="S47" s="16">
        <f>IFERROR(MIN(I47+VLOOKUP(B47,'Reference Data 기준데이터'!$A$3:$J$5,10,FALSE),VLOOKUP(B47,'Reference Data 기준데이터'!$A$3:$J$5,6,FALSE)),"")</f>
        <v/>
      </c>
      <c r="T47" s="20" t="n">
        <v>46178</v>
      </c>
      <c r="U47" s="13" t="n"/>
      <c r="V47" s="17">
        <f>IF(U47&lt;&gt;"",U47,IF(AND(T47&lt;&gt;"",R47&lt;&gt;""),"11-결과등록완료",IF(AND(R47&lt;&gt;"",T47=""),"10-시험완료",IF(AND(P47&lt;&gt;"",R47=""),"09-시험준비중",IF(AND(N47&lt;&gt;"",P47=""),"08-단품준비완료",IF(L47="Approved","05-계획서승인",IF(L47="Revision Needed","04-검토중_보완",IF(L47="Under Review","03-검토중",IF(AND(K47&lt;&gt;"",L47=""),"02-제출_미검토","01-미제출")))))))))</f>
        <v/>
      </c>
      <c r="W47" s="18">
        <f>IFS(V47="01-미제출",0,V47="02-제출_미검토",0.05,V47="03-검토중",0.1,V47="04-검토중_보완",0.05,V47="05-계획서승인",0.2,V47="06-BIW중단",0.15,V47="07-미인수",0.3,V47="08-단품준비완료",0.4,V47="09-시험준비중",0.55,V47="10-시험완료",0.85,V47="11-결과등록완료",1,V47="12-조건부승인",0.9,TRUE,0)</f>
        <v/>
      </c>
      <c r="X47" s="5">
        <f>IF(T47&lt;&gt;"","-",IF(S47="","N/A",S47-TODAY()))</f>
        <v/>
      </c>
      <c r="Y47" s="17">
        <f>IF(V47="11-결과등록완료","DONE",IF(U47="06-BIW중단","BLOCKED",IF(AND(K47="",J47&lt;TODAY()),"CRITICAL",IF(AND(ISNUMBER(X47),X47&lt;=0),"OVERDUE",IF(AND(ISNUMBER(X47),X47&lt;=14),"WARNING",IF(U47&lt;&gt;"","ACTION","ON TRACK"))))))</f>
        <v/>
      </c>
      <c r="Z47" s="5">
        <f>IF(OR(T47&lt;&gt;"",R47&lt;&gt;"",P47&lt;&gt;"",N47&lt;&gt;"",K47&lt;&gt;""),TODAY()-MAX(T47,R47,P47,N47,K47),"—")</f>
        <v/>
      </c>
      <c r="AA47" s="19">
        <f>IF(V47="11-결과등록완료","— 완료",IF(V47="01-미제출",IF(J47&lt;TODAY(),"계획서 제출 독촉 (OVERDUE)","계획서 제출 대기"),IF(V47="02-제출_미검토","설계자: 계획서 검토 착수",IF(V47="03-검토중","설계자: 승인 처리",IF(V47="04-검토중_보완","보완 요청 → 협력사 재제출 독촉",IF(V47="05-계획서승인","시험편 준비 현황 확인",IF(V47="06-BIW중단","BIW 생산팀 확인 → 일정 재수립",IF(V47="07-미인수","협력사 인수 독촉",IF(V47="08-단품준비완료","시험 일정 확인",IF(V47="09-시험준비중","시험 진행 모니터링",IF(V47="10-시험완료","결과 보고서 전산 등록 독촉",IF(V47="12-조건부승인","조건부 승인 여부 판단 → 관련부서 협의","—"))))))))))))</f>
        <v/>
      </c>
      <c r="AB47" s="15" t="n"/>
    </row>
    <row r="48">
      <c r="A48" s="5" t="n">
        <v>44</v>
      </c>
      <c r="B48" s="13" t="inlineStr">
        <is>
          <t>SU2i</t>
        </is>
      </c>
      <c r="C48" s="14">
        <f>IFERROR(VLOOKUP(D48,'Reference Data 기준데이터'!$A$30:$D$41,2,FALSE),"")</f>
        <v/>
      </c>
      <c r="D48" s="15" t="inlineStr">
        <is>
          <t>시트(뒤)</t>
        </is>
      </c>
      <c r="E48" s="14">
        <f>IFERROR(VLOOKUP(D48,'Reference Data 기준데이터'!$A$30:$D$41,3,FALSE),"")</f>
        <v/>
      </c>
      <c r="F48" s="15" t="inlineStr">
        <is>
          <t>안전벨트 앵커리지</t>
        </is>
      </c>
      <c r="G48" s="14">
        <f>IFERROR(VLOOKUP(F48,'Reference Data 기준데이터'!$A$9:$E$26,2,FALSE),"")</f>
        <v/>
      </c>
      <c r="H48" s="14">
        <f>IFERROR(VLOOKUP(F48,'Reference Data 기준데이터'!$A$9:$E$26,5,FALSE),"")</f>
        <v/>
      </c>
      <c r="I48" s="16">
        <f>IFERROR(VLOOKUP(B48,'Reference Data 기준데이터'!$A$3:$J$5,3,FALSE),"")</f>
        <v/>
      </c>
      <c r="J48" s="16">
        <f>IFERROR(I48+VLOOKUP(B48,'Reference Data 기준데이터'!$A$3:$J$5,7,FALSE),"")</f>
        <v/>
      </c>
      <c r="K48" s="20" t="n">
        <v>46096</v>
      </c>
      <c r="L48" s="13" t="inlineStr">
        <is>
          <t>Approved</t>
        </is>
      </c>
      <c r="M48" s="16">
        <f>IFERROR(I48+VLOOKUP(B48,'Reference Data 기준데이터'!$A$3:$J$5,8,FALSE),"")</f>
        <v/>
      </c>
      <c r="N48" s="20" t="n">
        <v>46131</v>
      </c>
      <c r="O48" s="16">
        <f>IFERROR(IF(G48="차량장착",MAX(I48+VLOOKUP(B48,'Reference Data 기준데이터'!$A$3:$J$5,9,FALSE),VLOOKUP(B48,'Reference Data 기준데이터'!$A$3:$J$5,4,FALSE)),I48+VLOOKUP(B48,'Reference Data 기준데이터'!$A$3:$J$5,9,FALSE)),"")</f>
        <v/>
      </c>
      <c r="P48" s="20" t="n">
        <v>46146</v>
      </c>
      <c r="Q48" s="16">
        <f>IFERROR(O48+VLOOKUP(F48,'Reference Data 기준데이터'!$A$9:$E$26,4,FALSE),"")</f>
        <v/>
      </c>
      <c r="R48" s="20" t="n">
        <v>46169</v>
      </c>
      <c r="S48" s="16">
        <f>IFERROR(MIN(I48+VLOOKUP(B48,'Reference Data 기준데이터'!$A$3:$J$5,10,FALSE),VLOOKUP(B48,'Reference Data 기준데이터'!$A$3:$J$5,6,FALSE)),"")</f>
        <v/>
      </c>
      <c r="T48" s="13" t="n"/>
      <c r="U48" s="13" t="n"/>
      <c r="V48" s="17">
        <f>IF(U48&lt;&gt;"",U48,IF(AND(T48&lt;&gt;"",R48&lt;&gt;""),"11-결과등록완료",IF(AND(R48&lt;&gt;"",T48=""),"10-시험완료",IF(AND(P48&lt;&gt;"",R48=""),"09-시험준비중",IF(AND(N48&lt;&gt;"",P48=""),"08-단품준비완료",IF(L48="Approved","05-계획서승인",IF(L48="Revision Needed","04-검토중_보완",IF(L48="Under Review","03-검토중",IF(AND(K48&lt;&gt;"",L48=""),"02-제출_미검토","01-미제출")))))))))</f>
        <v/>
      </c>
      <c r="W48" s="18">
        <f>IFS(V48="01-미제출",0,V48="02-제출_미검토",0.05,V48="03-검토중",0.1,V48="04-검토중_보완",0.05,V48="05-계획서승인",0.2,V48="06-BIW중단",0.15,V48="07-미인수",0.3,V48="08-단품준비완료",0.4,V48="09-시험준비중",0.55,V48="10-시험완료",0.85,V48="11-결과등록완료",1,V48="12-조건부승인",0.9,TRUE,0)</f>
        <v/>
      </c>
      <c r="X48" s="5">
        <f>IF(T48&lt;&gt;"","-",IF(S48="","N/A",S48-TODAY()))</f>
        <v/>
      </c>
      <c r="Y48" s="17">
        <f>IF(V48="11-결과등록완료","DONE",IF(U48="06-BIW중단","BLOCKED",IF(AND(K48="",J48&lt;TODAY()),"CRITICAL",IF(AND(ISNUMBER(X48),X48&lt;=0),"OVERDUE",IF(AND(ISNUMBER(X48),X48&lt;=14),"WARNING",IF(U48&lt;&gt;"","ACTION","ON TRACK"))))))</f>
        <v/>
      </c>
      <c r="Z48" s="5">
        <f>IF(OR(T48&lt;&gt;"",R48&lt;&gt;"",P48&lt;&gt;"",N48&lt;&gt;"",K48&lt;&gt;""),TODAY()-MAX(T48,R48,P48,N48,K48),"—")</f>
        <v/>
      </c>
      <c r="AA48" s="19">
        <f>IF(V48="11-결과등록완료","— 완료",IF(V48="01-미제출",IF(J48&lt;TODAY(),"계획서 제출 독촉 (OVERDUE)","계획서 제출 대기"),IF(V48="02-제출_미검토","설계자: 계획서 검토 착수",IF(V48="03-검토중","설계자: 승인 처리",IF(V48="04-검토중_보완","보완 요청 → 협력사 재제출 독촉",IF(V48="05-계획서승인","시험편 준비 현황 확인",IF(V48="06-BIW중단","BIW 생산팀 확인 → 일정 재수립",IF(V48="07-미인수","협력사 인수 독촉",IF(V48="08-단품준비완료","시험 일정 확인",IF(V48="09-시험준비중","시험 진행 모니터링",IF(V48="10-시험완료","결과 보고서 전산 등록 독촉",IF(V48="12-조건부승인","조건부 승인 여부 판단 → 관련부서 협의","—"))))))))))))</f>
        <v/>
      </c>
      <c r="AB48" s="15" t="n"/>
    </row>
    <row r="49">
      <c r="A49" s="5" t="n">
        <v>45</v>
      </c>
      <c r="B49" s="13" t="inlineStr">
        <is>
          <t>SU2i</t>
        </is>
      </c>
      <c r="C49" s="14">
        <f>IFERROR(VLOOKUP(D49,'Reference Data 기준데이터'!$A$30:$D$41,2,FALSE),"")</f>
        <v/>
      </c>
      <c r="D49" s="15" t="inlineStr">
        <is>
          <t>시트(뒤)</t>
        </is>
      </c>
      <c r="E49" s="14">
        <f>IFERROR(VLOOKUP(D49,'Reference Data 기준데이터'!$A$30:$D$41,3,FALSE),"")</f>
        <v/>
      </c>
      <c r="F49" s="15" t="inlineStr">
        <is>
          <t>ISOFIX 강도 시험</t>
        </is>
      </c>
      <c r="G49" s="14">
        <f>IFERROR(VLOOKUP(F49,'Reference Data 기준데이터'!$A$9:$E$26,2,FALSE),"")</f>
        <v/>
      </c>
      <c r="H49" s="14">
        <f>IFERROR(VLOOKUP(F49,'Reference Data 기준데이터'!$A$9:$E$26,5,FALSE),"")</f>
        <v/>
      </c>
      <c r="I49" s="16">
        <f>IFERROR(VLOOKUP(B49,'Reference Data 기준데이터'!$A$3:$J$5,3,FALSE),"")</f>
        <v/>
      </c>
      <c r="J49" s="16">
        <f>IFERROR(I49+VLOOKUP(B49,'Reference Data 기준데이터'!$A$3:$J$5,7,FALSE),"")</f>
        <v/>
      </c>
      <c r="K49" s="20" t="n">
        <v>46092</v>
      </c>
      <c r="L49" s="13" t="inlineStr">
        <is>
          <t>Approved</t>
        </is>
      </c>
      <c r="M49" s="16">
        <f>IFERROR(I49+VLOOKUP(B49,'Reference Data 기준데이터'!$A$3:$J$5,8,FALSE),"")</f>
        <v/>
      </c>
      <c r="N49" s="20" t="n">
        <v>46132</v>
      </c>
      <c r="O49" s="16">
        <f>IFERROR(IF(G49="차량장착",MAX(I49+VLOOKUP(B49,'Reference Data 기준데이터'!$A$3:$J$5,9,FALSE),VLOOKUP(B49,'Reference Data 기준데이터'!$A$3:$J$5,4,FALSE)),I49+VLOOKUP(B49,'Reference Data 기준데이터'!$A$3:$J$5,9,FALSE)),"")</f>
        <v/>
      </c>
      <c r="P49" s="20" t="n">
        <v>46147</v>
      </c>
      <c r="Q49" s="16">
        <f>IFERROR(O49+VLOOKUP(F49,'Reference Data 기준데이터'!$A$9:$E$26,4,FALSE),"")</f>
        <v/>
      </c>
      <c r="R49" s="13" t="n"/>
      <c r="S49" s="16">
        <f>IFERROR(MIN(I49+VLOOKUP(B49,'Reference Data 기준데이터'!$A$3:$J$5,10,FALSE),VLOOKUP(B49,'Reference Data 기준데이터'!$A$3:$J$5,6,FALSE)),"")</f>
        <v/>
      </c>
      <c r="T49" s="13" t="n"/>
      <c r="U49" s="13" t="n"/>
      <c r="V49" s="17">
        <f>IF(U49&lt;&gt;"",U49,IF(AND(T49&lt;&gt;"",R49&lt;&gt;""),"11-결과등록완료",IF(AND(R49&lt;&gt;"",T49=""),"10-시험완료",IF(AND(P49&lt;&gt;"",R49=""),"09-시험준비중",IF(AND(N49&lt;&gt;"",P49=""),"08-단품준비완료",IF(L49="Approved","05-계획서승인",IF(L49="Revision Needed","04-검토중_보완",IF(L49="Under Review","03-검토중",IF(AND(K49&lt;&gt;"",L49=""),"02-제출_미검토","01-미제출")))))))))</f>
        <v/>
      </c>
      <c r="W49" s="18">
        <f>IFS(V49="01-미제출",0,V49="02-제출_미검토",0.05,V49="03-검토중",0.1,V49="04-검토중_보완",0.05,V49="05-계획서승인",0.2,V49="06-BIW중단",0.15,V49="07-미인수",0.3,V49="08-단품준비완료",0.4,V49="09-시험준비중",0.55,V49="10-시험완료",0.85,V49="11-결과등록완료",1,V49="12-조건부승인",0.9,TRUE,0)</f>
        <v/>
      </c>
      <c r="X49" s="5">
        <f>IF(T49&lt;&gt;"","-",IF(S49="","N/A",S49-TODAY()))</f>
        <v/>
      </c>
      <c r="Y49" s="17">
        <f>IF(V49="11-결과등록완료","DONE",IF(U49="06-BIW중단","BLOCKED",IF(AND(K49="",J49&lt;TODAY()),"CRITICAL",IF(AND(ISNUMBER(X49),X49&lt;=0),"OVERDUE",IF(AND(ISNUMBER(X49),X49&lt;=14),"WARNING",IF(U49&lt;&gt;"","ACTION","ON TRACK"))))))</f>
        <v/>
      </c>
      <c r="Z49" s="5">
        <f>IF(OR(T49&lt;&gt;"",R49&lt;&gt;"",P49&lt;&gt;"",N49&lt;&gt;"",K49&lt;&gt;""),TODAY()-MAX(T49,R49,P49,N49,K49),"—")</f>
        <v/>
      </c>
      <c r="AA49" s="19">
        <f>IF(V49="11-결과등록완료","— 완료",IF(V49="01-미제출",IF(J49&lt;TODAY(),"계획서 제출 독촉 (OVERDUE)","계획서 제출 대기"),IF(V49="02-제출_미검토","설계자: 계획서 검토 착수",IF(V49="03-검토중","설계자: 승인 처리",IF(V49="04-검토중_보완","보완 요청 → 협력사 재제출 독촉",IF(V49="05-계획서승인","시험편 준비 현황 확인",IF(V49="06-BIW중단","BIW 생산팀 확인 → 일정 재수립",IF(V49="07-미인수","협력사 인수 독촉",IF(V49="08-단품준비완료","시험 일정 확인",IF(V49="09-시험준비중","시험 진행 모니터링",IF(V49="10-시험완료","결과 보고서 전산 등록 독촉",IF(V49="12-조건부승인","조건부 승인 여부 판단 → 관련부서 협의","—"))))))))))))</f>
        <v/>
      </c>
      <c r="AB49" s="15" t="n"/>
    </row>
    <row r="50">
      <c r="A50" s="5" t="n">
        <v>46</v>
      </c>
      <c r="B50" s="13" t="inlineStr">
        <is>
          <t>SU2i</t>
        </is>
      </c>
      <c r="C50" s="14">
        <f>IFERROR(VLOOKUP(D50,'Reference Data 기준데이터'!$A$30:$D$41,2,FALSE),"")</f>
        <v/>
      </c>
      <c r="D50" s="15" t="inlineStr">
        <is>
          <t>시트(뒤)</t>
        </is>
      </c>
      <c r="E50" s="14">
        <f>IFERROR(VLOOKUP(D50,'Reference Data 기준데이터'!$A$30:$D$41,3,FALSE),"")</f>
        <v/>
      </c>
      <c r="F50" s="15" t="inlineStr">
        <is>
          <t>수하물 충격 시험</t>
        </is>
      </c>
      <c r="G50" s="14">
        <f>IFERROR(VLOOKUP(F50,'Reference Data 기준데이터'!$A$9:$E$26,2,FALSE),"")</f>
        <v/>
      </c>
      <c r="H50" s="14">
        <f>IFERROR(VLOOKUP(F50,'Reference Data 기준데이터'!$A$9:$E$26,5,FALSE),"")</f>
        <v/>
      </c>
      <c r="I50" s="16">
        <f>IFERROR(VLOOKUP(B50,'Reference Data 기준데이터'!$A$3:$J$5,3,FALSE),"")</f>
        <v/>
      </c>
      <c r="J50" s="16">
        <f>IFERROR(I50+VLOOKUP(B50,'Reference Data 기준데이터'!$A$3:$J$5,7,FALSE),"")</f>
        <v/>
      </c>
      <c r="K50" s="20" t="n">
        <v>46093</v>
      </c>
      <c r="L50" s="13" t="inlineStr">
        <is>
          <t>Approved</t>
        </is>
      </c>
      <c r="M50" s="16">
        <f>IFERROR(I50+VLOOKUP(B50,'Reference Data 기준데이터'!$A$3:$J$5,8,FALSE),"")</f>
        <v/>
      </c>
      <c r="N50" s="20" t="n">
        <v>46133</v>
      </c>
      <c r="O50" s="16">
        <f>IFERROR(IF(G50="차량장착",MAX(I50+VLOOKUP(B50,'Reference Data 기준데이터'!$A$3:$J$5,9,FALSE),VLOOKUP(B50,'Reference Data 기준데이터'!$A$3:$J$5,4,FALSE)),I50+VLOOKUP(B50,'Reference Data 기준데이터'!$A$3:$J$5,9,FALSE)),"")</f>
        <v/>
      </c>
      <c r="P50" s="20" t="n">
        <v>46148</v>
      </c>
      <c r="Q50" s="16">
        <f>IFERROR(O50+VLOOKUP(F50,'Reference Data 기준데이터'!$A$9:$E$26,4,FALSE),"")</f>
        <v/>
      </c>
      <c r="R50" s="20" t="n">
        <v>46171</v>
      </c>
      <c r="S50" s="16">
        <f>IFERROR(MIN(I50+VLOOKUP(B50,'Reference Data 기준데이터'!$A$3:$J$5,10,FALSE),VLOOKUP(B50,'Reference Data 기준데이터'!$A$3:$J$5,6,FALSE)),"")</f>
        <v/>
      </c>
      <c r="T50" s="20" t="n">
        <v>46177</v>
      </c>
      <c r="U50" s="13" t="n"/>
      <c r="V50" s="17">
        <f>IF(U50&lt;&gt;"",U50,IF(AND(T50&lt;&gt;"",R50&lt;&gt;""),"11-결과등록완료",IF(AND(R50&lt;&gt;"",T50=""),"10-시험완료",IF(AND(P50&lt;&gt;"",R50=""),"09-시험준비중",IF(AND(N50&lt;&gt;"",P50=""),"08-단품준비완료",IF(L50="Approved","05-계획서승인",IF(L50="Revision Needed","04-검토중_보완",IF(L50="Under Review","03-검토중",IF(AND(K50&lt;&gt;"",L50=""),"02-제출_미검토","01-미제출")))))))))</f>
        <v/>
      </c>
      <c r="W50" s="18">
        <f>IFS(V50="01-미제출",0,V50="02-제출_미검토",0.05,V50="03-검토중",0.1,V50="04-검토중_보완",0.05,V50="05-계획서승인",0.2,V50="06-BIW중단",0.15,V50="07-미인수",0.3,V50="08-단품준비완료",0.4,V50="09-시험준비중",0.55,V50="10-시험완료",0.85,V50="11-결과등록완료",1,V50="12-조건부승인",0.9,TRUE,0)</f>
        <v/>
      </c>
      <c r="X50" s="5">
        <f>IF(T50&lt;&gt;"","-",IF(S50="","N/A",S50-TODAY()))</f>
        <v/>
      </c>
      <c r="Y50" s="17">
        <f>IF(V50="11-결과등록완료","DONE",IF(U50="06-BIW중단","BLOCKED",IF(AND(K50="",J50&lt;TODAY()),"CRITICAL",IF(AND(ISNUMBER(X50),X50&lt;=0),"OVERDUE",IF(AND(ISNUMBER(X50),X50&lt;=14),"WARNING",IF(U50&lt;&gt;"","ACTION","ON TRACK"))))))</f>
        <v/>
      </c>
      <c r="Z50" s="5">
        <f>IF(OR(T50&lt;&gt;"",R50&lt;&gt;"",P50&lt;&gt;"",N50&lt;&gt;"",K50&lt;&gt;""),TODAY()-MAX(T50,R50,P50,N50,K50),"—")</f>
        <v/>
      </c>
      <c r="AA50" s="19">
        <f>IF(V50="11-결과등록완료","— 완료",IF(V50="01-미제출",IF(J50&lt;TODAY(),"계획서 제출 독촉 (OVERDUE)","계획서 제출 대기"),IF(V50="02-제출_미검토","설계자: 계획서 검토 착수",IF(V50="03-검토중","설계자: 승인 처리",IF(V50="04-검토중_보완","보완 요청 → 협력사 재제출 독촉",IF(V50="05-계획서승인","시험편 준비 현황 확인",IF(V50="06-BIW중단","BIW 생산팀 확인 → 일정 재수립",IF(V50="07-미인수","협력사 인수 독촉",IF(V50="08-단품준비완료","시험 일정 확인",IF(V50="09-시험준비중","시험 진행 모니터링",IF(V50="10-시험완료","결과 보고서 전산 등록 독촉",IF(V50="12-조건부승인","조건부 승인 여부 판단 → 관련부서 협의","—"))))))))))))</f>
        <v/>
      </c>
      <c r="AB50" s="15" t="n"/>
    </row>
    <row r="51">
      <c r="A51" s="5" t="n">
        <v>47</v>
      </c>
      <c r="B51" s="13" t="inlineStr">
        <is>
          <t>EN_SUV</t>
        </is>
      </c>
      <c r="C51" s="14">
        <f>IFERROR(VLOOKUP(D51,'Reference Data 기준데이터'!$A$30:$D$41,2,FALSE),"")</f>
        <v/>
      </c>
      <c r="D51" s="15" t="inlineStr">
        <is>
          <t>센터콘솔</t>
        </is>
      </c>
      <c r="E51" s="14">
        <f>IFERROR(VLOOKUP(D51,'Reference Data 기준데이터'!$A$30:$D$41,3,FALSE),"")</f>
        <v/>
      </c>
      <c r="F51" s="15" t="inlineStr">
        <is>
          <t>EMC 시험</t>
        </is>
      </c>
      <c r="G51" s="14">
        <f>IFERROR(VLOOKUP(F51,'Reference Data 기준데이터'!$A$9:$E$26,2,FALSE),"")</f>
        <v/>
      </c>
      <c r="H51" s="14">
        <f>IFERROR(VLOOKUP(F51,'Reference Data 기준데이터'!$A$9:$E$26,5,FALSE),"")</f>
        <v/>
      </c>
      <c r="I51" s="16">
        <f>IFERROR(VLOOKUP(B51,'Reference Data 기준데이터'!$A$3:$J$5,3,FALSE),"")</f>
        <v/>
      </c>
      <c r="J51" s="16">
        <f>IFERROR(I51+VLOOKUP(B51,'Reference Data 기준데이터'!$A$3:$J$5,7,FALSE),"")</f>
        <v/>
      </c>
      <c r="K51" s="13" t="n"/>
      <c r="L51" s="13" t="n"/>
      <c r="M51" s="16">
        <f>IFERROR(I51+VLOOKUP(B51,'Reference Data 기준데이터'!$A$3:$J$5,8,FALSE),"")</f>
        <v/>
      </c>
      <c r="N51" s="13" t="n"/>
      <c r="O51" s="16">
        <f>IFERROR(IF(G51="차량장착",MAX(I51+VLOOKUP(B51,'Reference Data 기준데이터'!$A$3:$J$5,9,FALSE),VLOOKUP(B51,'Reference Data 기준데이터'!$A$3:$J$5,4,FALSE)),I51+VLOOKUP(B51,'Reference Data 기준데이터'!$A$3:$J$5,9,FALSE)),"")</f>
        <v/>
      </c>
      <c r="P51" s="13" t="n"/>
      <c r="Q51" s="16">
        <f>IFERROR(O51+VLOOKUP(F51,'Reference Data 기준데이터'!$A$9:$E$26,4,FALSE),"")</f>
        <v/>
      </c>
      <c r="R51" s="13" t="n"/>
      <c r="S51" s="16">
        <f>IFERROR(MIN(I51+VLOOKUP(B51,'Reference Data 기준데이터'!$A$3:$J$5,10,FALSE),VLOOKUP(B51,'Reference Data 기준데이터'!$A$3:$J$5,6,FALSE)),"")</f>
        <v/>
      </c>
      <c r="T51" s="13" t="n"/>
      <c r="U51" s="13" t="n"/>
      <c r="V51" s="17">
        <f>IF(U51&lt;&gt;"",U51,IF(AND(T51&lt;&gt;"",R51&lt;&gt;""),"11-결과등록완료",IF(AND(R51&lt;&gt;"",T51=""),"10-시험완료",IF(AND(P51&lt;&gt;"",R51=""),"09-시험준비중",IF(AND(N51&lt;&gt;"",P51=""),"08-단품준비완료",IF(L51="Approved","05-계획서승인",IF(L51="Revision Needed","04-검토중_보완",IF(L51="Under Review","03-검토중",IF(AND(K51&lt;&gt;"",L51=""),"02-제출_미검토","01-미제출")))))))))</f>
        <v/>
      </c>
      <c r="W51" s="18">
        <f>IFS(V51="01-미제출",0,V51="02-제출_미검토",0.05,V51="03-검토중",0.1,V51="04-검토중_보완",0.05,V51="05-계획서승인",0.2,V51="06-BIW중단",0.15,V51="07-미인수",0.3,V51="08-단품준비완료",0.4,V51="09-시험준비중",0.55,V51="10-시험완료",0.85,V51="11-결과등록완료",1,V51="12-조건부승인",0.9,TRUE,0)</f>
        <v/>
      </c>
      <c r="X51" s="5">
        <f>IF(T51&lt;&gt;"","-",IF(S51="","N/A",S51-TODAY()))</f>
        <v/>
      </c>
      <c r="Y51" s="17">
        <f>IF(V51="11-결과등록완료","DONE",IF(U51="06-BIW중단","BLOCKED",IF(AND(K51="",J51&lt;TODAY()),"CRITICAL",IF(AND(ISNUMBER(X51),X51&lt;=0),"OVERDUE",IF(AND(ISNUMBER(X51),X51&lt;=14),"WARNING",IF(U51&lt;&gt;"","ACTION","ON TRACK"))))))</f>
        <v/>
      </c>
      <c r="Z51" s="5">
        <f>IF(OR(T51&lt;&gt;"",R51&lt;&gt;"",P51&lt;&gt;"",N51&lt;&gt;"",K51&lt;&gt;""),TODAY()-MAX(T51,R51,P51,N51,K51),"—")</f>
        <v/>
      </c>
      <c r="AA51" s="19">
        <f>IF(V51="11-결과등록완료","— 완료",IF(V51="01-미제출",IF(J51&lt;TODAY(),"계획서 제출 독촉 (OVERDUE)","계획서 제출 대기"),IF(V51="02-제출_미검토","설계자: 계획서 검토 착수",IF(V51="03-검토중","설계자: 승인 처리",IF(V51="04-검토중_보완","보완 요청 → 협력사 재제출 독촉",IF(V51="05-계획서승인","시험편 준비 현황 확인",IF(V51="06-BIW중단","BIW 생산팀 확인 → 일정 재수립",IF(V51="07-미인수","협력사 인수 독촉",IF(V51="08-단품준비완료","시험 일정 확인",IF(V51="09-시험준비중","시험 진행 모니터링",IF(V51="10-시험완료","결과 보고서 전산 등록 독촉",IF(V51="12-조건부승인","조건부 승인 여부 판단 → 관련부서 협의","—"))))))))))))</f>
        <v/>
      </c>
      <c r="AB51" s="15" t="n"/>
    </row>
    <row r="52">
      <c r="A52" s="5" t="n">
        <v>48</v>
      </c>
      <c r="B52" s="13" t="inlineStr">
        <is>
          <t>EN_SUV</t>
        </is>
      </c>
      <c r="C52" s="14">
        <f>IFERROR(VLOOKUP(D52,'Reference Data 기준데이터'!$A$30:$D$41,2,FALSE),"")</f>
        <v/>
      </c>
      <c r="D52" s="15" t="inlineStr">
        <is>
          <t>센터콘솔</t>
        </is>
      </c>
      <c r="E52" s="14">
        <f>IFERROR(VLOOKUP(D52,'Reference Data 기준데이터'!$A$30:$D$41,3,FALSE),"")</f>
        <v/>
      </c>
      <c r="F52" s="15" t="inlineStr">
        <is>
          <t>VOC 방출 시험</t>
        </is>
      </c>
      <c r="G52" s="14">
        <f>IFERROR(VLOOKUP(F52,'Reference Data 기준데이터'!$A$9:$E$26,2,FALSE),"")</f>
        <v/>
      </c>
      <c r="H52" s="14">
        <f>IFERROR(VLOOKUP(F52,'Reference Data 기준데이터'!$A$9:$E$26,5,FALSE),"")</f>
        <v/>
      </c>
      <c r="I52" s="16">
        <f>IFERROR(VLOOKUP(B52,'Reference Data 기준데이터'!$A$3:$J$5,3,FALSE),"")</f>
        <v/>
      </c>
      <c r="J52" s="16">
        <f>IFERROR(I52+VLOOKUP(B52,'Reference Data 기준데이터'!$A$3:$J$5,7,FALSE),"")</f>
        <v/>
      </c>
      <c r="K52" s="20" t="n">
        <v>46067</v>
      </c>
      <c r="L52" s="13" t="inlineStr">
        <is>
          <t>Approved</t>
        </is>
      </c>
      <c r="M52" s="16">
        <f>IFERROR(I52+VLOOKUP(B52,'Reference Data 기준데이터'!$A$3:$J$5,8,FALSE),"")</f>
        <v/>
      </c>
      <c r="N52" s="13" t="n"/>
      <c r="O52" s="16">
        <f>IFERROR(IF(G52="차량장착",MAX(I52+VLOOKUP(B52,'Reference Data 기준데이터'!$A$3:$J$5,9,FALSE),VLOOKUP(B52,'Reference Data 기준데이터'!$A$3:$J$5,4,FALSE)),I52+VLOOKUP(B52,'Reference Data 기준데이터'!$A$3:$J$5,9,FALSE)),"")</f>
        <v/>
      </c>
      <c r="P52" s="13" t="n"/>
      <c r="Q52" s="16">
        <f>IFERROR(O52+VLOOKUP(F52,'Reference Data 기준데이터'!$A$9:$E$26,4,FALSE),"")</f>
        <v/>
      </c>
      <c r="R52" s="13" t="n"/>
      <c r="S52" s="16">
        <f>IFERROR(MIN(I52+VLOOKUP(B52,'Reference Data 기준데이터'!$A$3:$J$5,10,FALSE),VLOOKUP(B52,'Reference Data 기준데이터'!$A$3:$J$5,6,FALSE)),"")</f>
        <v/>
      </c>
      <c r="T52" s="13" t="n"/>
      <c r="U52" s="13" t="n"/>
      <c r="V52" s="17">
        <f>IF(U52&lt;&gt;"",U52,IF(AND(T52&lt;&gt;"",R52&lt;&gt;""),"11-결과등록완료",IF(AND(R52&lt;&gt;"",T52=""),"10-시험완료",IF(AND(P52&lt;&gt;"",R52=""),"09-시험준비중",IF(AND(N52&lt;&gt;"",P52=""),"08-단품준비완료",IF(L52="Approved","05-계획서승인",IF(L52="Revision Needed","04-검토중_보완",IF(L52="Under Review","03-검토중",IF(AND(K52&lt;&gt;"",L52=""),"02-제출_미검토","01-미제출")))))))))</f>
        <v/>
      </c>
      <c r="W52" s="18">
        <f>IFS(V52="01-미제출",0,V52="02-제출_미검토",0.05,V52="03-검토중",0.1,V52="04-검토중_보완",0.05,V52="05-계획서승인",0.2,V52="06-BIW중단",0.15,V52="07-미인수",0.3,V52="08-단품준비완료",0.4,V52="09-시험준비중",0.55,V52="10-시험완료",0.85,V52="11-결과등록완료",1,V52="12-조건부승인",0.9,TRUE,0)</f>
        <v/>
      </c>
      <c r="X52" s="5">
        <f>IF(T52&lt;&gt;"","-",IF(S52="","N/A",S52-TODAY()))</f>
        <v/>
      </c>
      <c r="Y52" s="17">
        <f>IF(V52="11-결과등록완료","DONE",IF(U52="06-BIW중단","BLOCKED",IF(AND(K52="",J52&lt;TODAY()),"CRITICAL",IF(AND(ISNUMBER(X52),X52&lt;=0),"OVERDUE",IF(AND(ISNUMBER(X52),X52&lt;=14),"WARNING",IF(U52&lt;&gt;"","ACTION","ON TRACK"))))))</f>
        <v/>
      </c>
      <c r="Z52" s="5">
        <f>IF(OR(T52&lt;&gt;"",R52&lt;&gt;"",P52&lt;&gt;"",N52&lt;&gt;"",K52&lt;&gt;""),TODAY()-MAX(T52,R52,P52,N52,K52),"—")</f>
        <v/>
      </c>
      <c r="AA52" s="19">
        <f>IF(V52="11-결과등록완료","— 완료",IF(V52="01-미제출",IF(J52&lt;TODAY(),"계획서 제출 독촉 (OVERDUE)","계획서 제출 대기"),IF(V52="02-제출_미검토","설계자: 계획서 검토 착수",IF(V52="03-검토중","설계자: 승인 처리",IF(V52="04-검토중_보완","보완 요청 → 협력사 재제출 독촉",IF(V52="05-계획서승인","시험편 준비 현황 확인",IF(V52="06-BIW중단","BIW 생산팀 확인 → 일정 재수립",IF(V52="07-미인수","협력사 인수 독촉",IF(V52="08-단품준비완료","시험 일정 확인",IF(V52="09-시험준비중","시험 진행 모니터링",IF(V52="10-시험완료","결과 보고서 전산 등록 독촉",IF(V52="12-조건부승인","조건부 승인 여부 판단 → 관련부서 협의","—"))))))))))))</f>
        <v/>
      </c>
      <c r="AB52" s="15" t="n"/>
    </row>
    <row r="53">
      <c r="A53" s="5" t="n">
        <v>49</v>
      </c>
      <c r="B53" s="13" t="inlineStr">
        <is>
          <t>EN_SUV</t>
        </is>
      </c>
      <c r="C53" s="14">
        <f>IFERROR(VLOOKUP(D53,'Reference Data 기준데이터'!$A$30:$D$41,2,FALSE),"")</f>
        <v/>
      </c>
      <c r="D53" s="15" t="inlineStr">
        <is>
          <t>센터콘솔</t>
        </is>
      </c>
      <c r="E53" s="14">
        <f>IFERROR(VLOOKUP(D53,'Reference Data 기준데이터'!$A$30:$D$41,3,FALSE),"")</f>
        <v/>
      </c>
      <c r="F53" s="15" t="inlineStr">
        <is>
          <t>연소성 시험</t>
        </is>
      </c>
      <c r="G53" s="14">
        <f>IFERROR(VLOOKUP(F53,'Reference Data 기준데이터'!$A$9:$E$26,2,FALSE),"")</f>
        <v/>
      </c>
      <c r="H53" s="14">
        <f>IFERROR(VLOOKUP(F53,'Reference Data 기준데이터'!$A$9:$E$26,5,FALSE),"")</f>
        <v/>
      </c>
      <c r="I53" s="16">
        <f>IFERROR(VLOOKUP(B53,'Reference Data 기준데이터'!$A$3:$J$5,3,FALSE),"")</f>
        <v/>
      </c>
      <c r="J53" s="16">
        <f>IFERROR(I53+VLOOKUP(B53,'Reference Data 기준데이터'!$A$3:$J$5,7,FALSE),"")</f>
        <v/>
      </c>
      <c r="K53" s="20" t="n">
        <v>46068</v>
      </c>
      <c r="L53" s="13" t="inlineStr">
        <is>
          <t>Approved</t>
        </is>
      </c>
      <c r="M53" s="16">
        <f>IFERROR(I53+VLOOKUP(B53,'Reference Data 기준데이터'!$A$3:$J$5,8,FALSE),"")</f>
        <v/>
      </c>
      <c r="N53" s="20" t="n">
        <v>46100</v>
      </c>
      <c r="O53" s="16">
        <f>IFERROR(IF(G53="차량장착",MAX(I53+VLOOKUP(B53,'Reference Data 기준데이터'!$A$3:$J$5,9,FALSE),VLOOKUP(B53,'Reference Data 기준데이터'!$A$3:$J$5,4,FALSE)),I53+VLOOKUP(B53,'Reference Data 기준데이터'!$A$3:$J$5,9,FALSE)),"")</f>
        <v/>
      </c>
      <c r="P53" s="20" t="n">
        <v>46117</v>
      </c>
      <c r="Q53" s="16">
        <f>IFERROR(O53+VLOOKUP(F53,'Reference Data 기준데이터'!$A$9:$E$26,4,FALSE),"")</f>
        <v/>
      </c>
      <c r="R53" s="13" t="n"/>
      <c r="S53" s="16">
        <f>IFERROR(MIN(I53+VLOOKUP(B53,'Reference Data 기준데이터'!$A$3:$J$5,10,FALSE),VLOOKUP(B53,'Reference Data 기준데이터'!$A$3:$J$5,6,FALSE)),"")</f>
        <v/>
      </c>
      <c r="T53" s="13" t="n"/>
      <c r="U53" s="13" t="n"/>
      <c r="V53" s="17">
        <f>IF(U53&lt;&gt;"",U53,IF(AND(T53&lt;&gt;"",R53&lt;&gt;""),"11-결과등록완료",IF(AND(R53&lt;&gt;"",T53=""),"10-시험완료",IF(AND(P53&lt;&gt;"",R53=""),"09-시험준비중",IF(AND(N53&lt;&gt;"",P53=""),"08-단품준비완료",IF(L53="Approved","05-계획서승인",IF(L53="Revision Needed","04-검토중_보완",IF(L53="Under Review","03-검토중",IF(AND(K53&lt;&gt;"",L53=""),"02-제출_미검토","01-미제출")))))))))</f>
        <v/>
      </c>
      <c r="W53" s="18">
        <f>IFS(V53="01-미제출",0,V53="02-제출_미검토",0.05,V53="03-검토중",0.1,V53="04-검토중_보완",0.05,V53="05-계획서승인",0.2,V53="06-BIW중단",0.15,V53="07-미인수",0.3,V53="08-단품준비완료",0.4,V53="09-시험준비중",0.55,V53="10-시험완료",0.85,V53="11-결과등록완료",1,V53="12-조건부승인",0.9,TRUE,0)</f>
        <v/>
      </c>
      <c r="X53" s="5">
        <f>IF(T53&lt;&gt;"","-",IF(S53="","N/A",S53-TODAY()))</f>
        <v/>
      </c>
      <c r="Y53" s="17">
        <f>IF(V53="11-결과등록완료","DONE",IF(U53="06-BIW중단","BLOCKED",IF(AND(K53="",J53&lt;TODAY()),"CRITICAL",IF(AND(ISNUMBER(X53),X53&lt;=0),"OVERDUE",IF(AND(ISNUMBER(X53),X53&lt;=14),"WARNING",IF(U53&lt;&gt;"","ACTION","ON TRACK"))))))</f>
        <v/>
      </c>
      <c r="Z53" s="5">
        <f>IF(OR(T53&lt;&gt;"",R53&lt;&gt;"",P53&lt;&gt;"",N53&lt;&gt;"",K53&lt;&gt;""),TODAY()-MAX(T53,R53,P53,N53,K53),"—")</f>
        <v/>
      </c>
      <c r="AA53" s="19">
        <f>IF(V53="11-결과등록완료","— 완료",IF(V53="01-미제출",IF(J53&lt;TODAY(),"계획서 제출 독촉 (OVERDUE)","계획서 제출 대기"),IF(V53="02-제출_미검토","설계자: 계획서 검토 착수",IF(V53="03-검토중","설계자: 승인 처리",IF(V53="04-검토중_보완","보완 요청 → 협력사 재제출 독촉",IF(V53="05-계획서승인","시험편 준비 현황 확인",IF(V53="06-BIW중단","BIW 생산팀 확인 → 일정 재수립",IF(V53="07-미인수","협력사 인수 독촉",IF(V53="08-단품준비완료","시험 일정 확인",IF(V53="09-시험준비중","시험 진행 모니터링",IF(V53="10-시험완료","결과 보고서 전산 등록 독촉",IF(V53="12-조건부승인","조건부 승인 여부 판단 → 관련부서 협의","—"))))))))))))</f>
        <v/>
      </c>
      <c r="AB53" s="15" t="n"/>
    </row>
    <row r="54">
      <c r="A54" s="5" t="n">
        <v>50</v>
      </c>
      <c r="B54" s="13" t="inlineStr">
        <is>
          <t>EN_SUV</t>
        </is>
      </c>
      <c r="C54" s="14">
        <f>IFERROR(VLOOKUP(D54,'Reference Data 기준데이터'!$A$30:$D$41,2,FALSE),"")</f>
        <v/>
      </c>
      <c r="D54" s="15" t="inlineStr">
        <is>
          <t>센터콘솔</t>
        </is>
      </c>
      <c r="E54" s="14">
        <f>IFERROR(VLOOKUP(D54,'Reference Data 기준데이터'!$A$30:$D$41,3,FALSE),"")</f>
        <v/>
      </c>
      <c r="F54" s="15" t="inlineStr">
        <is>
          <t>BSR 시험</t>
        </is>
      </c>
      <c r="G54" s="14">
        <f>IFERROR(VLOOKUP(F54,'Reference Data 기준데이터'!$A$9:$E$26,2,FALSE),"")</f>
        <v/>
      </c>
      <c r="H54" s="14">
        <f>IFERROR(VLOOKUP(F54,'Reference Data 기준데이터'!$A$9:$E$26,5,FALSE),"")</f>
        <v/>
      </c>
      <c r="I54" s="16">
        <f>IFERROR(VLOOKUP(B54,'Reference Data 기준데이터'!$A$3:$J$5,3,FALSE),"")</f>
        <v/>
      </c>
      <c r="J54" s="16">
        <f>IFERROR(I54+VLOOKUP(B54,'Reference Data 기준데이터'!$A$3:$J$5,7,FALSE),"")</f>
        <v/>
      </c>
      <c r="K54" s="20" t="n">
        <v>46064</v>
      </c>
      <c r="L54" s="13" t="inlineStr">
        <is>
          <t>Approved</t>
        </is>
      </c>
      <c r="M54" s="16">
        <f>IFERROR(I54+VLOOKUP(B54,'Reference Data 기준데이터'!$A$3:$J$5,8,FALSE),"")</f>
        <v/>
      </c>
      <c r="N54" s="20" t="n">
        <v>46101</v>
      </c>
      <c r="O54" s="16">
        <f>IFERROR(IF(G54="차량장착",MAX(I54+VLOOKUP(B54,'Reference Data 기준데이터'!$A$3:$J$5,9,FALSE),VLOOKUP(B54,'Reference Data 기준데이터'!$A$3:$J$5,4,FALSE)),I54+VLOOKUP(B54,'Reference Data 기준데이터'!$A$3:$J$5,9,FALSE)),"")</f>
        <v/>
      </c>
      <c r="P54" s="20" t="n">
        <v>46118</v>
      </c>
      <c r="Q54" s="16">
        <f>IFERROR(O54+VLOOKUP(F54,'Reference Data 기준데이터'!$A$9:$E$26,4,FALSE),"")</f>
        <v/>
      </c>
      <c r="R54" s="20" t="n">
        <v>46140</v>
      </c>
      <c r="S54" s="16">
        <f>IFERROR(MIN(I54+VLOOKUP(B54,'Reference Data 기준데이터'!$A$3:$J$5,10,FALSE),VLOOKUP(B54,'Reference Data 기준데이터'!$A$3:$J$5,6,FALSE)),"")</f>
        <v/>
      </c>
      <c r="T54" s="20" t="n">
        <v>46149</v>
      </c>
      <c r="U54" s="13" t="n"/>
      <c r="V54" s="17">
        <f>IF(U54&lt;&gt;"",U54,IF(AND(T54&lt;&gt;"",R54&lt;&gt;""),"11-결과등록완료",IF(AND(R54&lt;&gt;"",T54=""),"10-시험완료",IF(AND(P54&lt;&gt;"",R54=""),"09-시험준비중",IF(AND(N54&lt;&gt;"",P54=""),"08-단품준비완료",IF(L54="Approved","05-계획서승인",IF(L54="Revision Needed","04-검토중_보완",IF(L54="Under Review","03-검토중",IF(AND(K54&lt;&gt;"",L54=""),"02-제출_미검토","01-미제출")))))))))</f>
        <v/>
      </c>
      <c r="W54" s="18">
        <f>IFS(V54="01-미제출",0,V54="02-제출_미검토",0.05,V54="03-검토중",0.1,V54="04-검토중_보완",0.05,V54="05-계획서승인",0.2,V54="06-BIW중단",0.15,V54="07-미인수",0.3,V54="08-단품준비완료",0.4,V54="09-시험준비중",0.55,V54="10-시험완료",0.85,V54="11-결과등록완료",1,V54="12-조건부승인",0.9,TRUE,0)</f>
        <v/>
      </c>
      <c r="X54" s="5">
        <f>IF(T54&lt;&gt;"","-",IF(S54="","N/A",S54-TODAY()))</f>
        <v/>
      </c>
      <c r="Y54" s="17">
        <f>IF(V54="11-결과등록완료","DONE",IF(U54="06-BIW중단","BLOCKED",IF(AND(K54="",J54&lt;TODAY()),"CRITICAL",IF(AND(ISNUMBER(X54),X54&lt;=0),"OVERDUE",IF(AND(ISNUMBER(X54),X54&lt;=14),"WARNING",IF(U54&lt;&gt;"","ACTION","ON TRACK"))))))</f>
        <v/>
      </c>
      <c r="Z54" s="5">
        <f>IF(OR(T54&lt;&gt;"",R54&lt;&gt;"",P54&lt;&gt;"",N54&lt;&gt;"",K54&lt;&gt;""),TODAY()-MAX(T54,R54,P54,N54,K54),"—")</f>
        <v/>
      </c>
      <c r="AA54" s="19">
        <f>IF(V54="11-결과등록완료","— 완료",IF(V54="01-미제출",IF(J54&lt;TODAY(),"계획서 제출 독촉 (OVERDUE)","계획서 제출 대기"),IF(V54="02-제출_미검토","설계자: 계획서 검토 착수",IF(V54="03-검토중","설계자: 승인 처리",IF(V54="04-검토중_보완","보완 요청 → 협력사 재제출 독촉",IF(V54="05-계획서승인","시험편 준비 현황 확인",IF(V54="06-BIW중단","BIW 생산팀 확인 → 일정 재수립",IF(V54="07-미인수","협력사 인수 독촉",IF(V54="08-단품준비완료","시험 일정 확인",IF(V54="09-시험준비중","시험 진행 모니터링",IF(V54="10-시험완료","결과 보고서 전산 등록 독촉",IF(V54="12-조건부승인","조건부 승인 여부 판단 → 관련부서 협의","—"))))))))))))</f>
        <v/>
      </c>
      <c r="AB54" s="15" t="n"/>
    </row>
    <row r="55">
      <c r="A55" s="5" t="n">
        <v>51</v>
      </c>
      <c r="B55" s="13" t="inlineStr">
        <is>
          <t>EN_SUV</t>
        </is>
      </c>
      <c r="C55" s="14">
        <f>IFERROR(VLOOKUP(D55,'Reference Data 기준데이터'!$A$30:$D$41,2,FALSE),"")</f>
        <v/>
      </c>
      <c r="D55" s="15" t="inlineStr">
        <is>
          <t>센터콘솔</t>
        </is>
      </c>
      <c r="E55" s="14">
        <f>IFERROR(VLOOKUP(D55,'Reference Data 기준데이터'!$A$30:$D$41,3,FALSE),"")</f>
        <v/>
      </c>
      <c r="F55" s="15" t="inlineStr">
        <is>
          <t>치수 검사</t>
        </is>
      </c>
      <c r="G55" s="14">
        <f>IFERROR(VLOOKUP(F55,'Reference Data 기준데이터'!$A$9:$E$26,2,FALSE),"")</f>
        <v/>
      </c>
      <c r="H55" s="14">
        <f>IFERROR(VLOOKUP(F55,'Reference Data 기준데이터'!$A$9:$E$26,5,FALSE),"")</f>
        <v/>
      </c>
      <c r="I55" s="16">
        <f>IFERROR(VLOOKUP(B55,'Reference Data 기준데이터'!$A$3:$J$5,3,FALSE),"")</f>
        <v/>
      </c>
      <c r="J55" s="16">
        <f>IFERROR(I55+VLOOKUP(B55,'Reference Data 기준데이터'!$A$3:$J$5,7,FALSE),"")</f>
        <v/>
      </c>
      <c r="K55" s="20" t="n">
        <v>46065</v>
      </c>
      <c r="L55" s="13" t="inlineStr">
        <is>
          <t>Under Review</t>
        </is>
      </c>
      <c r="M55" s="16">
        <f>IFERROR(I55+VLOOKUP(B55,'Reference Data 기준데이터'!$A$3:$J$5,8,FALSE),"")</f>
        <v/>
      </c>
      <c r="N55" s="13" t="n"/>
      <c r="O55" s="16">
        <f>IFERROR(IF(G55="차량장착",MAX(I55+VLOOKUP(B55,'Reference Data 기준데이터'!$A$3:$J$5,9,FALSE),VLOOKUP(B55,'Reference Data 기준데이터'!$A$3:$J$5,4,FALSE)),I55+VLOOKUP(B55,'Reference Data 기준데이터'!$A$3:$J$5,9,FALSE)),"")</f>
        <v/>
      </c>
      <c r="P55" s="13" t="n"/>
      <c r="Q55" s="16">
        <f>IFERROR(O55+VLOOKUP(F55,'Reference Data 기준데이터'!$A$9:$E$26,4,FALSE),"")</f>
        <v/>
      </c>
      <c r="R55" s="13" t="n"/>
      <c r="S55" s="16">
        <f>IFERROR(MIN(I55+VLOOKUP(B55,'Reference Data 기준데이터'!$A$3:$J$5,10,FALSE),VLOOKUP(B55,'Reference Data 기준데이터'!$A$3:$J$5,6,FALSE)),"")</f>
        <v/>
      </c>
      <c r="T55" s="13" t="n"/>
      <c r="U55" s="13" t="n"/>
      <c r="V55" s="17">
        <f>IF(U55&lt;&gt;"",U55,IF(AND(T55&lt;&gt;"",R55&lt;&gt;""),"11-결과등록완료",IF(AND(R55&lt;&gt;"",T55=""),"10-시험완료",IF(AND(P55&lt;&gt;"",R55=""),"09-시험준비중",IF(AND(N55&lt;&gt;"",P55=""),"08-단품준비완료",IF(L55="Approved","05-계획서승인",IF(L55="Revision Needed","04-검토중_보완",IF(L55="Under Review","03-검토중",IF(AND(K55&lt;&gt;"",L55=""),"02-제출_미검토","01-미제출")))))))))</f>
        <v/>
      </c>
      <c r="W55" s="18">
        <f>IFS(V55="01-미제출",0,V55="02-제출_미검토",0.05,V55="03-검토중",0.1,V55="04-검토중_보완",0.05,V55="05-계획서승인",0.2,V55="06-BIW중단",0.15,V55="07-미인수",0.3,V55="08-단품준비완료",0.4,V55="09-시험준비중",0.55,V55="10-시험완료",0.85,V55="11-결과등록완료",1,V55="12-조건부승인",0.9,TRUE,0)</f>
        <v/>
      </c>
      <c r="X55" s="5">
        <f>IF(T55&lt;&gt;"","-",IF(S55="","N/A",S55-TODAY()))</f>
        <v/>
      </c>
      <c r="Y55" s="17">
        <f>IF(V55="11-결과등록완료","DONE",IF(U55="06-BIW중단","BLOCKED",IF(AND(K55="",J55&lt;TODAY()),"CRITICAL",IF(AND(ISNUMBER(X55),X55&lt;=0),"OVERDUE",IF(AND(ISNUMBER(X55),X55&lt;=14),"WARNING",IF(U55&lt;&gt;"","ACTION","ON TRACK"))))))</f>
        <v/>
      </c>
      <c r="Z55" s="5">
        <f>IF(OR(T55&lt;&gt;"",R55&lt;&gt;"",P55&lt;&gt;"",N55&lt;&gt;"",K55&lt;&gt;""),TODAY()-MAX(T55,R55,P55,N55,K55),"—")</f>
        <v/>
      </c>
      <c r="AA55" s="19">
        <f>IF(V55="11-결과등록완료","— 완료",IF(V55="01-미제출",IF(J55&lt;TODAY(),"계획서 제출 독촉 (OVERDUE)","계획서 제출 대기"),IF(V55="02-제출_미검토","설계자: 계획서 검토 착수",IF(V55="03-검토중","설계자: 승인 처리",IF(V55="04-검토중_보완","보완 요청 → 협력사 재제출 독촉",IF(V55="05-계획서승인","시험편 준비 현황 확인",IF(V55="06-BIW중단","BIW 생산팀 확인 → 일정 재수립",IF(V55="07-미인수","협력사 인수 독촉",IF(V55="08-단품준비완료","시험 일정 확인",IF(V55="09-시험준비중","시험 진행 모니터링",IF(V55="10-시험완료","결과 보고서 전산 등록 독촉",IF(V55="12-조건부승인","조건부 승인 여부 판단 → 관련부서 협의","—"))))))))))))</f>
        <v/>
      </c>
      <c r="AB55" s="15" t="n"/>
    </row>
    <row r="56">
      <c r="A56" s="5" t="n">
        <v>52</v>
      </c>
      <c r="B56" s="13" t="inlineStr">
        <is>
          <t>EN_SUV</t>
        </is>
      </c>
      <c r="C56" s="14">
        <f>IFERROR(VLOOKUP(D56,'Reference Data 기준데이터'!$A$30:$D$41,2,FALSE),"")</f>
        <v/>
      </c>
      <c r="D56" s="15" t="inlineStr">
        <is>
          <t>콘솔리드</t>
        </is>
      </c>
      <c r="E56" s="14">
        <f>IFERROR(VLOOKUP(D56,'Reference Data 기준데이터'!$A$30:$D$41,3,FALSE),"")</f>
        <v/>
      </c>
      <c r="F56" s="15" t="inlineStr">
        <is>
          <t>EMC 시험</t>
        </is>
      </c>
      <c r="G56" s="14">
        <f>IFERROR(VLOOKUP(F56,'Reference Data 기준데이터'!$A$9:$E$26,2,FALSE),"")</f>
        <v/>
      </c>
      <c r="H56" s="14">
        <f>IFERROR(VLOOKUP(F56,'Reference Data 기준데이터'!$A$9:$E$26,5,FALSE),"")</f>
        <v/>
      </c>
      <c r="I56" s="16">
        <f>IFERROR(VLOOKUP(B56,'Reference Data 기준데이터'!$A$3:$J$5,3,FALSE),"")</f>
        <v/>
      </c>
      <c r="J56" s="16">
        <f>IFERROR(I56+VLOOKUP(B56,'Reference Data 기준데이터'!$A$3:$J$5,7,FALSE),"")</f>
        <v/>
      </c>
      <c r="K56" s="20" t="n">
        <v>46066</v>
      </c>
      <c r="L56" s="13" t="n"/>
      <c r="M56" s="16">
        <f>IFERROR(I56+VLOOKUP(B56,'Reference Data 기준데이터'!$A$3:$J$5,8,FALSE),"")</f>
        <v/>
      </c>
      <c r="N56" s="13" t="n"/>
      <c r="O56" s="16">
        <f>IFERROR(IF(G56="차량장착",MAX(I56+VLOOKUP(B56,'Reference Data 기준데이터'!$A$3:$J$5,9,FALSE),VLOOKUP(B56,'Reference Data 기준데이터'!$A$3:$J$5,4,FALSE)),I56+VLOOKUP(B56,'Reference Data 기준데이터'!$A$3:$J$5,9,FALSE)),"")</f>
        <v/>
      </c>
      <c r="P56" s="13" t="n"/>
      <c r="Q56" s="16">
        <f>IFERROR(O56+VLOOKUP(F56,'Reference Data 기준데이터'!$A$9:$E$26,4,FALSE),"")</f>
        <v/>
      </c>
      <c r="R56" s="13" t="n"/>
      <c r="S56" s="16">
        <f>IFERROR(MIN(I56+VLOOKUP(B56,'Reference Data 기준데이터'!$A$3:$J$5,10,FALSE),VLOOKUP(B56,'Reference Data 기준데이터'!$A$3:$J$5,6,FALSE)),"")</f>
        <v/>
      </c>
      <c r="T56" s="13" t="n"/>
      <c r="U56" s="13" t="n"/>
      <c r="V56" s="17">
        <f>IF(U56&lt;&gt;"",U56,IF(AND(T56&lt;&gt;"",R56&lt;&gt;""),"11-결과등록완료",IF(AND(R56&lt;&gt;"",T56=""),"10-시험완료",IF(AND(P56&lt;&gt;"",R56=""),"09-시험준비중",IF(AND(N56&lt;&gt;"",P56=""),"08-단품준비완료",IF(L56="Approved","05-계획서승인",IF(L56="Revision Needed","04-검토중_보완",IF(L56="Under Review","03-검토중",IF(AND(K56&lt;&gt;"",L56=""),"02-제출_미검토","01-미제출")))))))))</f>
        <v/>
      </c>
      <c r="W56" s="18">
        <f>IFS(V56="01-미제출",0,V56="02-제출_미검토",0.05,V56="03-검토중",0.1,V56="04-검토중_보완",0.05,V56="05-계획서승인",0.2,V56="06-BIW중단",0.15,V56="07-미인수",0.3,V56="08-단품준비완료",0.4,V56="09-시험준비중",0.55,V56="10-시험완료",0.85,V56="11-결과등록완료",1,V56="12-조건부승인",0.9,TRUE,0)</f>
        <v/>
      </c>
      <c r="X56" s="5">
        <f>IF(T56&lt;&gt;"","-",IF(S56="","N/A",S56-TODAY()))</f>
        <v/>
      </c>
      <c r="Y56" s="17">
        <f>IF(V56="11-결과등록완료","DONE",IF(U56="06-BIW중단","BLOCKED",IF(AND(K56="",J56&lt;TODAY()),"CRITICAL",IF(AND(ISNUMBER(X56),X56&lt;=0),"OVERDUE",IF(AND(ISNUMBER(X56),X56&lt;=14),"WARNING",IF(U56&lt;&gt;"","ACTION","ON TRACK"))))))</f>
        <v/>
      </c>
      <c r="Z56" s="5">
        <f>IF(OR(T56&lt;&gt;"",R56&lt;&gt;"",P56&lt;&gt;"",N56&lt;&gt;"",K56&lt;&gt;""),TODAY()-MAX(T56,R56,P56,N56,K56),"—")</f>
        <v/>
      </c>
      <c r="AA56" s="19">
        <f>IF(V56="11-결과등록완료","— 완료",IF(V56="01-미제출",IF(J56&lt;TODAY(),"계획서 제출 독촉 (OVERDUE)","계획서 제출 대기"),IF(V56="02-제출_미검토","설계자: 계획서 검토 착수",IF(V56="03-검토중","설계자: 승인 처리",IF(V56="04-검토중_보완","보완 요청 → 협력사 재제출 독촉",IF(V56="05-계획서승인","시험편 준비 현황 확인",IF(V56="06-BIW중단","BIW 생산팀 확인 → 일정 재수립",IF(V56="07-미인수","협력사 인수 독촉",IF(V56="08-단품준비완료","시험 일정 확인",IF(V56="09-시험준비중","시험 진행 모니터링",IF(V56="10-시험완료","결과 보고서 전산 등록 독촉",IF(V56="12-조건부승인","조건부 승인 여부 판단 → 관련부서 협의","—"))))))))))))</f>
        <v/>
      </c>
      <c r="AB56" s="15" t="n"/>
    </row>
    <row r="57">
      <c r="A57" s="5" t="n">
        <v>53</v>
      </c>
      <c r="B57" s="13" t="inlineStr">
        <is>
          <t>EN_SUV</t>
        </is>
      </c>
      <c r="C57" s="14">
        <f>IFERROR(VLOOKUP(D57,'Reference Data 기준데이터'!$A$30:$D$41,2,FALSE),"")</f>
        <v/>
      </c>
      <c r="D57" s="15" t="inlineStr">
        <is>
          <t>콘솔리드</t>
        </is>
      </c>
      <c r="E57" s="14">
        <f>IFERROR(VLOOKUP(D57,'Reference Data 기준데이터'!$A$30:$D$41,3,FALSE),"")</f>
        <v/>
      </c>
      <c r="F57" s="15" t="inlineStr">
        <is>
          <t>VOC 방출 시험</t>
        </is>
      </c>
      <c r="G57" s="14">
        <f>IFERROR(VLOOKUP(F57,'Reference Data 기준데이터'!$A$9:$E$26,2,FALSE),"")</f>
        <v/>
      </c>
      <c r="H57" s="14">
        <f>IFERROR(VLOOKUP(F57,'Reference Data 기준데이터'!$A$9:$E$26,5,FALSE),"")</f>
        <v/>
      </c>
      <c r="I57" s="16">
        <f>IFERROR(VLOOKUP(B57,'Reference Data 기준데이터'!$A$3:$J$5,3,FALSE),"")</f>
        <v/>
      </c>
      <c r="J57" s="16">
        <f>IFERROR(I57+VLOOKUP(B57,'Reference Data 기준데이터'!$A$3:$J$5,7,FALSE),"")</f>
        <v/>
      </c>
      <c r="K57" s="20" t="n">
        <v>46067</v>
      </c>
      <c r="L57" s="13" t="inlineStr">
        <is>
          <t>Approved</t>
        </is>
      </c>
      <c r="M57" s="16">
        <f>IFERROR(I57+VLOOKUP(B57,'Reference Data 기준데이터'!$A$3:$J$5,8,FALSE),"")</f>
        <v/>
      </c>
      <c r="N57" s="20" t="n">
        <v>46104</v>
      </c>
      <c r="O57" s="16">
        <f>IFERROR(IF(G57="차량장착",MAX(I57+VLOOKUP(B57,'Reference Data 기준데이터'!$A$3:$J$5,9,FALSE),VLOOKUP(B57,'Reference Data 기준데이터'!$A$3:$J$5,4,FALSE)),I57+VLOOKUP(B57,'Reference Data 기준데이터'!$A$3:$J$5,9,FALSE)),"")</f>
        <v/>
      </c>
      <c r="P57" s="13" t="n"/>
      <c r="Q57" s="16">
        <f>IFERROR(O57+VLOOKUP(F57,'Reference Data 기준데이터'!$A$9:$E$26,4,FALSE),"")</f>
        <v/>
      </c>
      <c r="R57" s="13" t="n"/>
      <c r="S57" s="16">
        <f>IFERROR(MIN(I57+VLOOKUP(B57,'Reference Data 기준데이터'!$A$3:$J$5,10,FALSE),VLOOKUP(B57,'Reference Data 기준데이터'!$A$3:$J$5,6,FALSE)),"")</f>
        <v/>
      </c>
      <c r="T57" s="13" t="n"/>
      <c r="U57" s="13" t="n"/>
      <c r="V57" s="17">
        <f>IF(U57&lt;&gt;"",U57,IF(AND(T57&lt;&gt;"",R57&lt;&gt;""),"11-결과등록완료",IF(AND(R57&lt;&gt;"",T57=""),"10-시험완료",IF(AND(P57&lt;&gt;"",R57=""),"09-시험준비중",IF(AND(N57&lt;&gt;"",P57=""),"08-단품준비완료",IF(L57="Approved","05-계획서승인",IF(L57="Revision Needed","04-검토중_보완",IF(L57="Under Review","03-검토중",IF(AND(K57&lt;&gt;"",L57=""),"02-제출_미검토","01-미제출")))))))))</f>
        <v/>
      </c>
      <c r="W57" s="18">
        <f>IFS(V57="01-미제출",0,V57="02-제출_미검토",0.05,V57="03-검토중",0.1,V57="04-검토중_보완",0.05,V57="05-계획서승인",0.2,V57="06-BIW중단",0.15,V57="07-미인수",0.3,V57="08-단품준비완료",0.4,V57="09-시험준비중",0.55,V57="10-시험완료",0.85,V57="11-결과등록완료",1,V57="12-조건부승인",0.9,TRUE,0)</f>
        <v/>
      </c>
      <c r="X57" s="5">
        <f>IF(T57&lt;&gt;"","-",IF(S57="","N/A",S57-TODAY()))</f>
        <v/>
      </c>
      <c r="Y57" s="17">
        <f>IF(V57="11-결과등록완료","DONE",IF(U57="06-BIW중단","BLOCKED",IF(AND(K57="",J57&lt;TODAY()),"CRITICAL",IF(AND(ISNUMBER(X57),X57&lt;=0),"OVERDUE",IF(AND(ISNUMBER(X57),X57&lt;=14),"WARNING",IF(U57&lt;&gt;"","ACTION","ON TRACK"))))))</f>
        <v/>
      </c>
      <c r="Z57" s="5">
        <f>IF(OR(T57&lt;&gt;"",R57&lt;&gt;"",P57&lt;&gt;"",N57&lt;&gt;"",K57&lt;&gt;""),TODAY()-MAX(T57,R57,P57,N57,K57),"—")</f>
        <v/>
      </c>
      <c r="AA57" s="19">
        <f>IF(V57="11-결과등록완료","— 완료",IF(V57="01-미제출",IF(J57&lt;TODAY(),"계획서 제출 독촉 (OVERDUE)","계획서 제출 대기"),IF(V57="02-제출_미검토","설계자: 계획서 검토 착수",IF(V57="03-검토중","설계자: 승인 처리",IF(V57="04-검토중_보완","보완 요청 → 협력사 재제출 독촉",IF(V57="05-계획서승인","시험편 준비 현황 확인",IF(V57="06-BIW중단","BIW 생산팀 확인 → 일정 재수립",IF(V57="07-미인수","협력사 인수 독촉",IF(V57="08-단품준비완료","시험 일정 확인",IF(V57="09-시험준비중","시험 진행 모니터링",IF(V57="10-시험완료","결과 보고서 전산 등록 독촉",IF(V57="12-조건부승인","조건부 승인 여부 판단 → 관련부서 협의","—"))))))))))))</f>
        <v/>
      </c>
      <c r="AB57" s="15" t="n"/>
    </row>
    <row r="58">
      <c r="A58" s="5" t="n">
        <v>54</v>
      </c>
      <c r="B58" s="13" t="inlineStr">
        <is>
          <t>EN_SUV</t>
        </is>
      </c>
      <c r="C58" s="14">
        <f>IFERROR(VLOOKUP(D58,'Reference Data 기준데이터'!$A$30:$D$41,2,FALSE),"")</f>
        <v/>
      </c>
      <c r="D58" s="15" t="inlineStr">
        <is>
          <t>콘솔리드</t>
        </is>
      </c>
      <c r="E58" s="14">
        <f>IFERROR(VLOOKUP(D58,'Reference Data 기준데이터'!$A$30:$D$41,3,FALSE),"")</f>
        <v/>
      </c>
      <c r="F58" s="15" t="inlineStr">
        <is>
          <t>연소성 시험</t>
        </is>
      </c>
      <c r="G58" s="14">
        <f>IFERROR(VLOOKUP(F58,'Reference Data 기준데이터'!$A$9:$E$26,2,FALSE),"")</f>
        <v/>
      </c>
      <c r="H58" s="14">
        <f>IFERROR(VLOOKUP(F58,'Reference Data 기준데이터'!$A$9:$E$26,5,FALSE),"")</f>
        <v/>
      </c>
      <c r="I58" s="16">
        <f>IFERROR(VLOOKUP(B58,'Reference Data 기준데이터'!$A$3:$J$5,3,FALSE),"")</f>
        <v/>
      </c>
      <c r="J58" s="16">
        <f>IFERROR(I58+VLOOKUP(B58,'Reference Data 기준데이터'!$A$3:$J$5,7,FALSE),"")</f>
        <v/>
      </c>
      <c r="K58" s="20" t="n">
        <v>46068</v>
      </c>
      <c r="L58" s="13" t="inlineStr">
        <is>
          <t>Approved</t>
        </is>
      </c>
      <c r="M58" s="16">
        <f>IFERROR(I58+VLOOKUP(B58,'Reference Data 기준데이터'!$A$3:$J$5,8,FALSE),"")</f>
        <v/>
      </c>
      <c r="N58" s="20" t="n">
        <v>46105</v>
      </c>
      <c r="O58" s="16">
        <f>IFERROR(IF(G58="차량장착",MAX(I58+VLOOKUP(B58,'Reference Data 기준데이터'!$A$3:$J$5,9,FALSE),VLOOKUP(B58,'Reference Data 기준데이터'!$A$3:$J$5,4,FALSE)),I58+VLOOKUP(B58,'Reference Data 기준데이터'!$A$3:$J$5,9,FALSE)),"")</f>
        <v/>
      </c>
      <c r="P58" s="20" t="n">
        <v>46116</v>
      </c>
      <c r="Q58" s="16">
        <f>IFERROR(O58+VLOOKUP(F58,'Reference Data 기준데이터'!$A$9:$E$26,4,FALSE),"")</f>
        <v/>
      </c>
      <c r="R58" s="20" t="n">
        <v>46144</v>
      </c>
      <c r="S58" s="16">
        <f>IFERROR(MIN(I58+VLOOKUP(B58,'Reference Data 기준데이터'!$A$3:$J$5,10,FALSE),VLOOKUP(B58,'Reference Data 기준데이터'!$A$3:$J$5,6,FALSE)),"")</f>
        <v/>
      </c>
      <c r="T58" s="13" t="n"/>
      <c r="U58" s="13" t="n"/>
      <c r="V58" s="17">
        <f>IF(U58&lt;&gt;"",U58,IF(AND(T58&lt;&gt;"",R58&lt;&gt;""),"11-결과등록완료",IF(AND(R58&lt;&gt;"",T58=""),"10-시험완료",IF(AND(P58&lt;&gt;"",R58=""),"09-시험준비중",IF(AND(N58&lt;&gt;"",P58=""),"08-단품준비완료",IF(L58="Approved","05-계획서승인",IF(L58="Revision Needed","04-검토중_보완",IF(L58="Under Review","03-검토중",IF(AND(K58&lt;&gt;"",L58=""),"02-제출_미검토","01-미제출")))))))))</f>
        <v/>
      </c>
      <c r="W58" s="18">
        <f>IFS(V58="01-미제출",0,V58="02-제출_미검토",0.05,V58="03-검토중",0.1,V58="04-검토중_보완",0.05,V58="05-계획서승인",0.2,V58="06-BIW중단",0.15,V58="07-미인수",0.3,V58="08-단품준비완료",0.4,V58="09-시험준비중",0.55,V58="10-시험완료",0.85,V58="11-결과등록완료",1,V58="12-조건부승인",0.9,TRUE,0)</f>
        <v/>
      </c>
      <c r="X58" s="5">
        <f>IF(T58&lt;&gt;"","-",IF(S58="","N/A",S58-TODAY()))</f>
        <v/>
      </c>
      <c r="Y58" s="17">
        <f>IF(V58="11-결과등록완료","DONE",IF(U58="06-BIW중단","BLOCKED",IF(AND(K58="",J58&lt;TODAY()),"CRITICAL",IF(AND(ISNUMBER(X58),X58&lt;=0),"OVERDUE",IF(AND(ISNUMBER(X58),X58&lt;=14),"WARNING",IF(U58&lt;&gt;"","ACTION","ON TRACK"))))))</f>
        <v/>
      </c>
      <c r="Z58" s="5">
        <f>IF(OR(T58&lt;&gt;"",R58&lt;&gt;"",P58&lt;&gt;"",N58&lt;&gt;"",K58&lt;&gt;""),TODAY()-MAX(T58,R58,P58,N58,K58),"—")</f>
        <v/>
      </c>
      <c r="AA58" s="19">
        <f>IF(V58="11-결과등록완료","— 완료",IF(V58="01-미제출",IF(J58&lt;TODAY(),"계획서 제출 독촉 (OVERDUE)","계획서 제출 대기"),IF(V58="02-제출_미검토","설계자: 계획서 검토 착수",IF(V58="03-검토중","설계자: 승인 처리",IF(V58="04-검토중_보완","보완 요청 → 협력사 재제출 독촉",IF(V58="05-계획서승인","시험편 준비 현황 확인",IF(V58="06-BIW중단","BIW 생산팀 확인 → 일정 재수립",IF(V58="07-미인수","협력사 인수 독촉",IF(V58="08-단품준비완료","시험 일정 확인",IF(V58="09-시험준비중","시험 진행 모니터링",IF(V58="10-시험완료","결과 보고서 전산 등록 독촉",IF(V58="12-조건부승인","조건부 승인 여부 판단 → 관련부서 협의","—"))))))))))))</f>
        <v/>
      </c>
      <c r="AB58" s="15" t="n"/>
    </row>
    <row r="59">
      <c r="A59" s="5" t="n">
        <v>55</v>
      </c>
      <c r="B59" s="13" t="inlineStr">
        <is>
          <t>EN_SUV</t>
        </is>
      </c>
      <c r="C59" s="14">
        <f>IFERROR(VLOOKUP(D59,'Reference Data 기준데이터'!$A$30:$D$41,2,FALSE),"")</f>
        <v/>
      </c>
      <c r="D59" s="15" t="inlineStr">
        <is>
          <t>콘솔리드</t>
        </is>
      </c>
      <c r="E59" s="14">
        <f>IFERROR(VLOOKUP(D59,'Reference Data 기준데이터'!$A$30:$D$41,3,FALSE),"")</f>
        <v/>
      </c>
      <c r="F59" s="15" t="inlineStr">
        <is>
          <t>힌지 내구 시험</t>
        </is>
      </c>
      <c r="G59" s="14">
        <f>IFERROR(VLOOKUP(F59,'Reference Data 기준데이터'!$A$9:$E$26,2,FALSE),"")</f>
        <v/>
      </c>
      <c r="H59" s="14">
        <f>IFERROR(VLOOKUP(F59,'Reference Data 기준데이터'!$A$9:$E$26,5,FALSE),"")</f>
        <v/>
      </c>
      <c r="I59" s="16">
        <f>IFERROR(VLOOKUP(B59,'Reference Data 기준데이터'!$A$3:$J$5,3,FALSE),"")</f>
        <v/>
      </c>
      <c r="J59" s="16">
        <f>IFERROR(I59+VLOOKUP(B59,'Reference Data 기준데이터'!$A$3:$J$5,7,FALSE),"")</f>
        <v/>
      </c>
      <c r="K59" s="20" t="n">
        <v>46064</v>
      </c>
      <c r="L59" s="13" t="inlineStr">
        <is>
          <t>Approved</t>
        </is>
      </c>
      <c r="M59" s="16">
        <f>IFERROR(I59+VLOOKUP(B59,'Reference Data 기준데이터'!$A$3:$J$5,8,FALSE),"")</f>
        <v/>
      </c>
      <c r="N59" s="13" t="n"/>
      <c r="O59" s="16">
        <f>IFERROR(IF(G59="차량장착",MAX(I59+VLOOKUP(B59,'Reference Data 기준데이터'!$A$3:$J$5,9,FALSE),VLOOKUP(B59,'Reference Data 기준데이터'!$A$3:$J$5,4,FALSE)),I59+VLOOKUP(B59,'Reference Data 기준데이터'!$A$3:$J$5,9,FALSE)),"")</f>
        <v/>
      </c>
      <c r="P59" s="13" t="n"/>
      <c r="Q59" s="16">
        <f>IFERROR(O59+VLOOKUP(F59,'Reference Data 기준데이터'!$A$9:$E$26,4,FALSE),"")</f>
        <v/>
      </c>
      <c r="R59" s="13" t="n"/>
      <c r="S59" s="16">
        <f>IFERROR(MIN(I59+VLOOKUP(B59,'Reference Data 기준데이터'!$A$3:$J$5,10,FALSE),VLOOKUP(B59,'Reference Data 기준데이터'!$A$3:$J$5,6,FALSE)),"")</f>
        <v/>
      </c>
      <c r="T59" s="13" t="n"/>
      <c r="U59" s="13" t="inlineStr">
        <is>
          <t>06-BIW중단</t>
        </is>
      </c>
      <c r="V59" s="17">
        <f>IF(U59&lt;&gt;"",U59,IF(AND(T59&lt;&gt;"",R59&lt;&gt;""),"11-결과등록완료",IF(AND(R59&lt;&gt;"",T59=""),"10-시험완료",IF(AND(P59&lt;&gt;"",R59=""),"09-시험준비중",IF(AND(N59&lt;&gt;"",P59=""),"08-단품준비완료",IF(L59="Approved","05-계획서승인",IF(L59="Revision Needed","04-검토중_보완",IF(L59="Under Review","03-검토중",IF(AND(K59&lt;&gt;"",L59=""),"02-제출_미검토","01-미제출")))))))))</f>
        <v/>
      </c>
      <c r="W59" s="18">
        <f>IFS(V59="01-미제출",0,V59="02-제출_미검토",0.05,V59="03-검토중",0.1,V59="04-검토중_보완",0.05,V59="05-계획서승인",0.2,V59="06-BIW중단",0.15,V59="07-미인수",0.3,V59="08-단품준비완료",0.4,V59="09-시험준비중",0.55,V59="10-시험완료",0.85,V59="11-결과등록완료",1,V59="12-조건부승인",0.9,TRUE,0)</f>
        <v/>
      </c>
      <c r="X59" s="5">
        <f>IF(T59&lt;&gt;"","-",IF(S59="","N/A",S59-TODAY()))</f>
        <v/>
      </c>
      <c r="Y59" s="17">
        <f>IF(V59="11-결과등록완료","DONE",IF(U59="06-BIW중단","BLOCKED",IF(AND(K59="",J59&lt;TODAY()),"CRITICAL",IF(AND(ISNUMBER(X59),X59&lt;=0),"OVERDUE",IF(AND(ISNUMBER(X59),X59&lt;=14),"WARNING",IF(U59&lt;&gt;"","ACTION","ON TRACK"))))))</f>
        <v/>
      </c>
      <c r="Z59" s="5">
        <f>IF(OR(T59&lt;&gt;"",R59&lt;&gt;"",P59&lt;&gt;"",N59&lt;&gt;"",K59&lt;&gt;""),TODAY()-MAX(T59,R59,P59,N59,K59),"—")</f>
        <v/>
      </c>
      <c r="AA59" s="19">
        <f>IF(V59="11-결과등록완료","— 완료",IF(V59="01-미제출",IF(J59&lt;TODAY(),"계획서 제출 독촉 (OVERDUE)","계획서 제출 대기"),IF(V59="02-제출_미검토","설계자: 계획서 검토 착수",IF(V59="03-검토중","설계자: 승인 처리",IF(V59="04-검토중_보완","보완 요청 → 협력사 재제출 독촉",IF(V59="05-계획서승인","시험편 준비 현황 확인",IF(V59="06-BIW중단","BIW 생산팀 확인 → 일정 재수립",IF(V59="07-미인수","협력사 인수 독촉",IF(V59="08-단품준비완료","시험 일정 확인",IF(V59="09-시험준비중","시험 진행 모니터링",IF(V59="10-시험완료","결과 보고서 전산 등록 독촉",IF(V59="12-조건부승인","조건부 승인 여부 판단 → 관련부서 협의","—"))))))))))))</f>
        <v/>
      </c>
      <c r="AB59" s="15" t="n"/>
    </row>
    <row r="60">
      <c r="A60" s="5" t="n">
        <v>56</v>
      </c>
      <c r="B60" s="13" t="inlineStr">
        <is>
          <t>EN_SUV</t>
        </is>
      </c>
      <c r="C60" s="14">
        <f>IFERROR(VLOOKUP(D60,'Reference Data 기준데이터'!$A$30:$D$41,2,FALSE),"")</f>
        <v/>
      </c>
      <c r="D60" s="15" t="inlineStr">
        <is>
          <t>콘솔리드</t>
        </is>
      </c>
      <c r="E60" s="14">
        <f>IFERROR(VLOOKUP(D60,'Reference Data 기준데이터'!$A$30:$D$41,3,FALSE),"")</f>
        <v/>
      </c>
      <c r="F60" s="15" t="inlineStr">
        <is>
          <t>조작력 시험</t>
        </is>
      </c>
      <c r="G60" s="14">
        <f>IFERROR(VLOOKUP(F60,'Reference Data 기준데이터'!$A$9:$E$26,2,FALSE),"")</f>
        <v/>
      </c>
      <c r="H60" s="14">
        <f>IFERROR(VLOOKUP(F60,'Reference Data 기준데이터'!$A$9:$E$26,5,FALSE),"")</f>
        <v/>
      </c>
      <c r="I60" s="16">
        <f>IFERROR(VLOOKUP(B60,'Reference Data 기준데이터'!$A$3:$J$5,3,FALSE),"")</f>
        <v/>
      </c>
      <c r="J60" s="16">
        <f>IFERROR(I60+VLOOKUP(B60,'Reference Data 기준데이터'!$A$3:$J$5,7,FALSE),"")</f>
        <v/>
      </c>
      <c r="K60" s="20" t="n">
        <v>46065</v>
      </c>
      <c r="L60" s="13" t="inlineStr">
        <is>
          <t>Approved</t>
        </is>
      </c>
      <c r="M60" s="16">
        <f>IFERROR(I60+VLOOKUP(B60,'Reference Data 기준데이터'!$A$3:$J$5,8,FALSE),"")</f>
        <v/>
      </c>
      <c r="N60" s="20" t="n">
        <v>46099</v>
      </c>
      <c r="O60" s="16">
        <f>IFERROR(IF(G60="차량장착",MAX(I60+VLOOKUP(B60,'Reference Data 기준데이터'!$A$3:$J$5,9,FALSE),VLOOKUP(B60,'Reference Data 기준데이터'!$A$3:$J$5,4,FALSE)),I60+VLOOKUP(B60,'Reference Data 기준데이터'!$A$3:$J$5,9,FALSE)),"")</f>
        <v/>
      </c>
      <c r="P60" s="20" t="n">
        <v>46118</v>
      </c>
      <c r="Q60" s="16">
        <f>IFERROR(O60+VLOOKUP(F60,'Reference Data 기준데이터'!$A$9:$E$26,4,FALSE),"")</f>
        <v/>
      </c>
      <c r="R60" s="20" t="n">
        <v>46139</v>
      </c>
      <c r="S60" s="16">
        <f>IFERROR(MIN(I60+VLOOKUP(B60,'Reference Data 기준데이터'!$A$3:$J$5,10,FALSE),VLOOKUP(B60,'Reference Data 기준데이터'!$A$3:$J$5,6,FALSE)),"")</f>
        <v/>
      </c>
      <c r="T60" s="20" t="n">
        <v>46147</v>
      </c>
      <c r="U60" s="13" t="n"/>
      <c r="V60" s="17">
        <f>IF(U60&lt;&gt;"",U60,IF(AND(T60&lt;&gt;"",R60&lt;&gt;""),"11-결과등록완료",IF(AND(R60&lt;&gt;"",T60=""),"10-시험완료",IF(AND(P60&lt;&gt;"",R60=""),"09-시험준비중",IF(AND(N60&lt;&gt;"",P60=""),"08-단품준비완료",IF(L60="Approved","05-계획서승인",IF(L60="Revision Needed","04-검토중_보완",IF(L60="Under Review","03-검토중",IF(AND(K60&lt;&gt;"",L60=""),"02-제출_미검토","01-미제출")))))))))</f>
        <v/>
      </c>
      <c r="W60" s="18">
        <f>IFS(V60="01-미제출",0,V60="02-제출_미검토",0.05,V60="03-검토중",0.1,V60="04-검토중_보완",0.05,V60="05-계획서승인",0.2,V60="06-BIW중단",0.15,V60="07-미인수",0.3,V60="08-단품준비완료",0.4,V60="09-시험준비중",0.55,V60="10-시험완료",0.85,V60="11-결과등록완료",1,V60="12-조건부승인",0.9,TRUE,0)</f>
        <v/>
      </c>
      <c r="X60" s="5">
        <f>IF(T60&lt;&gt;"","-",IF(S60="","N/A",S60-TODAY()))</f>
        <v/>
      </c>
      <c r="Y60" s="17">
        <f>IF(V60="11-결과등록완료","DONE",IF(U60="06-BIW중단","BLOCKED",IF(AND(K60="",J60&lt;TODAY()),"CRITICAL",IF(AND(ISNUMBER(X60),X60&lt;=0),"OVERDUE",IF(AND(ISNUMBER(X60),X60&lt;=14),"WARNING",IF(U60&lt;&gt;"","ACTION","ON TRACK"))))))</f>
        <v/>
      </c>
      <c r="Z60" s="5">
        <f>IF(OR(T60&lt;&gt;"",R60&lt;&gt;"",P60&lt;&gt;"",N60&lt;&gt;"",K60&lt;&gt;""),TODAY()-MAX(T60,R60,P60,N60,K60),"—")</f>
        <v/>
      </c>
      <c r="AA60" s="19">
        <f>IF(V60="11-결과등록완료","— 완료",IF(V60="01-미제출",IF(J60&lt;TODAY(),"계획서 제출 독촉 (OVERDUE)","계획서 제출 대기"),IF(V60="02-제출_미검토","설계자: 계획서 검토 착수",IF(V60="03-검토중","설계자: 승인 처리",IF(V60="04-검토중_보완","보완 요청 → 협력사 재제출 독촉",IF(V60="05-계획서승인","시험편 준비 현황 확인",IF(V60="06-BIW중단","BIW 생산팀 확인 → 일정 재수립",IF(V60="07-미인수","협력사 인수 독촉",IF(V60="08-단품준비완료","시험 일정 확인",IF(V60="09-시험준비중","시험 진행 모니터링",IF(V60="10-시험완료","결과 보고서 전산 등록 독촉",IF(V60="12-조건부승인","조건부 승인 여부 판단 → 관련부서 협의","—"))))))))))))</f>
        <v/>
      </c>
      <c r="AB60" s="15" t="n"/>
    </row>
    <row r="61">
      <c r="A61" s="5" t="n">
        <v>57</v>
      </c>
      <c r="B61" s="13" t="inlineStr">
        <is>
          <t>EN_SUV</t>
        </is>
      </c>
      <c r="C61" s="14">
        <f>IFERROR(VLOOKUP(D61,'Reference Data 기준데이터'!$A$30:$D$41,2,FALSE),"")</f>
        <v/>
      </c>
      <c r="D61" s="15" t="inlineStr">
        <is>
          <t>시트(앞)</t>
        </is>
      </c>
      <c r="E61" s="14">
        <f>IFERROR(VLOOKUP(D61,'Reference Data 기준데이터'!$A$30:$D$41,3,FALSE),"")</f>
        <v/>
      </c>
      <c r="F61" s="15" t="inlineStr">
        <is>
          <t>EMC 시험</t>
        </is>
      </c>
      <c r="G61" s="14">
        <f>IFERROR(VLOOKUP(F61,'Reference Data 기준데이터'!$A$9:$E$26,2,FALSE),"")</f>
        <v/>
      </c>
      <c r="H61" s="14">
        <f>IFERROR(VLOOKUP(F61,'Reference Data 기준데이터'!$A$9:$E$26,5,FALSE),"")</f>
        <v/>
      </c>
      <c r="I61" s="16">
        <f>IFERROR(VLOOKUP(B61,'Reference Data 기준데이터'!$A$3:$J$5,3,FALSE),"")</f>
        <v/>
      </c>
      <c r="J61" s="16">
        <f>IFERROR(I61+VLOOKUP(B61,'Reference Data 기준데이터'!$A$3:$J$5,7,FALSE),"")</f>
        <v/>
      </c>
      <c r="K61" s="20" t="n">
        <v>46066</v>
      </c>
      <c r="L61" s="13" t="inlineStr">
        <is>
          <t>Revision Needed</t>
        </is>
      </c>
      <c r="M61" s="16">
        <f>IFERROR(I61+VLOOKUP(B61,'Reference Data 기준데이터'!$A$3:$J$5,8,FALSE),"")</f>
        <v/>
      </c>
      <c r="N61" s="13" t="n"/>
      <c r="O61" s="16">
        <f>IFERROR(IF(G61="차량장착",MAX(I61+VLOOKUP(B61,'Reference Data 기준데이터'!$A$3:$J$5,9,FALSE),VLOOKUP(B61,'Reference Data 기준데이터'!$A$3:$J$5,4,FALSE)),I61+VLOOKUP(B61,'Reference Data 기준데이터'!$A$3:$J$5,9,FALSE)),"")</f>
        <v/>
      </c>
      <c r="P61" s="13" t="n"/>
      <c r="Q61" s="16">
        <f>IFERROR(O61+VLOOKUP(F61,'Reference Data 기준데이터'!$A$9:$E$26,4,FALSE),"")</f>
        <v/>
      </c>
      <c r="R61" s="13" t="n"/>
      <c r="S61" s="16">
        <f>IFERROR(MIN(I61+VLOOKUP(B61,'Reference Data 기준데이터'!$A$3:$J$5,10,FALSE),VLOOKUP(B61,'Reference Data 기준데이터'!$A$3:$J$5,6,FALSE)),"")</f>
        <v/>
      </c>
      <c r="T61" s="13" t="n"/>
      <c r="U61" s="13" t="n"/>
      <c r="V61" s="17">
        <f>IF(U61&lt;&gt;"",U61,IF(AND(T61&lt;&gt;"",R61&lt;&gt;""),"11-결과등록완료",IF(AND(R61&lt;&gt;"",T61=""),"10-시험완료",IF(AND(P61&lt;&gt;"",R61=""),"09-시험준비중",IF(AND(N61&lt;&gt;"",P61=""),"08-단품준비완료",IF(L61="Approved","05-계획서승인",IF(L61="Revision Needed","04-검토중_보완",IF(L61="Under Review","03-검토중",IF(AND(K61&lt;&gt;"",L61=""),"02-제출_미검토","01-미제출")))))))))</f>
        <v/>
      </c>
      <c r="W61" s="18">
        <f>IFS(V61="01-미제출",0,V61="02-제출_미검토",0.05,V61="03-검토중",0.1,V61="04-검토중_보완",0.05,V61="05-계획서승인",0.2,V61="06-BIW중단",0.15,V61="07-미인수",0.3,V61="08-단품준비완료",0.4,V61="09-시험준비중",0.55,V61="10-시험완료",0.85,V61="11-결과등록완료",1,V61="12-조건부승인",0.9,TRUE,0)</f>
        <v/>
      </c>
      <c r="X61" s="5">
        <f>IF(T61&lt;&gt;"","-",IF(S61="","N/A",S61-TODAY()))</f>
        <v/>
      </c>
      <c r="Y61" s="17">
        <f>IF(V61="11-결과등록완료","DONE",IF(U61="06-BIW중단","BLOCKED",IF(AND(K61="",J61&lt;TODAY()),"CRITICAL",IF(AND(ISNUMBER(X61),X61&lt;=0),"OVERDUE",IF(AND(ISNUMBER(X61),X61&lt;=14),"WARNING",IF(U61&lt;&gt;"","ACTION","ON TRACK"))))))</f>
        <v/>
      </c>
      <c r="Z61" s="5">
        <f>IF(OR(T61&lt;&gt;"",R61&lt;&gt;"",P61&lt;&gt;"",N61&lt;&gt;"",K61&lt;&gt;""),TODAY()-MAX(T61,R61,P61,N61,K61),"—")</f>
        <v/>
      </c>
      <c r="AA61" s="19">
        <f>IF(V61="11-결과등록완료","— 완료",IF(V61="01-미제출",IF(J61&lt;TODAY(),"계획서 제출 독촉 (OVERDUE)","계획서 제출 대기"),IF(V61="02-제출_미검토","설계자: 계획서 검토 착수",IF(V61="03-검토중","설계자: 승인 처리",IF(V61="04-검토중_보완","보완 요청 → 협력사 재제출 독촉",IF(V61="05-계획서승인","시험편 준비 현황 확인",IF(V61="06-BIW중단","BIW 생산팀 확인 → 일정 재수립",IF(V61="07-미인수","협력사 인수 독촉",IF(V61="08-단품준비완료","시험 일정 확인",IF(V61="09-시험준비중","시험 진행 모니터링",IF(V61="10-시험완료","결과 보고서 전산 등록 독촉",IF(V61="12-조건부승인","조건부 승인 여부 판단 → 관련부서 협의","—"))))))))))))</f>
        <v/>
      </c>
      <c r="AB61" s="15" t="n"/>
    </row>
    <row r="62">
      <c r="A62" s="5" t="n">
        <v>58</v>
      </c>
      <c r="B62" s="13" t="inlineStr">
        <is>
          <t>EN_SUV</t>
        </is>
      </c>
      <c r="C62" s="14">
        <f>IFERROR(VLOOKUP(D62,'Reference Data 기준데이터'!$A$30:$D$41,2,FALSE),"")</f>
        <v/>
      </c>
      <c r="D62" s="15" t="inlineStr">
        <is>
          <t>시트(앞)</t>
        </is>
      </c>
      <c r="E62" s="14">
        <f>IFERROR(VLOOKUP(D62,'Reference Data 기준데이터'!$A$30:$D$41,3,FALSE),"")</f>
        <v/>
      </c>
      <c r="F62" s="15" t="inlineStr">
        <is>
          <t>VOC 방출 시험</t>
        </is>
      </c>
      <c r="G62" s="14">
        <f>IFERROR(VLOOKUP(F62,'Reference Data 기준데이터'!$A$9:$E$26,2,FALSE),"")</f>
        <v/>
      </c>
      <c r="H62" s="14">
        <f>IFERROR(VLOOKUP(F62,'Reference Data 기준데이터'!$A$9:$E$26,5,FALSE),"")</f>
        <v/>
      </c>
      <c r="I62" s="16">
        <f>IFERROR(VLOOKUP(B62,'Reference Data 기준데이터'!$A$3:$J$5,3,FALSE),"")</f>
        <v/>
      </c>
      <c r="J62" s="16">
        <f>IFERROR(I62+VLOOKUP(B62,'Reference Data 기준데이터'!$A$3:$J$5,7,FALSE),"")</f>
        <v/>
      </c>
      <c r="K62" s="20" t="n">
        <v>46067</v>
      </c>
      <c r="L62" s="13" t="inlineStr">
        <is>
          <t>Approved</t>
        </is>
      </c>
      <c r="M62" s="16">
        <f>IFERROR(I62+VLOOKUP(B62,'Reference Data 기준데이터'!$A$3:$J$5,8,FALSE),"")</f>
        <v/>
      </c>
      <c r="N62" s="20" t="n">
        <v>46101</v>
      </c>
      <c r="O62" s="16">
        <f>IFERROR(IF(G62="차량장착",MAX(I62+VLOOKUP(B62,'Reference Data 기준데이터'!$A$3:$J$5,9,FALSE),VLOOKUP(B62,'Reference Data 기준데이터'!$A$3:$J$5,4,FALSE)),I62+VLOOKUP(B62,'Reference Data 기준데이터'!$A$3:$J$5,9,FALSE)),"")</f>
        <v/>
      </c>
      <c r="P62" s="20" t="n">
        <v>46120</v>
      </c>
      <c r="Q62" s="16">
        <f>IFERROR(O62+VLOOKUP(F62,'Reference Data 기준데이터'!$A$9:$E$26,4,FALSE),"")</f>
        <v/>
      </c>
      <c r="R62" s="13" t="n"/>
      <c r="S62" s="16">
        <f>IFERROR(MIN(I62+VLOOKUP(B62,'Reference Data 기준데이터'!$A$3:$J$5,10,FALSE),VLOOKUP(B62,'Reference Data 기준데이터'!$A$3:$J$5,6,FALSE)),"")</f>
        <v/>
      </c>
      <c r="T62" s="13" t="n"/>
      <c r="U62" s="13" t="n"/>
      <c r="V62" s="17">
        <f>IF(U62&lt;&gt;"",U62,IF(AND(T62&lt;&gt;"",R62&lt;&gt;""),"11-결과등록완료",IF(AND(R62&lt;&gt;"",T62=""),"10-시험완료",IF(AND(P62&lt;&gt;"",R62=""),"09-시험준비중",IF(AND(N62&lt;&gt;"",P62=""),"08-단품준비완료",IF(L62="Approved","05-계획서승인",IF(L62="Revision Needed","04-검토중_보완",IF(L62="Under Review","03-검토중",IF(AND(K62&lt;&gt;"",L62=""),"02-제출_미검토","01-미제출")))))))))</f>
        <v/>
      </c>
      <c r="W62" s="18">
        <f>IFS(V62="01-미제출",0,V62="02-제출_미검토",0.05,V62="03-검토중",0.1,V62="04-검토중_보완",0.05,V62="05-계획서승인",0.2,V62="06-BIW중단",0.15,V62="07-미인수",0.3,V62="08-단품준비완료",0.4,V62="09-시험준비중",0.55,V62="10-시험완료",0.85,V62="11-결과등록완료",1,V62="12-조건부승인",0.9,TRUE,0)</f>
        <v/>
      </c>
      <c r="X62" s="5">
        <f>IF(T62&lt;&gt;"","-",IF(S62="","N/A",S62-TODAY()))</f>
        <v/>
      </c>
      <c r="Y62" s="17">
        <f>IF(V62="11-결과등록완료","DONE",IF(U62="06-BIW중단","BLOCKED",IF(AND(K62="",J62&lt;TODAY()),"CRITICAL",IF(AND(ISNUMBER(X62),X62&lt;=0),"OVERDUE",IF(AND(ISNUMBER(X62),X62&lt;=14),"WARNING",IF(U62&lt;&gt;"","ACTION","ON TRACK"))))))</f>
        <v/>
      </c>
      <c r="Z62" s="5">
        <f>IF(OR(T62&lt;&gt;"",R62&lt;&gt;"",P62&lt;&gt;"",N62&lt;&gt;"",K62&lt;&gt;""),TODAY()-MAX(T62,R62,P62,N62,K62),"—")</f>
        <v/>
      </c>
      <c r="AA62" s="19">
        <f>IF(V62="11-결과등록완료","— 완료",IF(V62="01-미제출",IF(J62&lt;TODAY(),"계획서 제출 독촉 (OVERDUE)","계획서 제출 대기"),IF(V62="02-제출_미검토","설계자: 계획서 검토 착수",IF(V62="03-검토중","설계자: 승인 처리",IF(V62="04-검토중_보완","보완 요청 → 협력사 재제출 독촉",IF(V62="05-계획서승인","시험편 준비 현황 확인",IF(V62="06-BIW중단","BIW 생산팀 확인 → 일정 재수립",IF(V62="07-미인수","협력사 인수 독촉",IF(V62="08-단품준비완료","시험 일정 확인",IF(V62="09-시험준비중","시험 진행 모니터링",IF(V62="10-시험완료","결과 보고서 전산 등록 독촉",IF(V62="12-조건부승인","조건부 승인 여부 판단 → 관련부서 협의","—"))))))))))))</f>
        <v/>
      </c>
      <c r="AB62" s="15" t="n"/>
    </row>
    <row r="63">
      <c r="A63" s="5" t="n">
        <v>59</v>
      </c>
      <c r="B63" s="13" t="inlineStr">
        <is>
          <t>EN_SUV</t>
        </is>
      </c>
      <c r="C63" s="14">
        <f>IFERROR(VLOOKUP(D63,'Reference Data 기준데이터'!$A$30:$D$41,2,FALSE),"")</f>
        <v/>
      </c>
      <c r="D63" s="15" t="inlineStr">
        <is>
          <t>시트(앞)</t>
        </is>
      </c>
      <c r="E63" s="14">
        <f>IFERROR(VLOOKUP(D63,'Reference Data 기준데이터'!$A$30:$D$41,3,FALSE),"")</f>
        <v/>
      </c>
      <c r="F63" s="15" t="inlineStr">
        <is>
          <t>연소성 시험</t>
        </is>
      </c>
      <c r="G63" s="14">
        <f>IFERROR(VLOOKUP(F63,'Reference Data 기준데이터'!$A$9:$E$26,2,FALSE),"")</f>
        <v/>
      </c>
      <c r="H63" s="14">
        <f>IFERROR(VLOOKUP(F63,'Reference Data 기준데이터'!$A$9:$E$26,5,FALSE),"")</f>
        <v/>
      </c>
      <c r="I63" s="16">
        <f>IFERROR(VLOOKUP(B63,'Reference Data 기준데이터'!$A$3:$J$5,3,FALSE),"")</f>
        <v/>
      </c>
      <c r="J63" s="16">
        <f>IFERROR(I63+VLOOKUP(B63,'Reference Data 기준데이터'!$A$3:$J$5,7,FALSE),"")</f>
        <v/>
      </c>
      <c r="K63" s="20" t="n">
        <v>46068</v>
      </c>
      <c r="L63" s="13" t="inlineStr">
        <is>
          <t>Approved</t>
        </is>
      </c>
      <c r="M63" s="16">
        <f>IFERROR(I63+VLOOKUP(B63,'Reference Data 기준데이터'!$A$3:$J$5,8,FALSE),"")</f>
        <v/>
      </c>
      <c r="N63" s="20" t="n">
        <v>46102</v>
      </c>
      <c r="O63" s="16">
        <f>IFERROR(IF(G63="차량장착",MAX(I63+VLOOKUP(B63,'Reference Data 기준데이터'!$A$3:$J$5,9,FALSE),VLOOKUP(B63,'Reference Data 기준데이터'!$A$3:$J$5,4,FALSE)),I63+VLOOKUP(B63,'Reference Data 기준데이터'!$A$3:$J$5,9,FALSE)),"")</f>
        <v/>
      </c>
      <c r="P63" s="20" t="n">
        <v>46121</v>
      </c>
      <c r="Q63" s="16">
        <f>IFERROR(O63+VLOOKUP(F63,'Reference Data 기준데이터'!$A$9:$E$26,4,FALSE),"")</f>
        <v/>
      </c>
      <c r="R63" s="20" t="n">
        <v>46142</v>
      </c>
      <c r="S63" s="16">
        <f>IFERROR(MIN(I63+VLOOKUP(B63,'Reference Data 기준데이터'!$A$3:$J$5,10,FALSE),VLOOKUP(B63,'Reference Data 기준데이터'!$A$3:$J$5,6,FALSE)),"")</f>
        <v/>
      </c>
      <c r="T63" s="20" t="n">
        <v>46150</v>
      </c>
      <c r="U63" s="13" t="n"/>
      <c r="V63" s="17">
        <f>IF(U63&lt;&gt;"",U63,IF(AND(T63&lt;&gt;"",R63&lt;&gt;""),"11-결과등록완료",IF(AND(R63&lt;&gt;"",T63=""),"10-시험완료",IF(AND(P63&lt;&gt;"",R63=""),"09-시험준비중",IF(AND(N63&lt;&gt;"",P63=""),"08-단품준비완료",IF(L63="Approved","05-계획서승인",IF(L63="Revision Needed","04-검토중_보완",IF(L63="Under Review","03-검토중",IF(AND(K63&lt;&gt;"",L63=""),"02-제출_미검토","01-미제출")))))))))</f>
        <v/>
      </c>
      <c r="W63" s="18">
        <f>IFS(V63="01-미제출",0,V63="02-제출_미검토",0.05,V63="03-검토중",0.1,V63="04-검토중_보완",0.05,V63="05-계획서승인",0.2,V63="06-BIW중단",0.15,V63="07-미인수",0.3,V63="08-단품준비완료",0.4,V63="09-시험준비중",0.55,V63="10-시험완료",0.85,V63="11-결과등록완료",1,V63="12-조건부승인",0.9,TRUE,0)</f>
        <v/>
      </c>
      <c r="X63" s="5">
        <f>IF(T63&lt;&gt;"","-",IF(S63="","N/A",S63-TODAY()))</f>
        <v/>
      </c>
      <c r="Y63" s="17">
        <f>IF(V63="11-결과등록완료","DONE",IF(U63="06-BIW중단","BLOCKED",IF(AND(K63="",J63&lt;TODAY()),"CRITICAL",IF(AND(ISNUMBER(X63),X63&lt;=0),"OVERDUE",IF(AND(ISNUMBER(X63),X63&lt;=14),"WARNING",IF(U63&lt;&gt;"","ACTION","ON TRACK"))))))</f>
        <v/>
      </c>
      <c r="Z63" s="5">
        <f>IF(OR(T63&lt;&gt;"",R63&lt;&gt;"",P63&lt;&gt;"",N63&lt;&gt;"",K63&lt;&gt;""),TODAY()-MAX(T63,R63,P63,N63,K63),"—")</f>
        <v/>
      </c>
      <c r="AA63" s="19">
        <f>IF(V63="11-결과등록완료","— 완료",IF(V63="01-미제출",IF(J63&lt;TODAY(),"계획서 제출 독촉 (OVERDUE)","계획서 제출 대기"),IF(V63="02-제출_미검토","설계자: 계획서 검토 착수",IF(V63="03-검토중","설계자: 승인 처리",IF(V63="04-검토중_보완","보완 요청 → 협력사 재제출 독촉",IF(V63="05-계획서승인","시험편 준비 현황 확인",IF(V63="06-BIW중단","BIW 생산팀 확인 → 일정 재수립",IF(V63="07-미인수","협력사 인수 독촉",IF(V63="08-단품준비완료","시험 일정 확인",IF(V63="09-시험준비중","시험 진행 모니터링",IF(V63="10-시험완료","결과 보고서 전산 등록 독촉",IF(V63="12-조건부승인","조건부 승인 여부 판단 → 관련부서 협의","—"))))))))))))</f>
        <v/>
      </c>
      <c r="AB63" s="15" t="n"/>
    </row>
    <row r="64">
      <c r="A64" s="5" t="n">
        <v>60</v>
      </c>
      <c r="B64" s="13" t="inlineStr">
        <is>
          <t>EN_SUV</t>
        </is>
      </c>
      <c r="C64" s="14">
        <f>IFERROR(VLOOKUP(D64,'Reference Data 기준데이터'!$A$30:$D$41,2,FALSE),"")</f>
        <v/>
      </c>
      <c r="D64" s="15" t="inlineStr">
        <is>
          <t>시트(앞)</t>
        </is>
      </c>
      <c r="E64" s="14">
        <f>IFERROR(VLOOKUP(D64,'Reference Data 기준데이터'!$A$30:$D$41,3,FALSE),"")</f>
        <v/>
      </c>
      <c r="F64" s="15" t="inlineStr">
        <is>
          <t>시트 내구 시험</t>
        </is>
      </c>
      <c r="G64" s="14">
        <f>IFERROR(VLOOKUP(F64,'Reference Data 기준데이터'!$A$9:$E$26,2,FALSE),"")</f>
        <v/>
      </c>
      <c r="H64" s="14">
        <f>IFERROR(VLOOKUP(F64,'Reference Data 기준데이터'!$A$9:$E$26,5,FALSE),"")</f>
        <v/>
      </c>
      <c r="I64" s="16">
        <f>IFERROR(VLOOKUP(B64,'Reference Data 기준데이터'!$A$3:$J$5,3,FALSE),"")</f>
        <v/>
      </c>
      <c r="J64" s="16">
        <f>IFERROR(I64+VLOOKUP(B64,'Reference Data 기준데이터'!$A$3:$J$5,7,FALSE),"")</f>
        <v/>
      </c>
      <c r="K64" s="20" t="n">
        <v>46064</v>
      </c>
      <c r="L64" s="13" t="inlineStr">
        <is>
          <t>Approved</t>
        </is>
      </c>
      <c r="M64" s="16">
        <f>IFERROR(I64+VLOOKUP(B64,'Reference Data 기준데이터'!$A$3:$J$5,8,FALSE),"")</f>
        <v/>
      </c>
      <c r="N64" s="13" t="n"/>
      <c r="O64" s="16">
        <f>IFERROR(IF(G64="차량장착",MAX(I64+VLOOKUP(B64,'Reference Data 기준데이터'!$A$3:$J$5,9,FALSE),VLOOKUP(B64,'Reference Data 기준데이터'!$A$3:$J$5,4,FALSE)),I64+VLOOKUP(B64,'Reference Data 기준데이터'!$A$3:$J$5,9,FALSE)),"")</f>
        <v/>
      </c>
      <c r="P64" s="13" t="n"/>
      <c r="Q64" s="16">
        <f>IFERROR(O64+VLOOKUP(F64,'Reference Data 기준데이터'!$A$9:$E$26,4,FALSE),"")</f>
        <v/>
      </c>
      <c r="R64" s="13" t="n"/>
      <c r="S64" s="16">
        <f>IFERROR(MIN(I64+VLOOKUP(B64,'Reference Data 기준데이터'!$A$3:$J$5,10,FALSE),VLOOKUP(B64,'Reference Data 기준데이터'!$A$3:$J$5,6,FALSE)),"")</f>
        <v/>
      </c>
      <c r="T64" s="13" t="n"/>
      <c r="U64" s="13" t="n"/>
      <c r="V64" s="17">
        <f>IF(U64&lt;&gt;"",U64,IF(AND(T64&lt;&gt;"",R64&lt;&gt;""),"11-결과등록완료",IF(AND(R64&lt;&gt;"",T64=""),"10-시험완료",IF(AND(P64&lt;&gt;"",R64=""),"09-시험준비중",IF(AND(N64&lt;&gt;"",P64=""),"08-단품준비완료",IF(L64="Approved","05-계획서승인",IF(L64="Revision Needed","04-검토중_보완",IF(L64="Under Review","03-검토중",IF(AND(K64&lt;&gt;"",L64=""),"02-제출_미검토","01-미제출")))))))))</f>
        <v/>
      </c>
      <c r="W64" s="18">
        <f>IFS(V64="01-미제출",0,V64="02-제출_미검토",0.05,V64="03-검토중",0.1,V64="04-검토중_보완",0.05,V64="05-계획서승인",0.2,V64="06-BIW중단",0.15,V64="07-미인수",0.3,V64="08-단품준비완료",0.4,V64="09-시험준비중",0.55,V64="10-시험완료",0.85,V64="11-결과등록완료",1,V64="12-조건부승인",0.9,TRUE,0)</f>
        <v/>
      </c>
      <c r="X64" s="5">
        <f>IF(T64&lt;&gt;"","-",IF(S64="","N/A",S64-TODAY()))</f>
        <v/>
      </c>
      <c r="Y64" s="17">
        <f>IF(V64="11-결과등록완료","DONE",IF(U64="06-BIW중단","BLOCKED",IF(AND(K64="",J64&lt;TODAY()),"CRITICAL",IF(AND(ISNUMBER(X64),X64&lt;=0),"OVERDUE",IF(AND(ISNUMBER(X64),X64&lt;=14),"WARNING",IF(U64&lt;&gt;"","ACTION","ON TRACK"))))))</f>
        <v/>
      </c>
      <c r="Z64" s="5">
        <f>IF(OR(T64&lt;&gt;"",R64&lt;&gt;"",P64&lt;&gt;"",N64&lt;&gt;"",K64&lt;&gt;""),TODAY()-MAX(T64,R64,P64,N64,K64),"—")</f>
        <v/>
      </c>
      <c r="AA64" s="19">
        <f>IF(V64="11-결과등록완료","— 완료",IF(V64="01-미제출",IF(J64&lt;TODAY(),"계획서 제출 독촉 (OVERDUE)","계획서 제출 대기"),IF(V64="02-제출_미검토","설계자: 계획서 검토 착수",IF(V64="03-검토중","설계자: 승인 처리",IF(V64="04-검토중_보완","보완 요청 → 협력사 재제출 독촉",IF(V64="05-계획서승인","시험편 준비 현황 확인",IF(V64="06-BIW중단","BIW 생산팀 확인 → 일정 재수립",IF(V64="07-미인수","협력사 인수 독촉",IF(V64="08-단품준비완료","시험 일정 확인",IF(V64="09-시험준비중","시험 진행 모니터링",IF(V64="10-시험완료","결과 보고서 전산 등록 독촉",IF(V64="12-조건부승인","조건부 승인 여부 판단 → 관련부서 협의","—"))))))))))))</f>
        <v/>
      </c>
      <c r="AB64" s="15" t="n"/>
    </row>
    <row r="65">
      <c r="A65" s="5" t="n">
        <v>61</v>
      </c>
      <c r="B65" s="13" t="inlineStr">
        <is>
          <t>EN_SUV</t>
        </is>
      </c>
      <c r="C65" s="14">
        <f>IFERROR(VLOOKUP(D65,'Reference Data 기준데이터'!$A$30:$D$41,2,FALSE),"")</f>
        <v/>
      </c>
      <c r="D65" s="15" t="inlineStr">
        <is>
          <t>시트(앞)</t>
        </is>
      </c>
      <c r="E65" s="14">
        <f>IFERROR(VLOOKUP(D65,'Reference Data 기준데이터'!$A$30:$D$41,3,FALSE),"")</f>
        <v/>
      </c>
      <c r="F65" s="15" t="inlineStr">
        <is>
          <t>H-Point 검증</t>
        </is>
      </c>
      <c r="G65" s="14">
        <f>IFERROR(VLOOKUP(F65,'Reference Data 기준데이터'!$A$9:$E$26,2,FALSE),"")</f>
        <v/>
      </c>
      <c r="H65" s="14">
        <f>IFERROR(VLOOKUP(F65,'Reference Data 기준데이터'!$A$9:$E$26,5,FALSE),"")</f>
        <v/>
      </c>
      <c r="I65" s="16">
        <f>IFERROR(VLOOKUP(B65,'Reference Data 기준데이터'!$A$3:$J$5,3,FALSE),"")</f>
        <v/>
      </c>
      <c r="J65" s="16">
        <f>IFERROR(I65+VLOOKUP(B65,'Reference Data 기준데이터'!$A$3:$J$5,7,FALSE),"")</f>
        <v/>
      </c>
      <c r="K65" s="20" t="n">
        <v>46065</v>
      </c>
      <c r="L65" s="13" t="inlineStr">
        <is>
          <t>Approved</t>
        </is>
      </c>
      <c r="M65" s="16">
        <f>IFERROR(I65+VLOOKUP(B65,'Reference Data 기준데이터'!$A$3:$J$5,8,FALSE),"")</f>
        <v/>
      </c>
      <c r="N65" s="20" t="n">
        <v>46104</v>
      </c>
      <c r="O65" s="16">
        <f>IFERROR(IF(G65="차량장착",MAX(I65+VLOOKUP(B65,'Reference Data 기준데이터'!$A$3:$J$5,9,FALSE),VLOOKUP(B65,'Reference Data 기준데이터'!$A$3:$J$5,4,FALSE)),I65+VLOOKUP(B65,'Reference Data 기준데이터'!$A$3:$J$5,9,FALSE)),"")</f>
        <v/>
      </c>
      <c r="P65" s="13" t="n"/>
      <c r="Q65" s="16">
        <f>IFERROR(O65+VLOOKUP(F65,'Reference Data 기준데이터'!$A$9:$E$26,4,FALSE),"")</f>
        <v/>
      </c>
      <c r="R65" s="13" t="n"/>
      <c r="S65" s="16">
        <f>IFERROR(MIN(I65+VLOOKUP(B65,'Reference Data 기준데이터'!$A$3:$J$5,10,FALSE),VLOOKUP(B65,'Reference Data 기준데이터'!$A$3:$J$5,6,FALSE)),"")</f>
        <v/>
      </c>
      <c r="T65" s="13" t="n"/>
      <c r="U65" s="13" t="inlineStr">
        <is>
          <t>07-미인수</t>
        </is>
      </c>
      <c r="V65" s="17">
        <f>IF(U65&lt;&gt;"",U65,IF(AND(T65&lt;&gt;"",R65&lt;&gt;""),"11-결과등록완료",IF(AND(R65&lt;&gt;"",T65=""),"10-시험완료",IF(AND(P65&lt;&gt;"",R65=""),"09-시험준비중",IF(AND(N65&lt;&gt;"",P65=""),"08-단품준비완료",IF(L65="Approved","05-계획서승인",IF(L65="Revision Needed","04-검토중_보완",IF(L65="Under Review","03-검토중",IF(AND(K65&lt;&gt;"",L65=""),"02-제출_미검토","01-미제출")))))))))</f>
        <v/>
      </c>
      <c r="W65" s="18">
        <f>IFS(V65="01-미제출",0,V65="02-제출_미검토",0.05,V65="03-검토중",0.1,V65="04-검토중_보완",0.05,V65="05-계획서승인",0.2,V65="06-BIW중단",0.15,V65="07-미인수",0.3,V65="08-단품준비완료",0.4,V65="09-시험준비중",0.55,V65="10-시험완료",0.85,V65="11-결과등록완료",1,V65="12-조건부승인",0.9,TRUE,0)</f>
        <v/>
      </c>
      <c r="X65" s="5">
        <f>IF(T65&lt;&gt;"","-",IF(S65="","N/A",S65-TODAY()))</f>
        <v/>
      </c>
      <c r="Y65" s="17">
        <f>IF(V65="11-결과등록완료","DONE",IF(U65="06-BIW중단","BLOCKED",IF(AND(K65="",J65&lt;TODAY()),"CRITICAL",IF(AND(ISNUMBER(X65),X65&lt;=0),"OVERDUE",IF(AND(ISNUMBER(X65),X65&lt;=14),"WARNING",IF(U65&lt;&gt;"","ACTION","ON TRACK"))))))</f>
        <v/>
      </c>
      <c r="Z65" s="5">
        <f>IF(OR(T65&lt;&gt;"",R65&lt;&gt;"",P65&lt;&gt;"",N65&lt;&gt;"",K65&lt;&gt;""),TODAY()-MAX(T65,R65,P65,N65,K65),"—")</f>
        <v/>
      </c>
      <c r="AA65" s="19">
        <f>IF(V65="11-결과등록완료","— 완료",IF(V65="01-미제출",IF(J65&lt;TODAY(),"계획서 제출 독촉 (OVERDUE)","계획서 제출 대기"),IF(V65="02-제출_미검토","설계자: 계획서 검토 착수",IF(V65="03-검토중","설계자: 승인 처리",IF(V65="04-검토중_보완","보완 요청 → 협력사 재제출 독촉",IF(V65="05-계획서승인","시험편 준비 현황 확인",IF(V65="06-BIW중단","BIW 생산팀 확인 → 일정 재수립",IF(V65="07-미인수","협력사 인수 독촉",IF(V65="08-단품준비완료","시험 일정 확인",IF(V65="09-시험준비중","시험 진행 모니터링",IF(V65="10-시험완료","결과 보고서 전산 등록 독촉",IF(V65="12-조건부승인","조건부 승인 여부 판단 → 관련부서 협의","—"))))))))))))</f>
        <v/>
      </c>
      <c r="AB65" s="15" t="n"/>
    </row>
    <row r="66">
      <c r="A66" s="5" t="n">
        <v>62</v>
      </c>
      <c r="B66" s="13" t="inlineStr">
        <is>
          <t>EN_SUV</t>
        </is>
      </c>
      <c r="C66" s="14">
        <f>IFERROR(VLOOKUP(D66,'Reference Data 기준데이터'!$A$30:$D$41,2,FALSE),"")</f>
        <v/>
      </c>
      <c r="D66" s="15" t="inlineStr">
        <is>
          <t>시트(앞)</t>
        </is>
      </c>
      <c r="E66" s="14">
        <f>IFERROR(VLOOKUP(D66,'Reference Data 기준데이터'!$A$30:$D$41,3,FALSE),"")</f>
        <v/>
      </c>
      <c r="F66" s="15" t="inlineStr">
        <is>
          <t>안전벨트 앵커리지</t>
        </is>
      </c>
      <c r="G66" s="14">
        <f>IFERROR(VLOOKUP(F66,'Reference Data 기준데이터'!$A$9:$E$26,2,FALSE),"")</f>
        <v/>
      </c>
      <c r="H66" s="14">
        <f>IFERROR(VLOOKUP(F66,'Reference Data 기준데이터'!$A$9:$E$26,5,FALSE),"")</f>
        <v/>
      </c>
      <c r="I66" s="16">
        <f>IFERROR(VLOOKUP(B66,'Reference Data 기준데이터'!$A$3:$J$5,3,FALSE),"")</f>
        <v/>
      </c>
      <c r="J66" s="16">
        <f>IFERROR(I66+VLOOKUP(B66,'Reference Data 기준데이터'!$A$3:$J$5,7,FALSE),"")</f>
        <v/>
      </c>
      <c r="K66" s="20" t="n">
        <v>46066</v>
      </c>
      <c r="L66" s="13" t="inlineStr">
        <is>
          <t>Under Review</t>
        </is>
      </c>
      <c r="M66" s="16">
        <f>IFERROR(I66+VLOOKUP(B66,'Reference Data 기준데이터'!$A$3:$J$5,8,FALSE),"")</f>
        <v/>
      </c>
      <c r="N66" s="13" t="n"/>
      <c r="O66" s="16">
        <f>IFERROR(IF(G66="차량장착",MAX(I66+VLOOKUP(B66,'Reference Data 기준데이터'!$A$3:$J$5,9,FALSE),VLOOKUP(B66,'Reference Data 기준데이터'!$A$3:$J$5,4,FALSE)),I66+VLOOKUP(B66,'Reference Data 기준데이터'!$A$3:$J$5,9,FALSE)),"")</f>
        <v/>
      </c>
      <c r="P66" s="13" t="n"/>
      <c r="Q66" s="16">
        <f>IFERROR(O66+VLOOKUP(F66,'Reference Data 기준데이터'!$A$9:$E$26,4,FALSE),"")</f>
        <v/>
      </c>
      <c r="R66" s="13" t="n"/>
      <c r="S66" s="16">
        <f>IFERROR(MIN(I66+VLOOKUP(B66,'Reference Data 기준데이터'!$A$3:$J$5,10,FALSE),VLOOKUP(B66,'Reference Data 기준데이터'!$A$3:$J$5,6,FALSE)),"")</f>
        <v/>
      </c>
      <c r="T66" s="13" t="n"/>
      <c r="U66" s="13" t="n"/>
      <c r="V66" s="17">
        <f>IF(U66&lt;&gt;"",U66,IF(AND(T66&lt;&gt;"",R66&lt;&gt;""),"11-결과등록완료",IF(AND(R66&lt;&gt;"",T66=""),"10-시험완료",IF(AND(P66&lt;&gt;"",R66=""),"09-시험준비중",IF(AND(N66&lt;&gt;"",P66=""),"08-단품준비완료",IF(L66="Approved","05-계획서승인",IF(L66="Revision Needed","04-검토중_보완",IF(L66="Under Review","03-검토중",IF(AND(K66&lt;&gt;"",L66=""),"02-제출_미검토","01-미제출")))))))))</f>
        <v/>
      </c>
      <c r="W66" s="18">
        <f>IFS(V66="01-미제출",0,V66="02-제출_미검토",0.05,V66="03-검토중",0.1,V66="04-검토중_보완",0.05,V66="05-계획서승인",0.2,V66="06-BIW중단",0.15,V66="07-미인수",0.3,V66="08-단품준비완료",0.4,V66="09-시험준비중",0.55,V66="10-시험완료",0.85,V66="11-결과등록완료",1,V66="12-조건부승인",0.9,TRUE,0)</f>
        <v/>
      </c>
      <c r="X66" s="5">
        <f>IF(T66&lt;&gt;"","-",IF(S66="","N/A",S66-TODAY()))</f>
        <v/>
      </c>
      <c r="Y66" s="17">
        <f>IF(V66="11-결과등록완료","DONE",IF(U66="06-BIW중단","BLOCKED",IF(AND(K66="",J66&lt;TODAY()),"CRITICAL",IF(AND(ISNUMBER(X66),X66&lt;=0),"OVERDUE",IF(AND(ISNUMBER(X66),X66&lt;=14),"WARNING",IF(U66&lt;&gt;"","ACTION","ON TRACK"))))))</f>
        <v/>
      </c>
      <c r="Z66" s="5">
        <f>IF(OR(T66&lt;&gt;"",R66&lt;&gt;"",P66&lt;&gt;"",N66&lt;&gt;"",K66&lt;&gt;""),TODAY()-MAX(T66,R66,P66,N66,K66),"—")</f>
        <v/>
      </c>
      <c r="AA66" s="19">
        <f>IF(V66="11-결과등록완료","— 완료",IF(V66="01-미제출",IF(J66&lt;TODAY(),"계획서 제출 독촉 (OVERDUE)","계획서 제출 대기"),IF(V66="02-제출_미검토","설계자: 계획서 검토 착수",IF(V66="03-검토중","설계자: 승인 처리",IF(V66="04-검토중_보완","보완 요청 → 협력사 재제출 독촉",IF(V66="05-계획서승인","시험편 준비 현황 확인",IF(V66="06-BIW중단","BIW 생산팀 확인 → 일정 재수립",IF(V66="07-미인수","협력사 인수 독촉",IF(V66="08-단품준비완료","시험 일정 확인",IF(V66="09-시험준비중","시험 진행 모니터링",IF(V66="10-시험완료","결과 보고서 전산 등록 독촉",IF(V66="12-조건부승인","조건부 승인 여부 판단 → 관련부서 협의","—"))))))))))))</f>
        <v/>
      </c>
      <c r="AB66" s="15" t="n"/>
    </row>
    <row r="67">
      <c r="A67" s="5" t="n">
        <v>63</v>
      </c>
      <c r="B67" s="13" t="inlineStr">
        <is>
          <t>EN_SUV</t>
        </is>
      </c>
      <c r="C67" s="14">
        <f>IFERROR(VLOOKUP(D67,'Reference Data 기준데이터'!$A$30:$D$41,2,FALSE),"")</f>
        <v/>
      </c>
      <c r="D67" s="15" t="inlineStr">
        <is>
          <t>시트(뒤)</t>
        </is>
      </c>
      <c r="E67" s="14">
        <f>IFERROR(VLOOKUP(D67,'Reference Data 기준데이터'!$A$30:$D$41,3,FALSE),"")</f>
        <v/>
      </c>
      <c r="F67" s="15" t="inlineStr">
        <is>
          <t>EMC 시험</t>
        </is>
      </c>
      <c r="G67" s="14">
        <f>IFERROR(VLOOKUP(F67,'Reference Data 기준데이터'!$A$9:$E$26,2,FALSE),"")</f>
        <v/>
      </c>
      <c r="H67" s="14">
        <f>IFERROR(VLOOKUP(F67,'Reference Data 기준데이터'!$A$9:$E$26,5,FALSE),"")</f>
        <v/>
      </c>
      <c r="I67" s="16">
        <f>IFERROR(VLOOKUP(B67,'Reference Data 기준데이터'!$A$3:$J$5,3,FALSE),"")</f>
        <v/>
      </c>
      <c r="J67" s="16">
        <f>IFERROR(I67+VLOOKUP(B67,'Reference Data 기준데이터'!$A$3:$J$5,7,FALSE),"")</f>
        <v/>
      </c>
      <c r="K67" s="20" t="n">
        <v>46067</v>
      </c>
      <c r="L67" s="13" t="inlineStr">
        <is>
          <t>Approved</t>
        </is>
      </c>
      <c r="M67" s="16">
        <f>IFERROR(I67+VLOOKUP(B67,'Reference Data 기준데이터'!$A$3:$J$5,8,FALSE),"")</f>
        <v/>
      </c>
      <c r="N67" s="20" t="n">
        <v>46106</v>
      </c>
      <c r="O67" s="16">
        <f>IFERROR(IF(G67="차량장착",MAX(I67+VLOOKUP(B67,'Reference Data 기준데이터'!$A$3:$J$5,9,FALSE),VLOOKUP(B67,'Reference Data 기준데이터'!$A$3:$J$5,4,FALSE)),I67+VLOOKUP(B67,'Reference Data 기준데이터'!$A$3:$J$5,9,FALSE)),"")</f>
        <v/>
      </c>
      <c r="P67" s="13" t="n"/>
      <c r="Q67" s="16">
        <f>IFERROR(O67+VLOOKUP(F67,'Reference Data 기준데이터'!$A$9:$E$26,4,FALSE),"")</f>
        <v/>
      </c>
      <c r="R67" s="13" t="n"/>
      <c r="S67" s="16">
        <f>IFERROR(MIN(I67+VLOOKUP(B67,'Reference Data 기준데이터'!$A$3:$J$5,10,FALSE),VLOOKUP(B67,'Reference Data 기준데이터'!$A$3:$J$5,6,FALSE)),"")</f>
        <v/>
      </c>
      <c r="T67" s="13" t="n"/>
      <c r="U67" s="13" t="n"/>
      <c r="V67" s="17">
        <f>IF(U67&lt;&gt;"",U67,IF(AND(T67&lt;&gt;"",R67&lt;&gt;""),"11-결과등록완료",IF(AND(R67&lt;&gt;"",T67=""),"10-시험완료",IF(AND(P67&lt;&gt;"",R67=""),"09-시험준비중",IF(AND(N67&lt;&gt;"",P67=""),"08-단품준비완료",IF(L67="Approved","05-계획서승인",IF(L67="Revision Needed","04-검토중_보완",IF(L67="Under Review","03-검토중",IF(AND(K67&lt;&gt;"",L67=""),"02-제출_미검토","01-미제출")))))))))</f>
        <v/>
      </c>
      <c r="W67" s="18">
        <f>IFS(V67="01-미제출",0,V67="02-제출_미검토",0.05,V67="03-검토중",0.1,V67="04-검토중_보완",0.05,V67="05-계획서승인",0.2,V67="06-BIW중단",0.15,V67="07-미인수",0.3,V67="08-단품준비완료",0.4,V67="09-시험준비중",0.55,V67="10-시험완료",0.85,V67="11-결과등록완료",1,V67="12-조건부승인",0.9,TRUE,0)</f>
        <v/>
      </c>
      <c r="X67" s="5">
        <f>IF(T67&lt;&gt;"","-",IF(S67="","N/A",S67-TODAY()))</f>
        <v/>
      </c>
      <c r="Y67" s="17">
        <f>IF(V67="11-결과등록완료","DONE",IF(U67="06-BIW중단","BLOCKED",IF(AND(K67="",J67&lt;TODAY()),"CRITICAL",IF(AND(ISNUMBER(X67),X67&lt;=0),"OVERDUE",IF(AND(ISNUMBER(X67),X67&lt;=14),"WARNING",IF(U67&lt;&gt;"","ACTION","ON TRACK"))))))</f>
        <v/>
      </c>
      <c r="Z67" s="5">
        <f>IF(OR(T67&lt;&gt;"",R67&lt;&gt;"",P67&lt;&gt;"",N67&lt;&gt;"",K67&lt;&gt;""),TODAY()-MAX(T67,R67,P67,N67,K67),"—")</f>
        <v/>
      </c>
      <c r="AA67" s="19">
        <f>IF(V67="11-결과등록완료","— 완료",IF(V67="01-미제출",IF(J67&lt;TODAY(),"계획서 제출 독촉 (OVERDUE)","계획서 제출 대기"),IF(V67="02-제출_미검토","설계자: 계획서 검토 착수",IF(V67="03-검토중","설계자: 승인 처리",IF(V67="04-검토중_보완","보완 요청 → 협력사 재제출 독촉",IF(V67="05-계획서승인","시험편 준비 현황 확인",IF(V67="06-BIW중단","BIW 생산팀 확인 → 일정 재수립",IF(V67="07-미인수","협력사 인수 독촉",IF(V67="08-단품준비완료","시험 일정 확인",IF(V67="09-시험준비중","시험 진행 모니터링",IF(V67="10-시험완료","결과 보고서 전산 등록 독촉",IF(V67="12-조건부승인","조건부 승인 여부 판단 → 관련부서 협의","—"))))))))))))</f>
        <v/>
      </c>
      <c r="AB67" s="15" t="n"/>
    </row>
    <row r="68">
      <c r="A68" s="5" t="n">
        <v>64</v>
      </c>
      <c r="B68" s="13" t="inlineStr">
        <is>
          <t>EN_SUV</t>
        </is>
      </c>
      <c r="C68" s="14">
        <f>IFERROR(VLOOKUP(D68,'Reference Data 기준데이터'!$A$30:$D$41,2,FALSE),"")</f>
        <v/>
      </c>
      <c r="D68" s="15" t="inlineStr">
        <is>
          <t>시트(뒤)</t>
        </is>
      </c>
      <c r="E68" s="14">
        <f>IFERROR(VLOOKUP(D68,'Reference Data 기준데이터'!$A$30:$D$41,3,FALSE),"")</f>
        <v/>
      </c>
      <c r="F68" s="15" t="inlineStr">
        <is>
          <t>VOC 방출 시험</t>
        </is>
      </c>
      <c r="G68" s="14">
        <f>IFERROR(VLOOKUP(F68,'Reference Data 기준데이터'!$A$9:$E$26,2,FALSE),"")</f>
        <v/>
      </c>
      <c r="H68" s="14">
        <f>IFERROR(VLOOKUP(F68,'Reference Data 기준데이터'!$A$9:$E$26,5,FALSE),"")</f>
        <v/>
      </c>
      <c r="I68" s="16">
        <f>IFERROR(VLOOKUP(B68,'Reference Data 기준데이터'!$A$3:$J$5,3,FALSE),"")</f>
        <v/>
      </c>
      <c r="J68" s="16">
        <f>IFERROR(I68+VLOOKUP(B68,'Reference Data 기준데이터'!$A$3:$J$5,7,FALSE),"")</f>
        <v/>
      </c>
      <c r="K68" s="20" t="n">
        <v>46068</v>
      </c>
      <c r="L68" s="13" t="inlineStr">
        <is>
          <t>Approved</t>
        </is>
      </c>
      <c r="M68" s="16">
        <f>IFERROR(I68+VLOOKUP(B68,'Reference Data 기준데이터'!$A$3:$J$5,8,FALSE),"")</f>
        <v/>
      </c>
      <c r="N68" s="20" t="n">
        <v>46099</v>
      </c>
      <c r="O68" s="16">
        <f>IFERROR(IF(G68="차량장착",MAX(I68+VLOOKUP(B68,'Reference Data 기준데이터'!$A$3:$J$5,9,FALSE),VLOOKUP(B68,'Reference Data 기준데이터'!$A$3:$J$5,4,FALSE)),I68+VLOOKUP(B68,'Reference Data 기준데이터'!$A$3:$J$5,9,FALSE)),"")</f>
        <v/>
      </c>
      <c r="P68" s="20" t="n">
        <v>46120</v>
      </c>
      <c r="Q68" s="16">
        <f>IFERROR(O68+VLOOKUP(F68,'Reference Data 기준데이터'!$A$9:$E$26,4,FALSE),"")</f>
        <v/>
      </c>
      <c r="R68" s="20" t="n">
        <v>46140</v>
      </c>
      <c r="S68" s="16">
        <f>IFERROR(MIN(I68+VLOOKUP(B68,'Reference Data 기준데이터'!$A$3:$J$5,10,FALSE),VLOOKUP(B68,'Reference Data 기준데이터'!$A$3:$J$5,6,FALSE)),"")</f>
        <v/>
      </c>
      <c r="T68" s="20" t="n">
        <v>46147</v>
      </c>
      <c r="U68" s="13" t="inlineStr">
        <is>
          <t>12-조건부승인</t>
        </is>
      </c>
      <c r="V68" s="17">
        <f>IF(U68&lt;&gt;"",U68,IF(AND(T68&lt;&gt;"",R68&lt;&gt;""),"11-결과등록완료",IF(AND(R68&lt;&gt;"",T68=""),"10-시험완료",IF(AND(P68&lt;&gt;"",R68=""),"09-시험준비중",IF(AND(N68&lt;&gt;"",P68=""),"08-단품준비완료",IF(L68="Approved","05-계획서승인",IF(L68="Revision Needed","04-검토중_보완",IF(L68="Under Review","03-검토중",IF(AND(K68&lt;&gt;"",L68=""),"02-제출_미검토","01-미제출")))))))))</f>
        <v/>
      </c>
      <c r="W68" s="18">
        <f>IFS(V68="01-미제출",0,V68="02-제출_미검토",0.05,V68="03-검토중",0.1,V68="04-검토중_보완",0.05,V68="05-계획서승인",0.2,V68="06-BIW중단",0.15,V68="07-미인수",0.3,V68="08-단품준비완료",0.4,V68="09-시험준비중",0.55,V68="10-시험완료",0.85,V68="11-결과등록완료",1,V68="12-조건부승인",0.9,TRUE,0)</f>
        <v/>
      </c>
      <c r="X68" s="5">
        <f>IF(T68&lt;&gt;"","-",IF(S68="","N/A",S68-TODAY()))</f>
        <v/>
      </c>
      <c r="Y68" s="17">
        <f>IF(V68="11-결과등록완료","DONE",IF(U68="06-BIW중단","BLOCKED",IF(AND(K68="",J68&lt;TODAY()),"CRITICAL",IF(AND(ISNUMBER(X68),X68&lt;=0),"OVERDUE",IF(AND(ISNUMBER(X68),X68&lt;=14),"WARNING",IF(U68&lt;&gt;"","ACTION","ON TRACK"))))))</f>
        <v/>
      </c>
      <c r="Z68" s="5">
        <f>IF(OR(T68&lt;&gt;"",R68&lt;&gt;"",P68&lt;&gt;"",N68&lt;&gt;"",K68&lt;&gt;""),TODAY()-MAX(T68,R68,P68,N68,K68),"—")</f>
        <v/>
      </c>
      <c r="AA68" s="19">
        <f>IF(V68="11-결과등록완료","— 완료",IF(V68="01-미제출",IF(J68&lt;TODAY(),"계획서 제출 독촉 (OVERDUE)","계획서 제출 대기"),IF(V68="02-제출_미검토","설계자: 계획서 검토 착수",IF(V68="03-검토중","설계자: 승인 처리",IF(V68="04-검토중_보완","보완 요청 → 협력사 재제출 독촉",IF(V68="05-계획서승인","시험편 준비 현황 확인",IF(V68="06-BIW중단","BIW 생산팀 확인 → 일정 재수립",IF(V68="07-미인수","협력사 인수 독촉",IF(V68="08-단품준비완료","시험 일정 확인",IF(V68="09-시험준비중","시험 진행 모니터링",IF(V68="10-시험완료","결과 보고서 전산 등록 독촉",IF(V68="12-조건부승인","조건부 승인 여부 판단 → 관련부서 협의","—"))))))))))))</f>
        <v/>
      </c>
      <c r="AB68" s="15" t="n"/>
    </row>
    <row r="69">
      <c r="A69" s="5" t="n">
        <v>65</v>
      </c>
      <c r="B69" s="13" t="inlineStr">
        <is>
          <t>EN_SUV</t>
        </is>
      </c>
      <c r="C69" s="14">
        <f>IFERROR(VLOOKUP(D69,'Reference Data 기준데이터'!$A$30:$D$41,2,FALSE),"")</f>
        <v/>
      </c>
      <c r="D69" s="15" t="inlineStr">
        <is>
          <t>시트(뒤)</t>
        </is>
      </c>
      <c r="E69" s="14">
        <f>IFERROR(VLOOKUP(D69,'Reference Data 기준데이터'!$A$30:$D$41,3,FALSE),"")</f>
        <v/>
      </c>
      <c r="F69" s="15" t="inlineStr">
        <is>
          <t>연소성 시험</t>
        </is>
      </c>
      <c r="G69" s="14">
        <f>IFERROR(VLOOKUP(F69,'Reference Data 기준데이터'!$A$9:$E$26,2,FALSE),"")</f>
        <v/>
      </c>
      <c r="H69" s="14">
        <f>IFERROR(VLOOKUP(F69,'Reference Data 기준데이터'!$A$9:$E$26,5,FALSE),"")</f>
        <v/>
      </c>
      <c r="I69" s="16">
        <f>IFERROR(VLOOKUP(B69,'Reference Data 기준데이터'!$A$3:$J$5,3,FALSE),"")</f>
        <v/>
      </c>
      <c r="J69" s="16">
        <f>IFERROR(I69+VLOOKUP(B69,'Reference Data 기준데이터'!$A$3:$J$5,7,FALSE),"")</f>
        <v/>
      </c>
      <c r="K69" s="13" t="n"/>
      <c r="L69" s="13" t="n"/>
      <c r="M69" s="16">
        <f>IFERROR(I69+VLOOKUP(B69,'Reference Data 기준데이터'!$A$3:$J$5,8,FALSE),"")</f>
        <v/>
      </c>
      <c r="N69" s="13" t="n"/>
      <c r="O69" s="16">
        <f>IFERROR(IF(G69="차량장착",MAX(I69+VLOOKUP(B69,'Reference Data 기준데이터'!$A$3:$J$5,9,FALSE),VLOOKUP(B69,'Reference Data 기준데이터'!$A$3:$J$5,4,FALSE)),I69+VLOOKUP(B69,'Reference Data 기준데이터'!$A$3:$J$5,9,FALSE)),"")</f>
        <v/>
      </c>
      <c r="P69" s="13" t="n"/>
      <c r="Q69" s="16">
        <f>IFERROR(O69+VLOOKUP(F69,'Reference Data 기준데이터'!$A$9:$E$26,4,FALSE),"")</f>
        <v/>
      </c>
      <c r="R69" s="13" t="n"/>
      <c r="S69" s="16">
        <f>IFERROR(MIN(I69+VLOOKUP(B69,'Reference Data 기준데이터'!$A$3:$J$5,10,FALSE),VLOOKUP(B69,'Reference Data 기준데이터'!$A$3:$J$5,6,FALSE)),"")</f>
        <v/>
      </c>
      <c r="T69" s="13" t="n"/>
      <c r="U69" s="13" t="n"/>
      <c r="V69" s="17">
        <f>IF(U69&lt;&gt;"",U69,IF(AND(T69&lt;&gt;"",R69&lt;&gt;""),"11-결과등록완료",IF(AND(R69&lt;&gt;"",T69=""),"10-시험완료",IF(AND(P69&lt;&gt;"",R69=""),"09-시험준비중",IF(AND(N69&lt;&gt;"",P69=""),"08-단품준비완료",IF(L69="Approved","05-계획서승인",IF(L69="Revision Needed","04-검토중_보완",IF(L69="Under Review","03-검토중",IF(AND(K69&lt;&gt;"",L69=""),"02-제출_미검토","01-미제출")))))))))</f>
        <v/>
      </c>
      <c r="W69" s="18">
        <f>IFS(V69="01-미제출",0,V69="02-제출_미검토",0.05,V69="03-검토중",0.1,V69="04-검토중_보완",0.05,V69="05-계획서승인",0.2,V69="06-BIW중단",0.15,V69="07-미인수",0.3,V69="08-단품준비완료",0.4,V69="09-시험준비중",0.55,V69="10-시험완료",0.85,V69="11-결과등록완료",1,V69="12-조건부승인",0.9,TRUE,0)</f>
        <v/>
      </c>
      <c r="X69" s="5">
        <f>IF(T69&lt;&gt;"","-",IF(S69="","N/A",S69-TODAY()))</f>
        <v/>
      </c>
      <c r="Y69" s="17">
        <f>IF(V69="11-결과등록완료","DONE",IF(U69="06-BIW중단","BLOCKED",IF(AND(K69="",J69&lt;TODAY()),"CRITICAL",IF(AND(ISNUMBER(X69),X69&lt;=0),"OVERDUE",IF(AND(ISNUMBER(X69),X69&lt;=14),"WARNING",IF(U69&lt;&gt;"","ACTION","ON TRACK"))))))</f>
        <v/>
      </c>
      <c r="Z69" s="5">
        <f>IF(OR(T69&lt;&gt;"",R69&lt;&gt;"",P69&lt;&gt;"",N69&lt;&gt;"",K69&lt;&gt;""),TODAY()-MAX(T69,R69,P69,N69,K69),"—")</f>
        <v/>
      </c>
      <c r="AA69" s="19">
        <f>IF(V69="11-결과등록완료","— 완료",IF(V69="01-미제출",IF(J69&lt;TODAY(),"계획서 제출 독촉 (OVERDUE)","계획서 제출 대기"),IF(V69="02-제출_미검토","설계자: 계획서 검토 착수",IF(V69="03-검토중","설계자: 승인 처리",IF(V69="04-검토중_보완","보완 요청 → 협력사 재제출 독촉",IF(V69="05-계획서승인","시험편 준비 현황 확인",IF(V69="06-BIW중단","BIW 생산팀 확인 → 일정 재수립",IF(V69="07-미인수","협력사 인수 독촉",IF(V69="08-단품준비완료","시험 일정 확인",IF(V69="09-시험준비중","시험 진행 모니터링",IF(V69="10-시험완료","결과 보고서 전산 등록 독촉",IF(V69="12-조건부승인","조건부 승인 여부 판단 → 관련부서 협의","—"))))))))))))</f>
        <v/>
      </c>
      <c r="AB69" s="15" t="n"/>
    </row>
    <row r="70">
      <c r="A70" s="5" t="n">
        <v>66</v>
      </c>
      <c r="B70" s="13" t="inlineStr">
        <is>
          <t>EN_SUV</t>
        </is>
      </c>
      <c r="C70" s="14">
        <f>IFERROR(VLOOKUP(D70,'Reference Data 기준데이터'!$A$30:$D$41,2,FALSE),"")</f>
        <v/>
      </c>
      <c r="D70" s="15" t="inlineStr">
        <is>
          <t>시트(뒤)</t>
        </is>
      </c>
      <c r="E70" s="14">
        <f>IFERROR(VLOOKUP(D70,'Reference Data 기준데이터'!$A$30:$D$41,3,FALSE),"")</f>
        <v/>
      </c>
      <c r="F70" s="15" t="inlineStr">
        <is>
          <t>시트 내구 시험</t>
        </is>
      </c>
      <c r="G70" s="14">
        <f>IFERROR(VLOOKUP(F70,'Reference Data 기준데이터'!$A$9:$E$26,2,FALSE),"")</f>
        <v/>
      </c>
      <c r="H70" s="14">
        <f>IFERROR(VLOOKUP(F70,'Reference Data 기준데이터'!$A$9:$E$26,5,FALSE),"")</f>
        <v/>
      </c>
      <c r="I70" s="16">
        <f>IFERROR(VLOOKUP(B70,'Reference Data 기준데이터'!$A$3:$J$5,3,FALSE),"")</f>
        <v/>
      </c>
      <c r="J70" s="16">
        <f>IFERROR(I70+VLOOKUP(B70,'Reference Data 기준데이터'!$A$3:$J$5,7,FALSE),"")</f>
        <v/>
      </c>
      <c r="K70" s="20" t="n">
        <v>46065</v>
      </c>
      <c r="L70" s="13" t="inlineStr">
        <is>
          <t>Approved</t>
        </is>
      </c>
      <c r="M70" s="16">
        <f>IFERROR(I70+VLOOKUP(B70,'Reference Data 기준데이터'!$A$3:$J$5,8,FALSE),"")</f>
        <v/>
      </c>
      <c r="N70" s="20" t="n">
        <v>46101</v>
      </c>
      <c r="O70" s="16">
        <f>IFERROR(IF(G70="차량장착",MAX(I70+VLOOKUP(B70,'Reference Data 기준데이터'!$A$3:$J$5,9,FALSE),VLOOKUP(B70,'Reference Data 기준데이터'!$A$3:$J$5,4,FALSE)),I70+VLOOKUP(B70,'Reference Data 기준데이터'!$A$3:$J$5,9,FALSE)),"")</f>
        <v/>
      </c>
      <c r="P70" s="20" t="n">
        <v>46116</v>
      </c>
      <c r="Q70" s="16">
        <f>IFERROR(O70+VLOOKUP(F70,'Reference Data 기준데이터'!$A$9:$E$26,4,FALSE),"")</f>
        <v/>
      </c>
      <c r="R70" s="20" t="n">
        <v>46142</v>
      </c>
      <c r="S70" s="16">
        <f>IFERROR(MIN(I70+VLOOKUP(B70,'Reference Data 기준데이터'!$A$3:$J$5,10,FALSE),VLOOKUP(B70,'Reference Data 기준데이터'!$A$3:$J$5,6,FALSE)),"")</f>
        <v/>
      </c>
      <c r="T70" s="20" t="n">
        <v>46149</v>
      </c>
      <c r="U70" s="13" t="n"/>
      <c r="V70" s="17">
        <f>IF(U70&lt;&gt;"",U70,IF(AND(T70&lt;&gt;"",R70&lt;&gt;""),"11-결과등록완료",IF(AND(R70&lt;&gt;"",T70=""),"10-시험완료",IF(AND(P70&lt;&gt;"",R70=""),"09-시험준비중",IF(AND(N70&lt;&gt;"",P70=""),"08-단품준비완료",IF(L70="Approved","05-계획서승인",IF(L70="Revision Needed","04-검토중_보완",IF(L70="Under Review","03-검토중",IF(AND(K70&lt;&gt;"",L70=""),"02-제출_미검토","01-미제출")))))))))</f>
        <v/>
      </c>
      <c r="W70" s="18">
        <f>IFS(V70="01-미제출",0,V70="02-제출_미검토",0.05,V70="03-검토중",0.1,V70="04-검토중_보완",0.05,V70="05-계획서승인",0.2,V70="06-BIW중단",0.15,V70="07-미인수",0.3,V70="08-단품준비완료",0.4,V70="09-시험준비중",0.55,V70="10-시험완료",0.85,V70="11-결과등록완료",1,V70="12-조건부승인",0.9,TRUE,0)</f>
        <v/>
      </c>
      <c r="X70" s="5">
        <f>IF(T70&lt;&gt;"","-",IF(S70="","N/A",S70-TODAY()))</f>
        <v/>
      </c>
      <c r="Y70" s="17">
        <f>IF(V70="11-결과등록완료","DONE",IF(U70="06-BIW중단","BLOCKED",IF(AND(K70="",J70&lt;TODAY()),"CRITICAL",IF(AND(ISNUMBER(X70),X70&lt;=0),"OVERDUE",IF(AND(ISNUMBER(X70),X70&lt;=14),"WARNING",IF(U70&lt;&gt;"","ACTION","ON TRACK"))))))</f>
        <v/>
      </c>
      <c r="Z70" s="5">
        <f>IF(OR(T70&lt;&gt;"",R70&lt;&gt;"",P70&lt;&gt;"",N70&lt;&gt;"",K70&lt;&gt;""),TODAY()-MAX(T70,R70,P70,N70,K70),"—")</f>
        <v/>
      </c>
      <c r="AA70" s="19">
        <f>IF(V70="11-결과등록완료","— 완료",IF(V70="01-미제출",IF(J70&lt;TODAY(),"계획서 제출 독촉 (OVERDUE)","계획서 제출 대기"),IF(V70="02-제출_미검토","설계자: 계획서 검토 착수",IF(V70="03-검토중","설계자: 승인 처리",IF(V70="04-검토중_보완","보완 요청 → 협력사 재제출 독촉",IF(V70="05-계획서승인","시험편 준비 현황 확인",IF(V70="06-BIW중단","BIW 생산팀 확인 → 일정 재수립",IF(V70="07-미인수","협력사 인수 독촉",IF(V70="08-단품준비완료","시험 일정 확인",IF(V70="09-시험준비중","시험 진행 모니터링",IF(V70="10-시험완료","결과 보고서 전산 등록 독촉",IF(V70="12-조건부승인","조건부 승인 여부 판단 → 관련부서 협의","—"))))))))))))</f>
        <v/>
      </c>
      <c r="AB70" s="15" t="n"/>
    </row>
    <row r="71">
      <c r="A71" s="5" t="n">
        <v>67</v>
      </c>
      <c r="B71" s="13" t="inlineStr">
        <is>
          <t>EN_SUV</t>
        </is>
      </c>
      <c r="C71" s="14">
        <f>IFERROR(VLOOKUP(D71,'Reference Data 기준데이터'!$A$30:$D$41,2,FALSE),"")</f>
        <v/>
      </c>
      <c r="D71" s="15" t="inlineStr">
        <is>
          <t>시트(뒤)</t>
        </is>
      </c>
      <c r="E71" s="14">
        <f>IFERROR(VLOOKUP(D71,'Reference Data 기준데이터'!$A$30:$D$41,3,FALSE),"")</f>
        <v/>
      </c>
      <c r="F71" s="15" t="inlineStr">
        <is>
          <t>안전벨트 앵커리지</t>
        </is>
      </c>
      <c r="G71" s="14">
        <f>IFERROR(VLOOKUP(F71,'Reference Data 기준데이터'!$A$9:$E$26,2,FALSE),"")</f>
        <v/>
      </c>
      <c r="H71" s="14">
        <f>IFERROR(VLOOKUP(F71,'Reference Data 기준데이터'!$A$9:$E$26,5,FALSE),"")</f>
        <v/>
      </c>
      <c r="I71" s="16">
        <f>IFERROR(VLOOKUP(B71,'Reference Data 기준데이터'!$A$3:$J$5,3,FALSE),"")</f>
        <v/>
      </c>
      <c r="J71" s="16">
        <f>IFERROR(I71+VLOOKUP(B71,'Reference Data 기준데이터'!$A$3:$J$5,7,FALSE),"")</f>
        <v/>
      </c>
      <c r="K71" s="20" t="n">
        <v>46066</v>
      </c>
      <c r="L71" s="13" t="inlineStr">
        <is>
          <t>Approved</t>
        </is>
      </c>
      <c r="M71" s="16">
        <f>IFERROR(I71+VLOOKUP(B71,'Reference Data 기준데이터'!$A$3:$J$5,8,FALSE),"")</f>
        <v/>
      </c>
      <c r="N71" s="20" t="n">
        <v>46102</v>
      </c>
      <c r="O71" s="16">
        <f>IFERROR(IF(G71="차량장착",MAX(I71+VLOOKUP(B71,'Reference Data 기준데이터'!$A$3:$J$5,9,FALSE),VLOOKUP(B71,'Reference Data 기준데이터'!$A$3:$J$5,4,FALSE)),I71+VLOOKUP(B71,'Reference Data 기준데이터'!$A$3:$J$5,9,FALSE)),"")</f>
        <v/>
      </c>
      <c r="P71" s="20" t="n">
        <v>46117</v>
      </c>
      <c r="Q71" s="16">
        <f>IFERROR(O71+VLOOKUP(F71,'Reference Data 기준데이터'!$A$9:$E$26,4,FALSE),"")</f>
        <v/>
      </c>
      <c r="R71" s="20" t="n">
        <v>46143</v>
      </c>
      <c r="S71" s="16">
        <f>IFERROR(MIN(I71+VLOOKUP(B71,'Reference Data 기준데이터'!$A$3:$J$5,10,FALSE),VLOOKUP(B71,'Reference Data 기준데이터'!$A$3:$J$5,6,FALSE)),"")</f>
        <v/>
      </c>
      <c r="T71" s="13" t="n"/>
      <c r="U71" s="13" t="n"/>
      <c r="V71" s="17">
        <f>IF(U71&lt;&gt;"",U71,IF(AND(T71&lt;&gt;"",R71&lt;&gt;""),"11-결과등록완료",IF(AND(R71&lt;&gt;"",T71=""),"10-시험완료",IF(AND(P71&lt;&gt;"",R71=""),"09-시험준비중",IF(AND(N71&lt;&gt;"",P71=""),"08-단품준비완료",IF(L71="Approved","05-계획서승인",IF(L71="Revision Needed","04-검토중_보완",IF(L71="Under Review","03-검토중",IF(AND(K71&lt;&gt;"",L71=""),"02-제출_미검토","01-미제출")))))))))</f>
        <v/>
      </c>
      <c r="W71" s="18">
        <f>IFS(V71="01-미제출",0,V71="02-제출_미검토",0.05,V71="03-검토중",0.1,V71="04-검토중_보완",0.05,V71="05-계획서승인",0.2,V71="06-BIW중단",0.15,V71="07-미인수",0.3,V71="08-단품준비완료",0.4,V71="09-시험준비중",0.55,V71="10-시험완료",0.85,V71="11-결과등록완료",1,V71="12-조건부승인",0.9,TRUE,0)</f>
        <v/>
      </c>
      <c r="X71" s="5">
        <f>IF(T71&lt;&gt;"","-",IF(S71="","N/A",S71-TODAY()))</f>
        <v/>
      </c>
      <c r="Y71" s="17">
        <f>IF(V71="11-결과등록완료","DONE",IF(U71="06-BIW중단","BLOCKED",IF(AND(K71="",J71&lt;TODAY()),"CRITICAL",IF(AND(ISNUMBER(X71),X71&lt;=0),"OVERDUE",IF(AND(ISNUMBER(X71),X71&lt;=14),"WARNING",IF(U71&lt;&gt;"","ACTION","ON TRACK"))))))</f>
        <v/>
      </c>
      <c r="Z71" s="5">
        <f>IF(OR(T71&lt;&gt;"",R71&lt;&gt;"",P71&lt;&gt;"",N71&lt;&gt;"",K71&lt;&gt;""),TODAY()-MAX(T71,R71,P71,N71,K71),"—")</f>
        <v/>
      </c>
      <c r="AA71" s="19">
        <f>IF(V71="11-결과등록완료","— 완료",IF(V71="01-미제출",IF(J71&lt;TODAY(),"계획서 제출 독촉 (OVERDUE)","계획서 제출 대기"),IF(V71="02-제출_미검토","설계자: 계획서 검토 착수",IF(V71="03-검토중","설계자: 승인 처리",IF(V71="04-검토중_보완","보완 요청 → 협력사 재제출 독촉",IF(V71="05-계획서승인","시험편 준비 현황 확인",IF(V71="06-BIW중단","BIW 생산팀 확인 → 일정 재수립",IF(V71="07-미인수","협력사 인수 독촉",IF(V71="08-단품준비완료","시험 일정 확인",IF(V71="09-시험준비중","시험 진행 모니터링",IF(V71="10-시험완료","결과 보고서 전산 등록 독촉",IF(V71="12-조건부승인","조건부 승인 여부 판단 → 관련부서 협의","—"))))))))))))</f>
        <v/>
      </c>
      <c r="AB71" s="15" t="n"/>
    </row>
    <row r="72">
      <c r="A72" s="5" t="n">
        <v>68</v>
      </c>
      <c r="B72" s="13" t="inlineStr">
        <is>
          <t>EN_SUV</t>
        </is>
      </c>
      <c r="C72" s="14">
        <f>IFERROR(VLOOKUP(D72,'Reference Data 기준데이터'!$A$30:$D$41,2,FALSE),"")</f>
        <v/>
      </c>
      <c r="D72" s="15" t="inlineStr">
        <is>
          <t>시트(뒤)</t>
        </is>
      </c>
      <c r="E72" s="14">
        <f>IFERROR(VLOOKUP(D72,'Reference Data 기준데이터'!$A$30:$D$41,3,FALSE),"")</f>
        <v/>
      </c>
      <c r="F72" s="15" t="inlineStr">
        <is>
          <t>ISOFIX 강도 시험</t>
        </is>
      </c>
      <c r="G72" s="14">
        <f>IFERROR(VLOOKUP(F72,'Reference Data 기준데이터'!$A$9:$E$26,2,FALSE),"")</f>
        <v/>
      </c>
      <c r="H72" s="14">
        <f>IFERROR(VLOOKUP(F72,'Reference Data 기준데이터'!$A$9:$E$26,5,FALSE),"")</f>
        <v/>
      </c>
      <c r="I72" s="16">
        <f>IFERROR(VLOOKUP(B72,'Reference Data 기준데이터'!$A$3:$J$5,3,FALSE),"")</f>
        <v/>
      </c>
      <c r="J72" s="16">
        <f>IFERROR(I72+VLOOKUP(B72,'Reference Data 기준데이터'!$A$3:$J$5,7,FALSE),"")</f>
        <v/>
      </c>
      <c r="K72" s="20" t="n">
        <v>46067</v>
      </c>
      <c r="L72" s="13" t="inlineStr">
        <is>
          <t>Approved</t>
        </is>
      </c>
      <c r="M72" s="16">
        <f>IFERROR(I72+VLOOKUP(B72,'Reference Data 기준데이터'!$A$3:$J$5,8,FALSE),"")</f>
        <v/>
      </c>
      <c r="N72" s="20" t="n">
        <v>46103</v>
      </c>
      <c r="O72" s="16">
        <f>IFERROR(IF(G72="차량장착",MAX(I72+VLOOKUP(B72,'Reference Data 기준데이터'!$A$3:$J$5,9,FALSE),VLOOKUP(B72,'Reference Data 기준데이터'!$A$3:$J$5,4,FALSE)),I72+VLOOKUP(B72,'Reference Data 기준데이터'!$A$3:$J$5,9,FALSE)),"")</f>
        <v/>
      </c>
      <c r="P72" s="20" t="n">
        <v>46118</v>
      </c>
      <c r="Q72" s="16">
        <f>IFERROR(O72+VLOOKUP(F72,'Reference Data 기준데이터'!$A$9:$E$26,4,FALSE),"")</f>
        <v/>
      </c>
      <c r="R72" s="13" t="n"/>
      <c r="S72" s="16">
        <f>IFERROR(MIN(I72+VLOOKUP(B72,'Reference Data 기준데이터'!$A$3:$J$5,10,FALSE),VLOOKUP(B72,'Reference Data 기준데이터'!$A$3:$J$5,6,FALSE)),"")</f>
        <v/>
      </c>
      <c r="T72" s="13" t="n"/>
      <c r="U72" s="13" t="n"/>
      <c r="V72" s="17">
        <f>IF(U72&lt;&gt;"",U72,IF(AND(T72&lt;&gt;"",R72&lt;&gt;""),"11-결과등록완료",IF(AND(R72&lt;&gt;"",T72=""),"10-시험완료",IF(AND(P72&lt;&gt;"",R72=""),"09-시험준비중",IF(AND(N72&lt;&gt;"",P72=""),"08-단품준비완료",IF(L72="Approved","05-계획서승인",IF(L72="Revision Needed","04-검토중_보완",IF(L72="Under Review","03-검토중",IF(AND(K72&lt;&gt;"",L72=""),"02-제출_미검토","01-미제출")))))))))</f>
        <v/>
      </c>
      <c r="W72" s="18">
        <f>IFS(V72="01-미제출",0,V72="02-제출_미검토",0.05,V72="03-검토중",0.1,V72="04-검토중_보완",0.05,V72="05-계획서승인",0.2,V72="06-BIW중단",0.15,V72="07-미인수",0.3,V72="08-단품준비완료",0.4,V72="09-시험준비중",0.55,V72="10-시험완료",0.85,V72="11-결과등록완료",1,V72="12-조건부승인",0.9,TRUE,0)</f>
        <v/>
      </c>
      <c r="X72" s="5">
        <f>IF(T72&lt;&gt;"","-",IF(S72="","N/A",S72-TODAY()))</f>
        <v/>
      </c>
      <c r="Y72" s="17">
        <f>IF(V72="11-결과등록완료","DONE",IF(U72="06-BIW중단","BLOCKED",IF(AND(K72="",J72&lt;TODAY()),"CRITICAL",IF(AND(ISNUMBER(X72),X72&lt;=0),"OVERDUE",IF(AND(ISNUMBER(X72),X72&lt;=14),"WARNING",IF(U72&lt;&gt;"","ACTION","ON TRACK"))))))</f>
        <v/>
      </c>
      <c r="Z72" s="5">
        <f>IF(OR(T72&lt;&gt;"",R72&lt;&gt;"",P72&lt;&gt;"",N72&lt;&gt;"",K72&lt;&gt;""),TODAY()-MAX(T72,R72,P72,N72,K72),"—")</f>
        <v/>
      </c>
      <c r="AA72" s="19">
        <f>IF(V72="11-결과등록완료","— 완료",IF(V72="01-미제출",IF(J72&lt;TODAY(),"계획서 제출 독촉 (OVERDUE)","계획서 제출 대기"),IF(V72="02-제출_미검토","설계자: 계획서 검토 착수",IF(V72="03-검토중","설계자: 승인 처리",IF(V72="04-검토중_보완","보완 요청 → 협력사 재제출 독촉",IF(V72="05-계획서승인","시험편 준비 현황 확인",IF(V72="06-BIW중단","BIW 생산팀 확인 → 일정 재수립",IF(V72="07-미인수","협력사 인수 독촉",IF(V72="08-단품준비완료","시험 일정 확인",IF(V72="09-시험준비중","시험 진행 모니터링",IF(V72="10-시험완료","결과 보고서 전산 등록 독촉",IF(V72="12-조건부승인","조건부 승인 여부 판단 → 관련부서 협의","—"))))))))))))</f>
        <v/>
      </c>
      <c r="AB72" s="15" t="n"/>
    </row>
    <row r="73">
      <c r="A73" s="5" t="n">
        <v>69</v>
      </c>
      <c r="B73" s="13" t="inlineStr">
        <is>
          <t>EN_SUV</t>
        </is>
      </c>
      <c r="C73" s="14">
        <f>IFERROR(VLOOKUP(D73,'Reference Data 기준데이터'!$A$30:$D$41,2,FALSE),"")</f>
        <v/>
      </c>
      <c r="D73" s="15" t="inlineStr">
        <is>
          <t>시트(뒤)</t>
        </is>
      </c>
      <c r="E73" s="14">
        <f>IFERROR(VLOOKUP(D73,'Reference Data 기준데이터'!$A$30:$D$41,3,FALSE),"")</f>
        <v/>
      </c>
      <c r="F73" s="15" t="inlineStr">
        <is>
          <t>수하물 충격 시험</t>
        </is>
      </c>
      <c r="G73" s="14">
        <f>IFERROR(VLOOKUP(F73,'Reference Data 기준데이터'!$A$9:$E$26,2,FALSE),"")</f>
        <v/>
      </c>
      <c r="H73" s="14">
        <f>IFERROR(VLOOKUP(F73,'Reference Data 기준데이터'!$A$9:$E$26,5,FALSE),"")</f>
        <v/>
      </c>
      <c r="I73" s="16">
        <f>IFERROR(VLOOKUP(B73,'Reference Data 기준데이터'!$A$3:$J$5,3,FALSE),"")</f>
        <v/>
      </c>
      <c r="J73" s="16">
        <f>IFERROR(I73+VLOOKUP(B73,'Reference Data 기준데이터'!$A$3:$J$5,7,FALSE),"")</f>
        <v/>
      </c>
      <c r="K73" s="20" t="n">
        <v>46068</v>
      </c>
      <c r="L73" s="13" t="inlineStr">
        <is>
          <t>Approved</t>
        </is>
      </c>
      <c r="M73" s="16">
        <f>IFERROR(I73+VLOOKUP(B73,'Reference Data 기준데이터'!$A$3:$J$5,8,FALSE),"")</f>
        <v/>
      </c>
      <c r="N73" s="20" t="n">
        <v>46104</v>
      </c>
      <c r="O73" s="16">
        <f>IFERROR(IF(G73="차량장착",MAX(I73+VLOOKUP(B73,'Reference Data 기준데이터'!$A$3:$J$5,9,FALSE),VLOOKUP(B73,'Reference Data 기준데이터'!$A$3:$J$5,4,FALSE)),I73+VLOOKUP(B73,'Reference Data 기준데이터'!$A$3:$J$5,9,FALSE)),"")</f>
        <v/>
      </c>
      <c r="P73" s="20" t="n">
        <v>46119</v>
      </c>
      <c r="Q73" s="16">
        <f>IFERROR(O73+VLOOKUP(F73,'Reference Data 기준데이터'!$A$9:$E$26,4,FALSE),"")</f>
        <v/>
      </c>
      <c r="R73" s="20" t="n">
        <v>46145</v>
      </c>
      <c r="S73" s="16">
        <f>IFERROR(MIN(I73+VLOOKUP(B73,'Reference Data 기준데이터'!$A$3:$J$5,10,FALSE),VLOOKUP(B73,'Reference Data 기준데이터'!$A$3:$J$5,6,FALSE)),"")</f>
        <v/>
      </c>
      <c r="T73" s="20" t="n">
        <v>46148</v>
      </c>
      <c r="U73" s="13" t="n"/>
      <c r="V73" s="17">
        <f>IF(U73&lt;&gt;"",U73,IF(AND(T73&lt;&gt;"",R73&lt;&gt;""),"11-결과등록완료",IF(AND(R73&lt;&gt;"",T73=""),"10-시험완료",IF(AND(P73&lt;&gt;"",R73=""),"09-시험준비중",IF(AND(N73&lt;&gt;"",P73=""),"08-단품준비완료",IF(L73="Approved","05-계획서승인",IF(L73="Revision Needed","04-검토중_보완",IF(L73="Under Review","03-검토중",IF(AND(K73&lt;&gt;"",L73=""),"02-제출_미검토","01-미제출")))))))))</f>
        <v/>
      </c>
      <c r="W73" s="18">
        <f>IFS(V73="01-미제출",0,V73="02-제출_미검토",0.05,V73="03-검토중",0.1,V73="04-검토중_보완",0.05,V73="05-계획서승인",0.2,V73="06-BIW중단",0.15,V73="07-미인수",0.3,V73="08-단품준비완료",0.4,V73="09-시험준비중",0.55,V73="10-시험완료",0.85,V73="11-결과등록완료",1,V73="12-조건부승인",0.9,TRUE,0)</f>
        <v/>
      </c>
      <c r="X73" s="5">
        <f>IF(T73&lt;&gt;"","-",IF(S73="","N/A",S73-TODAY()))</f>
        <v/>
      </c>
      <c r="Y73" s="17">
        <f>IF(V73="11-결과등록완료","DONE",IF(U73="06-BIW중단","BLOCKED",IF(AND(K73="",J73&lt;TODAY()),"CRITICAL",IF(AND(ISNUMBER(X73),X73&lt;=0),"OVERDUE",IF(AND(ISNUMBER(X73),X73&lt;=14),"WARNING",IF(U73&lt;&gt;"","ACTION","ON TRACK"))))))</f>
        <v/>
      </c>
      <c r="Z73" s="5">
        <f>IF(OR(T73&lt;&gt;"",R73&lt;&gt;"",P73&lt;&gt;"",N73&lt;&gt;"",K73&lt;&gt;""),TODAY()-MAX(T73,R73,P73,N73,K73),"—")</f>
        <v/>
      </c>
      <c r="AA73" s="19">
        <f>IF(V73="11-결과등록완료","— 완료",IF(V73="01-미제출",IF(J73&lt;TODAY(),"계획서 제출 독촉 (OVERDUE)","계획서 제출 대기"),IF(V73="02-제출_미검토","설계자: 계획서 검토 착수",IF(V73="03-검토중","설계자: 승인 처리",IF(V73="04-검토중_보완","보완 요청 → 협력사 재제출 독촉",IF(V73="05-계획서승인","시험편 준비 현황 확인",IF(V73="06-BIW중단","BIW 생산팀 확인 → 일정 재수립",IF(V73="07-미인수","협력사 인수 독촉",IF(V73="08-단품준비완료","시험 일정 확인",IF(V73="09-시험준비중","시험 진행 모니터링",IF(V73="10-시험완료","결과 보고서 전산 등록 독촉",IF(V73="12-조건부승인","조건부 승인 여부 판단 → 관련부서 협의","—"))))))))))))</f>
        <v/>
      </c>
      <c r="AB73" s="15" t="n"/>
    </row>
    <row r="74">
      <c r="A74" s="5">
        <f>IF(B74="","",ROW()-4)</f>
        <v/>
      </c>
      <c r="B74" s="13" t="n"/>
      <c r="C74" s="14">
        <f>IF(B74="","",IFERROR(VLOOKUP(D74,'Reference Data 기준데이터'!$A$30:$D$41,2,FALSE),""))</f>
        <v/>
      </c>
      <c r="D74" s="15" t="n"/>
      <c r="E74" s="14">
        <f>IF(B74="","",IFERROR(VLOOKUP(D74,'Reference Data 기준데이터'!$A$30:$D$41,3,FALSE),""))</f>
        <v/>
      </c>
      <c r="F74" s="15" t="n"/>
      <c r="G74" s="14">
        <f>IF(B74="","",IFERROR(VLOOKUP(F74,'Reference Data 기준데이터'!$A$9:$E$26,2,FALSE),""))</f>
        <v/>
      </c>
      <c r="H74" s="14">
        <f>IF(B74="","",IFERROR(VLOOKUP(F74,'Reference Data 기준데이터'!$A$9:$E$26,5,FALSE),""))</f>
        <v/>
      </c>
      <c r="I74" s="16">
        <f>IF(B74="","",IFERROR(VLOOKUP(B74,'Reference Data 기준데이터'!$A$3:$J$5,3,FALSE),""))</f>
        <v/>
      </c>
      <c r="J74" s="16">
        <f>IF(B74="","",IFERROR(I74+VLOOKUP(B74,'Reference Data 기준데이터'!$A$3:$J$5,7,FALSE),""))</f>
        <v/>
      </c>
      <c r="K74" s="20" t="n"/>
      <c r="L74" s="13" t="n"/>
      <c r="M74" s="16">
        <f>IF(B74="","",IFERROR(I74+VLOOKUP(B74,'Reference Data 기준데이터'!$A$3:$J$5,8,FALSE),""))</f>
        <v/>
      </c>
      <c r="N74" s="20" t="n"/>
      <c r="O74" s="16">
        <f>IF(B74="","",IFERROR(IF(G74="차량장착",MAX(I74+VLOOKUP(B74,'Reference Data 기준데이터'!$A$3:$J$5,9,FALSE),VLOOKUP(B74,'Reference Data 기준데이터'!$A$3:$J$5,4,FALSE)),I74+VLOOKUP(B74,'Reference Data 기준데이터'!$A$3:$J$5,9,FALSE)),""))</f>
        <v/>
      </c>
      <c r="P74" s="20" t="n"/>
      <c r="Q74" s="16">
        <f>IF(B74="","",IFERROR(O74+VLOOKUP(F74,'Reference Data 기준데이터'!$A$9:$E$26,4,FALSE),""))</f>
        <v/>
      </c>
      <c r="R74" s="20" t="n"/>
      <c r="S74" s="16">
        <f>IF(B74="","",IFERROR(MIN(I74+VLOOKUP(B74,'Reference Data 기준데이터'!$A$3:$J$5,10,FALSE),VLOOKUP(B74,'Reference Data 기준데이터'!$A$3:$J$5,6,FALSE)),""))</f>
        <v/>
      </c>
      <c r="T74" s="20" t="n"/>
      <c r="U74" s="13" t="n"/>
      <c r="V74" s="17">
        <f>IF(B74="","",IF(U74&lt;&gt;"",U74,IF(AND(T74&lt;&gt;"",R74&lt;&gt;""),"11-결과등록완료",IF(AND(R74&lt;&gt;"",T74=""),"10-시험완료",IF(AND(P74&lt;&gt;"",R74=""),"09-시험준비중",IF(AND(N74&lt;&gt;"",P74=""),"08-단품준비완료",IF(L74="Approved","05-계획서승인",IF(L74="Revision Needed","04-검토중_보완",IF(L74="Under Review","03-검토중",IF(AND(K74&lt;&gt;"",L74=""),"02-제출_미검토","01-미제출"))))))))))</f>
        <v/>
      </c>
      <c r="W74" s="18">
        <f>IF(B74="","",IFS(V74="01-미제출",0,V74="02-제출_미검토",0.05,V74="03-검토중",0.1,V74="04-검토중_보완",0.05,V74="05-계획서승인",0.2,V74="06-BIW중단",0.15,V74="07-미인수",0.3,V74="08-단품준비완료",0.4,V74="09-시험준비중",0.55,V74="10-시험완료",0.85,V74="11-결과등록완료",1,V74="12-조건부승인",0.9,TRUE,0))</f>
        <v/>
      </c>
      <c r="X74" s="5">
        <f>IF(B74="","",IF(T74&lt;&gt;"","-",IF(S74="","N/A",S74-TODAY())))</f>
        <v/>
      </c>
      <c r="Y74" s="17">
        <f>IF(B74="","",IF(V74="11-결과등록완료","DONE",IF(U74="06-BIW중단","BLOCKED",IF(AND(K74="",J74&lt;TODAY()),"CRITICAL",IF(AND(ISNUMBER(X74),X74&lt;=0),"OVERDUE",IF(AND(ISNUMBER(X74),X74&lt;=14),"WARNING",IF(U74&lt;&gt;"","ACTION","ON TRACK")))))))</f>
        <v/>
      </c>
      <c r="Z74" s="5">
        <f>IF(B74="","",IF(OR(T74&lt;&gt;"",R74&lt;&gt;"",P74&lt;&gt;"",N74&lt;&gt;"",K74&lt;&gt;""),TODAY()-MAX(T74,R74,P74,N74,K74),"—"))</f>
        <v/>
      </c>
      <c r="AA74" s="19">
        <f>IF(B74="","",IF(V74="11-결과등록완료","— 완료",IF(V74="01-미제출",IF(J74&lt;TODAY(),"계획서 제출 독촉 (OVERDUE)","계획서 제출 대기"),IF(V74="02-제출_미검토","설계자: 계획서 검토 착수",IF(V74="03-검토중","설계자: 승인 처리",IF(V74="04-검토중_보완","보완 요청 → 협력사 재제출 독촉",IF(V74="05-계획서승인","시험편 준비 현황 확인",IF(V74="06-BIW중단","BIW 생산팀 확인 → 일정 재수립",IF(V74="07-미인수","협력사 인수 독촉",IF(V74="08-단품준비완료","시험 일정 확인",IF(V74="09-시험준비중","시험 진행 모니터링",IF(V74="10-시험완료","결과 보고서 전산 등록 독촉",IF(V74="12-조건부승인","조건부 승인 여부 판단 → 관련부서 협의","—")))))))))))))</f>
        <v/>
      </c>
      <c r="AB74" s="15" t="n"/>
    </row>
    <row r="75">
      <c r="A75" s="5">
        <f>IF(B75="","",ROW()-4)</f>
        <v/>
      </c>
      <c r="B75" s="13" t="n"/>
      <c r="C75" s="14">
        <f>IF(B75="","",IFERROR(VLOOKUP(D75,'Reference Data 기준데이터'!$A$30:$D$41,2,FALSE),""))</f>
        <v/>
      </c>
      <c r="D75" s="15" t="n"/>
      <c r="E75" s="14">
        <f>IF(B75="","",IFERROR(VLOOKUP(D75,'Reference Data 기준데이터'!$A$30:$D$41,3,FALSE),""))</f>
        <v/>
      </c>
      <c r="F75" s="15" t="n"/>
      <c r="G75" s="14">
        <f>IF(B75="","",IFERROR(VLOOKUP(F75,'Reference Data 기준데이터'!$A$9:$E$26,2,FALSE),""))</f>
        <v/>
      </c>
      <c r="H75" s="14">
        <f>IF(B75="","",IFERROR(VLOOKUP(F75,'Reference Data 기준데이터'!$A$9:$E$26,5,FALSE),""))</f>
        <v/>
      </c>
      <c r="I75" s="16">
        <f>IF(B75="","",IFERROR(VLOOKUP(B75,'Reference Data 기준데이터'!$A$3:$J$5,3,FALSE),""))</f>
        <v/>
      </c>
      <c r="J75" s="16">
        <f>IF(B75="","",IFERROR(I75+VLOOKUP(B75,'Reference Data 기준데이터'!$A$3:$J$5,7,FALSE),""))</f>
        <v/>
      </c>
      <c r="K75" s="20" t="n"/>
      <c r="L75" s="13" t="n"/>
      <c r="M75" s="16">
        <f>IF(B75="","",IFERROR(I75+VLOOKUP(B75,'Reference Data 기준데이터'!$A$3:$J$5,8,FALSE),""))</f>
        <v/>
      </c>
      <c r="N75" s="20" t="n"/>
      <c r="O75" s="16">
        <f>IF(B75="","",IFERROR(IF(G75="차량장착",MAX(I75+VLOOKUP(B75,'Reference Data 기준데이터'!$A$3:$J$5,9,FALSE),VLOOKUP(B75,'Reference Data 기준데이터'!$A$3:$J$5,4,FALSE)),I75+VLOOKUP(B75,'Reference Data 기준데이터'!$A$3:$J$5,9,FALSE)),""))</f>
        <v/>
      </c>
      <c r="P75" s="20" t="n"/>
      <c r="Q75" s="16">
        <f>IF(B75="","",IFERROR(O75+VLOOKUP(F75,'Reference Data 기준데이터'!$A$9:$E$26,4,FALSE),""))</f>
        <v/>
      </c>
      <c r="R75" s="20" t="n"/>
      <c r="S75" s="16">
        <f>IF(B75="","",IFERROR(MIN(I75+VLOOKUP(B75,'Reference Data 기준데이터'!$A$3:$J$5,10,FALSE),VLOOKUP(B75,'Reference Data 기준데이터'!$A$3:$J$5,6,FALSE)),""))</f>
        <v/>
      </c>
      <c r="T75" s="20" t="n"/>
      <c r="U75" s="13" t="n"/>
      <c r="V75" s="17">
        <f>IF(B75="","",IF(U75&lt;&gt;"",U75,IF(AND(T75&lt;&gt;"",R75&lt;&gt;""),"11-결과등록완료",IF(AND(R75&lt;&gt;"",T75=""),"10-시험완료",IF(AND(P75&lt;&gt;"",R75=""),"09-시험준비중",IF(AND(N75&lt;&gt;"",P75=""),"08-단품준비완료",IF(L75="Approved","05-계획서승인",IF(L75="Revision Needed","04-검토중_보완",IF(L75="Under Review","03-검토중",IF(AND(K75&lt;&gt;"",L75=""),"02-제출_미검토","01-미제출"))))))))))</f>
        <v/>
      </c>
      <c r="W75" s="18">
        <f>IF(B75="","",IFS(V75="01-미제출",0,V75="02-제출_미검토",0.05,V75="03-검토중",0.1,V75="04-검토중_보완",0.05,V75="05-계획서승인",0.2,V75="06-BIW중단",0.15,V75="07-미인수",0.3,V75="08-단품준비완료",0.4,V75="09-시험준비중",0.55,V75="10-시험완료",0.85,V75="11-결과등록완료",1,V75="12-조건부승인",0.9,TRUE,0))</f>
        <v/>
      </c>
      <c r="X75" s="5">
        <f>IF(B75="","",IF(T75&lt;&gt;"","-",IF(S75="","N/A",S75-TODAY())))</f>
        <v/>
      </c>
      <c r="Y75" s="17">
        <f>IF(B75="","",IF(V75="11-결과등록완료","DONE",IF(U75="06-BIW중단","BLOCKED",IF(AND(K75="",J75&lt;TODAY()),"CRITICAL",IF(AND(ISNUMBER(X75),X75&lt;=0),"OVERDUE",IF(AND(ISNUMBER(X75),X75&lt;=14),"WARNING",IF(U75&lt;&gt;"","ACTION","ON TRACK")))))))</f>
        <v/>
      </c>
      <c r="Z75" s="5">
        <f>IF(B75="","",IF(OR(T75&lt;&gt;"",R75&lt;&gt;"",P75&lt;&gt;"",N75&lt;&gt;"",K75&lt;&gt;""),TODAY()-MAX(T75,R75,P75,N75,K75),"—"))</f>
        <v/>
      </c>
      <c r="AA75" s="19">
        <f>IF(B75="","",IF(V75="11-결과등록완료","— 완료",IF(V75="01-미제출",IF(J75&lt;TODAY(),"계획서 제출 독촉 (OVERDUE)","계획서 제출 대기"),IF(V75="02-제출_미검토","설계자: 계획서 검토 착수",IF(V75="03-검토중","설계자: 승인 처리",IF(V75="04-검토중_보완","보완 요청 → 협력사 재제출 독촉",IF(V75="05-계획서승인","시험편 준비 현황 확인",IF(V75="06-BIW중단","BIW 생산팀 확인 → 일정 재수립",IF(V75="07-미인수","협력사 인수 독촉",IF(V75="08-단품준비완료","시험 일정 확인",IF(V75="09-시험준비중","시험 진행 모니터링",IF(V75="10-시험완료","결과 보고서 전산 등록 독촉",IF(V75="12-조건부승인","조건부 승인 여부 판단 → 관련부서 협의","—")))))))))))))</f>
        <v/>
      </c>
      <c r="AB75" s="15" t="n"/>
    </row>
    <row r="76">
      <c r="A76" s="5">
        <f>IF(B76="","",ROW()-4)</f>
        <v/>
      </c>
      <c r="B76" s="13" t="n"/>
      <c r="C76" s="14">
        <f>IF(B76="","",IFERROR(VLOOKUP(D76,'Reference Data 기준데이터'!$A$30:$D$41,2,FALSE),""))</f>
        <v/>
      </c>
      <c r="D76" s="15" t="n"/>
      <c r="E76" s="14">
        <f>IF(B76="","",IFERROR(VLOOKUP(D76,'Reference Data 기준데이터'!$A$30:$D$41,3,FALSE),""))</f>
        <v/>
      </c>
      <c r="F76" s="15" t="n"/>
      <c r="G76" s="14">
        <f>IF(B76="","",IFERROR(VLOOKUP(F76,'Reference Data 기준데이터'!$A$9:$E$26,2,FALSE),""))</f>
        <v/>
      </c>
      <c r="H76" s="14">
        <f>IF(B76="","",IFERROR(VLOOKUP(F76,'Reference Data 기준데이터'!$A$9:$E$26,5,FALSE),""))</f>
        <v/>
      </c>
      <c r="I76" s="16">
        <f>IF(B76="","",IFERROR(VLOOKUP(B76,'Reference Data 기준데이터'!$A$3:$J$5,3,FALSE),""))</f>
        <v/>
      </c>
      <c r="J76" s="16">
        <f>IF(B76="","",IFERROR(I76+VLOOKUP(B76,'Reference Data 기준데이터'!$A$3:$J$5,7,FALSE),""))</f>
        <v/>
      </c>
      <c r="K76" s="20" t="n"/>
      <c r="L76" s="13" t="n"/>
      <c r="M76" s="16">
        <f>IF(B76="","",IFERROR(I76+VLOOKUP(B76,'Reference Data 기준데이터'!$A$3:$J$5,8,FALSE),""))</f>
        <v/>
      </c>
      <c r="N76" s="20" t="n"/>
      <c r="O76" s="16">
        <f>IF(B76="","",IFERROR(IF(G76="차량장착",MAX(I76+VLOOKUP(B76,'Reference Data 기준데이터'!$A$3:$J$5,9,FALSE),VLOOKUP(B76,'Reference Data 기준데이터'!$A$3:$J$5,4,FALSE)),I76+VLOOKUP(B76,'Reference Data 기준데이터'!$A$3:$J$5,9,FALSE)),""))</f>
        <v/>
      </c>
      <c r="P76" s="20" t="n"/>
      <c r="Q76" s="16">
        <f>IF(B76="","",IFERROR(O76+VLOOKUP(F76,'Reference Data 기준데이터'!$A$9:$E$26,4,FALSE),""))</f>
        <v/>
      </c>
      <c r="R76" s="20" t="n"/>
      <c r="S76" s="16">
        <f>IF(B76="","",IFERROR(MIN(I76+VLOOKUP(B76,'Reference Data 기준데이터'!$A$3:$J$5,10,FALSE),VLOOKUP(B76,'Reference Data 기준데이터'!$A$3:$J$5,6,FALSE)),""))</f>
        <v/>
      </c>
      <c r="T76" s="20" t="n"/>
      <c r="U76" s="13" t="n"/>
      <c r="V76" s="17">
        <f>IF(B76="","",IF(U76&lt;&gt;"",U76,IF(AND(T76&lt;&gt;"",R76&lt;&gt;""),"11-결과등록완료",IF(AND(R76&lt;&gt;"",T76=""),"10-시험완료",IF(AND(P76&lt;&gt;"",R76=""),"09-시험준비중",IF(AND(N76&lt;&gt;"",P76=""),"08-단품준비완료",IF(L76="Approved","05-계획서승인",IF(L76="Revision Needed","04-검토중_보완",IF(L76="Under Review","03-검토중",IF(AND(K76&lt;&gt;"",L76=""),"02-제출_미검토","01-미제출"))))))))))</f>
        <v/>
      </c>
      <c r="W76" s="18">
        <f>IF(B76="","",IFS(V76="01-미제출",0,V76="02-제출_미검토",0.05,V76="03-검토중",0.1,V76="04-검토중_보완",0.05,V76="05-계획서승인",0.2,V76="06-BIW중단",0.15,V76="07-미인수",0.3,V76="08-단품준비완료",0.4,V76="09-시험준비중",0.55,V76="10-시험완료",0.85,V76="11-결과등록완료",1,V76="12-조건부승인",0.9,TRUE,0))</f>
        <v/>
      </c>
      <c r="X76" s="5">
        <f>IF(B76="","",IF(T76&lt;&gt;"","-",IF(S76="","N/A",S76-TODAY())))</f>
        <v/>
      </c>
      <c r="Y76" s="17">
        <f>IF(B76="","",IF(V76="11-결과등록완료","DONE",IF(U76="06-BIW중단","BLOCKED",IF(AND(K76="",J76&lt;TODAY()),"CRITICAL",IF(AND(ISNUMBER(X76),X76&lt;=0),"OVERDUE",IF(AND(ISNUMBER(X76),X76&lt;=14),"WARNING",IF(U76&lt;&gt;"","ACTION","ON TRACK")))))))</f>
        <v/>
      </c>
      <c r="Z76" s="5">
        <f>IF(B76="","",IF(OR(T76&lt;&gt;"",R76&lt;&gt;"",P76&lt;&gt;"",N76&lt;&gt;"",K76&lt;&gt;""),TODAY()-MAX(T76,R76,P76,N76,K76),"—"))</f>
        <v/>
      </c>
      <c r="AA76" s="19">
        <f>IF(B76="","",IF(V76="11-결과등록완료","— 완료",IF(V76="01-미제출",IF(J76&lt;TODAY(),"계획서 제출 독촉 (OVERDUE)","계획서 제출 대기"),IF(V76="02-제출_미검토","설계자: 계획서 검토 착수",IF(V76="03-검토중","설계자: 승인 처리",IF(V76="04-검토중_보완","보완 요청 → 협력사 재제출 독촉",IF(V76="05-계획서승인","시험편 준비 현황 확인",IF(V76="06-BIW중단","BIW 생산팀 확인 → 일정 재수립",IF(V76="07-미인수","협력사 인수 독촉",IF(V76="08-단품준비완료","시험 일정 확인",IF(V76="09-시험준비중","시험 진행 모니터링",IF(V76="10-시험완료","결과 보고서 전산 등록 독촉",IF(V76="12-조건부승인","조건부 승인 여부 판단 → 관련부서 협의","—")))))))))))))</f>
        <v/>
      </c>
      <c r="AB76" s="15" t="n"/>
    </row>
    <row r="77">
      <c r="A77" s="5">
        <f>IF(B77="","",ROW()-4)</f>
        <v/>
      </c>
      <c r="B77" s="13" t="n"/>
      <c r="C77" s="14">
        <f>IF(B77="","",IFERROR(VLOOKUP(D77,'Reference Data 기준데이터'!$A$30:$D$41,2,FALSE),""))</f>
        <v/>
      </c>
      <c r="D77" s="15" t="n"/>
      <c r="E77" s="14">
        <f>IF(B77="","",IFERROR(VLOOKUP(D77,'Reference Data 기준데이터'!$A$30:$D$41,3,FALSE),""))</f>
        <v/>
      </c>
      <c r="F77" s="15" t="n"/>
      <c r="G77" s="14">
        <f>IF(B77="","",IFERROR(VLOOKUP(F77,'Reference Data 기준데이터'!$A$9:$E$26,2,FALSE),""))</f>
        <v/>
      </c>
      <c r="H77" s="14">
        <f>IF(B77="","",IFERROR(VLOOKUP(F77,'Reference Data 기준데이터'!$A$9:$E$26,5,FALSE),""))</f>
        <v/>
      </c>
      <c r="I77" s="16">
        <f>IF(B77="","",IFERROR(VLOOKUP(B77,'Reference Data 기준데이터'!$A$3:$J$5,3,FALSE),""))</f>
        <v/>
      </c>
      <c r="J77" s="16">
        <f>IF(B77="","",IFERROR(I77+VLOOKUP(B77,'Reference Data 기준데이터'!$A$3:$J$5,7,FALSE),""))</f>
        <v/>
      </c>
      <c r="K77" s="20" t="n"/>
      <c r="L77" s="13" t="n"/>
      <c r="M77" s="16">
        <f>IF(B77="","",IFERROR(I77+VLOOKUP(B77,'Reference Data 기준데이터'!$A$3:$J$5,8,FALSE),""))</f>
        <v/>
      </c>
      <c r="N77" s="20" t="n"/>
      <c r="O77" s="16">
        <f>IF(B77="","",IFERROR(IF(G77="차량장착",MAX(I77+VLOOKUP(B77,'Reference Data 기준데이터'!$A$3:$J$5,9,FALSE),VLOOKUP(B77,'Reference Data 기준데이터'!$A$3:$J$5,4,FALSE)),I77+VLOOKUP(B77,'Reference Data 기준데이터'!$A$3:$J$5,9,FALSE)),""))</f>
        <v/>
      </c>
      <c r="P77" s="20" t="n"/>
      <c r="Q77" s="16">
        <f>IF(B77="","",IFERROR(O77+VLOOKUP(F77,'Reference Data 기준데이터'!$A$9:$E$26,4,FALSE),""))</f>
        <v/>
      </c>
      <c r="R77" s="20" t="n"/>
      <c r="S77" s="16">
        <f>IF(B77="","",IFERROR(MIN(I77+VLOOKUP(B77,'Reference Data 기준데이터'!$A$3:$J$5,10,FALSE),VLOOKUP(B77,'Reference Data 기준데이터'!$A$3:$J$5,6,FALSE)),""))</f>
        <v/>
      </c>
      <c r="T77" s="20" t="n"/>
      <c r="U77" s="13" t="n"/>
      <c r="V77" s="17">
        <f>IF(B77="","",IF(U77&lt;&gt;"",U77,IF(AND(T77&lt;&gt;"",R77&lt;&gt;""),"11-결과등록완료",IF(AND(R77&lt;&gt;"",T77=""),"10-시험완료",IF(AND(P77&lt;&gt;"",R77=""),"09-시험준비중",IF(AND(N77&lt;&gt;"",P77=""),"08-단품준비완료",IF(L77="Approved","05-계획서승인",IF(L77="Revision Needed","04-검토중_보완",IF(L77="Under Review","03-검토중",IF(AND(K77&lt;&gt;"",L77=""),"02-제출_미검토","01-미제출"))))))))))</f>
        <v/>
      </c>
      <c r="W77" s="18">
        <f>IF(B77="","",IFS(V77="01-미제출",0,V77="02-제출_미검토",0.05,V77="03-검토중",0.1,V77="04-검토중_보완",0.05,V77="05-계획서승인",0.2,V77="06-BIW중단",0.15,V77="07-미인수",0.3,V77="08-단품준비완료",0.4,V77="09-시험준비중",0.55,V77="10-시험완료",0.85,V77="11-결과등록완료",1,V77="12-조건부승인",0.9,TRUE,0))</f>
        <v/>
      </c>
      <c r="X77" s="5">
        <f>IF(B77="","",IF(T77&lt;&gt;"","-",IF(S77="","N/A",S77-TODAY())))</f>
        <v/>
      </c>
      <c r="Y77" s="17">
        <f>IF(B77="","",IF(V77="11-결과등록완료","DONE",IF(U77="06-BIW중단","BLOCKED",IF(AND(K77="",J77&lt;TODAY()),"CRITICAL",IF(AND(ISNUMBER(X77),X77&lt;=0),"OVERDUE",IF(AND(ISNUMBER(X77),X77&lt;=14),"WARNING",IF(U77&lt;&gt;"","ACTION","ON TRACK")))))))</f>
        <v/>
      </c>
      <c r="Z77" s="5">
        <f>IF(B77="","",IF(OR(T77&lt;&gt;"",R77&lt;&gt;"",P77&lt;&gt;"",N77&lt;&gt;"",K77&lt;&gt;""),TODAY()-MAX(T77,R77,P77,N77,K77),"—"))</f>
        <v/>
      </c>
      <c r="AA77" s="19">
        <f>IF(B77="","",IF(V77="11-결과등록완료","— 완료",IF(V77="01-미제출",IF(J77&lt;TODAY(),"계획서 제출 독촉 (OVERDUE)","계획서 제출 대기"),IF(V77="02-제출_미검토","설계자: 계획서 검토 착수",IF(V77="03-검토중","설계자: 승인 처리",IF(V77="04-검토중_보완","보완 요청 → 협력사 재제출 독촉",IF(V77="05-계획서승인","시험편 준비 현황 확인",IF(V77="06-BIW중단","BIW 생산팀 확인 → 일정 재수립",IF(V77="07-미인수","협력사 인수 독촉",IF(V77="08-단품준비완료","시험 일정 확인",IF(V77="09-시험준비중","시험 진행 모니터링",IF(V77="10-시험완료","결과 보고서 전산 등록 독촉",IF(V77="12-조건부승인","조건부 승인 여부 판단 → 관련부서 협의","—")))))))))))))</f>
        <v/>
      </c>
      <c r="AB77" s="15" t="n"/>
    </row>
    <row r="78">
      <c r="A78" s="5">
        <f>IF(B78="","",ROW()-4)</f>
        <v/>
      </c>
      <c r="B78" s="13" t="n"/>
      <c r="C78" s="14">
        <f>IF(B78="","",IFERROR(VLOOKUP(D78,'Reference Data 기준데이터'!$A$30:$D$41,2,FALSE),""))</f>
        <v/>
      </c>
      <c r="D78" s="15" t="n"/>
      <c r="E78" s="14">
        <f>IF(B78="","",IFERROR(VLOOKUP(D78,'Reference Data 기준데이터'!$A$30:$D$41,3,FALSE),""))</f>
        <v/>
      </c>
      <c r="F78" s="15" t="n"/>
      <c r="G78" s="14">
        <f>IF(B78="","",IFERROR(VLOOKUP(F78,'Reference Data 기준데이터'!$A$9:$E$26,2,FALSE),""))</f>
        <v/>
      </c>
      <c r="H78" s="14">
        <f>IF(B78="","",IFERROR(VLOOKUP(F78,'Reference Data 기준데이터'!$A$9:$E$26,5,FALSE),""))</f>
        <v/>
      </c>
      <c r="I78" s="16">
        <f>IF(B78="","",IFERROR(VLOOKUP(B78,'Reference Data 기준데이터'!$A$3:$J$5,3,FALSE),""))</f>
        <v/>
      </c>
      <c r="J78" s="16">
        <f>IF(B78="","",IFERROR(I78+VLOOKUP(B78,'Reference Data 기준데이터'!$A$3:$J$5,7,FALSE),""))</f>
        <v/>
      </c>
      <c r="K78" s="20" t="n"/>
      <c r="L78" s="13" t="n"/>
      <c r="M78" s="16">
        <f>IF(B78="","",IFERROR(I78+VLOOKUP(B78,'Reference Data 기준데이터'!$A$3:$J$5,8,FALSE),""))</f>
        <v/>
      </c>
      <c r="N78" s="20" t="n"/>
      <c r="O78" s="16">
        <f>IF(B78="","",IFERROR(IF(G78="차량장착",MAX(I78+VLOOKUP(B78,'Reference Data 기준데이터'!$A$3:$J$5,9,FALSE),VLOOKUP(B78,'Reference Data 기준데이터'!$A$3:$J$5,4,FALSE)),I78+VLOOKUP(B78,'Reference Data 기준데이터'!$A$3:$J$5,9,FALSE)),""))</f>
        <v/>
      </c>
      <c r="P78" s="20" t="n"/>
      <c r="Q78" s="16">
        <f>IF(B78="","",IFERROR(O78+VLOOKUP(F78,'Reference Data 기준데이터'!$A$9:$E$26,4,FALSE),""))</f>
        <v/>
      </c>
      <c r="R78" s="20" t="n"/>
      <c r="S78" s="16">
        <f>IF(B78="","",IFERROR(MIN(I78+VLOOKUP(B78,'Reference Data 기준데이터'!$A$3:$J$5,10,FALSE),VLOOKUP(B78,'Reference Data 기준데이터'!$A$3:$J$5,6,FALSE)),""))</f>
        <v/>
      </c>
      <c r="T78" s="20" t="n"/>
      <c r="U78" s="13" t="n"/>
      <c r="V78" s="17">
        <f>IF(B78="","",IF(U78&lt;&gt;"",U78,IF(AND(T78&lt;&gt;"",R78&lt;&gt;""),"11-결과등록완료",IF(AND(R78&lt;&gt;"",T78=""),"10-시험완료",IF(AND(P78&lt;&gt;"",R78=""),"09-시험준비중",IF(AND(N78&lt;&gt;"",P78=""),"08-단품준비완료",IF(L78="Approved","05-계획서승인",IF(L78="Revision Needed","04-검토중_보완",IF(L78="Under Review","03-검토중",IF(AND(K78&lt;&gt;"",L78=""),"02-제출_미검토","01-미제출"))))))))))</f>
        <v/>
      </c>
      <c r="W78" s="18">
        <f>IF(B78="","",IFS(V78="01-미제출",0,V78="02-제출_미검토",0.05,V78="03-검토중",0.1,V78="04-검토중_보완",0.05,V78="05-계획서승인",0.2,V78="06-BIW중단",0.15,V78="07-미인수",0.3,V78="08-단품준비완료",0.4,V78="09-시험준비중",0.55,V78="10-시험완료",0.85,V78="11-결과등록완료",1,V78="12-조건부승인",0.9,TRUE,0))</f>
        <v/>
      </c>
      <c r="X78" s="5">
        <f>IF(B78="","",IF(T78&lt;&gt;"","-",IF(S78="","N/A",S78-TODAY())))</f>
        <v/>
      </c>
      <c r="Y78" s="17">
        <f>IF(B78="","",IF(V78="11-결과등록완료","DONE",IF(U78="06-BIW중단","BLOCKED",IF(AND(K78="",J78&lt;TODAY()),"CRITICAL",IF(AND(ISNUMBER(X78),X78&lt;=0),"OVERDUE",IF(AND(ISNUMBER(X78),X78&lt;=14),"WARNING",IF(U78&lt;&gt;"","ACTION","ON TRACK")))))))</f>
        <v/>
      </c>
      <c r="Z78" s="5">
        <f>IF(B78="","",IF(OR(T78&lt;&gt;"",R78&lt;&gt;"",P78&lt;&gt;"",N78&lt;&gt;"",K78&lt;&gt;""),TODAY()-MAX(T78,R78,P78,N78,K78),"—"))</f>
        <v/>
      </c>
      <c r="AA78" s="19">
        <f>IF(B78="","",IF(V78="11-결과등록완료","— 완료",IF(V78="01-미제출",IF(J78&lt;TODAY(),"계획서 제출 독촉 (OVERDUE)","계획서 제출 대기"),IF(V78="02-제출_미검토","설계자: 계획서 검토 착수",IF(V78="03-검토중","설계자: 승인 처리",IF(V78="04-검토중_보완","보완 요청 → 협력사 재제출 독촉",IF(V78="05-계획서승인","시험편 준비 현황 확인",IF(V78="06-BIW중단","BIW 생산팀 확인 → 일정 재수립",IF(V78="07-미인수","협력사 인수 독촉",IF(V78="08-단품준비완료","시험 일정 확인",IF(V78="09-시험준비중","시험 진행 모니터링",IF(V78="10-시험완료","결과 보고서 전산 등록 독촉",IF(V78="12-조건부승인","조건부 승인 여부 판단 → 관련부서 협의","—")))))))))))))</f>
        <v/>
      </c>
      <c r="AB78" s="15" t="n"/>
    </row>
    <row r="79">
      <c r="A79" s="5">
        <f>IF(B79="","",ROW()-4)</f>
        <v/>
      </c>
      <c r="B79" s="13" t="n"/>
      <c r="C79" s="14">
        <f>IF(B79="","",IFERROR(VLOOKUP(D79,'Reference Data 기준데이터'!$A$30:$D$41,2,FALSE),""))</f>
        <v/>
      </c>
      <c r="D79" s="15" t="n"/>
      <c r="E79" s="14">
        <f>IF(B79="","",IFERROR(VLOOKUP(D79,'Reference Data 기준데이터'!$A$30:$D$41,3,FALSE),""))</f>
        <v/>
      </c>
      <c r="F79" s="15" t="n"/>
      <c r="G79" s="14">
        <f>IF(B79="","",IFERROR(VLOOKUP(F79,'Reference Data 기준데이터'!$A$9:$E$26,2,FALSE),""))</f>
        <v/>
      </c>
      <c r="H79" s="14">
        <f>IF(B79="","",IFERROR(VLOOKUP(F79,'Reference Data 기준데이터'!$A$9:$E$26,5,FALSE),""))</f>
        <v/>
      </c>
      <c r="I79" s="16">
        <f>IF(B79="","",IFERROR(VLOOKUP(B79,'Reference Data 기준데이터'!$A$3:$J$5,3,FALSE),""))</f>
        <v/>
      </c>
      <c r="J79" s="16">
        <f>IF(B79="","",IFERROR(I79+VLOOKUP(B79,'Reference Data 기준데이터'!$A$3:$J$5,7,FALSE),""))</f>
        <v/>
      </c>
      <c r="K79" s="20" t="n"/>
      <c r="L79" s="13" t="n"/>
      <c r="M79" s="16">
        <f>IF(B79="","",IFERROR(I79+VLOOKUP(B79,'Reference Data 기준데이터'!$A$3:$J$5,8,FALSE),""))</f>
        <v/>
      </c>
      <c r="N79" s="20" t="n"/>
      <c r="O79" s="16">
        <f>IF(B79="","",IFERROR(IF(G79="차량장착",MAX(I79+VLOOKUP(B79,'Reference Data 기준데이터'!$A$3:$J$5,9,FALSE),VLOOKUP(B79,'Reference Data 기준데이터'!$A$3:$J$5,4,FALSE)),I79+VLOOKUP(B79,'Reference Data 기준데이터'!$A$3:$J$5,9,FALSE)),""))</f>
        <v/>
      </c>
      <c r="P79" s="20" t="n"/>
      <c r="Q79" s="16">
        <f>IF(B79="","",IFERROR(O79+VLOOKUP(F79,'Reference Data 기준데이터'!$A$9:$E$26,4,FALSE),""))</f>
        <v/>
      </c>
      <c r="R79" s="20" t="n"/>
      <c r="S79" s="16">
        <f>IF(B79="","",IFERROR(MIN(I79+VLOOKUP(B79,'Reference Data 기준데이터'!$A$3:$J$5,10,FALSE),VLOOKUP(B79,'Reference Data 기준데이터'!$A$3:$J$5,6,FALSE)),""))</f>
        <v/>
      </c>
      <c r="T79" s="20" t="n"/>
      <c r="U79" s="13" t="n"/>
      <c r="V79" s="17">
        <f>IF(B79="","",IF(U79&lt;&gt;"",U79,IF(AND(T79&lt;&gt;"",R79&lt;&gt;""),"11-결과등록완료",IF(AND(R79&lt;&gt;"",T79=""),"10-시험완료",IF(AND(P79&lt;&gt;"",R79=""),"09-시험준비중",IF(AND(N79&lt;&gt;"",P79=""),"08-단품준비완료",IF(L79="Approved","05-계획서승인",IF(L79="Revision Needed","04-검토중_보완",IF(L79="Under Review","03-검토중",IF(AND(K79&lt;&gt;"",L79=""),"02-제출_미검토","01-미제출"))))))))))</f>
        <v/>
      </c>
      <c r="W79" s="18">
        <f>IF(B79="","",IFS(V79="01-미제출",0,V79="02-제출_미검토",0.05,V79="03-검토중",0.1,V79="04-검토중_보완",0.05,V79="05-계획서승인",0.2,V79="06-BIW중단",0.15,V79="07-미인수",0.3,V79="08-단품준비완료",0.4,V79="09-시험준비중",0.55,V79="10-시험완료",0.85,V79="11-결과등록완료",1,V79="12-조건부승인",0.9,TRUE,0))</f>
        <v/>
      </c>
      <c r="X79" s="5">
        <f>IF(B79="","",IF(T79&lt;&gt;"","-",IF(S79="","N/A",S79-TODAY())))</f>
        <v/>
      </c>
      <c r="Y79" s="17">
        <f>IF(B79="","",IF(V79="11-결과등록완료","DONE",IF(U79="06-BIW중단","BLOCKED",IF(AND(K79="",J79&lt;TODAY()),"CRITICAL",IF(AND(ISNUMBER(X79),X79&lt;=0),"OVERDUE",IF(AND(ISNUMBER(X79),X79&lt;=14),"WARNING",IF(U79&lt;&gt;"","ACTION","ON TRACK")))))))</f>
        <v/>
      </c>
      <c r="Z79" s="5">
        <f>IF(B79="","",IF(OR(T79&lt;&gt;"",R79&lt;&gt;"",P79&lt;&gt;"",N79&lt;&gt;"",K79&lt;&gt;""),TODAY()-MAX(T79,R79,P79,N79,K79),"—"))</f>
        <v/>
      </c>
      <c r="AA79" s="19">
        <f>IF(B79="","",IF(V79="11-결과등록완료","— 완료",IF(V79="01-미제출",IF(J79&lt;TODAY(),"계획서 제출 독촉 (OVERDUE)","계획서 제출 대기"),IF(V79="02-제출_미검토","설계자: 계획서 검토 착수",IF(V79="03-검토중","설계자: 승인 처리",IF(V79="04-검토중_보완","보완 요청 → 협력사 재제출 독촉",IF(V79="05-계획서승인","시험편 준비 현황 확인",IF(V79="06-BIW중단","BIW 생산팀 확인 → 일정 재수립",IF(V79="07-미인수","협력사 인수 독촉",IF(V79="08-단품준비완료","시험 일정 확인",IF(V79="09-시험준비중","시험 진행 모니터링",IF(V79="10-시험완료","결과 보고서 전산 등록 독촉",IF(V79="12-조건부승인","조건부 승인 여부 판단 → 관련부서 협의","—")))))))))))))</f>
        <v/>
      </c>
      <c r="AB79" s="15" t="n"/>
    </row>
    <row r="80">
      <c r="A80" s="5">
        <f>IF(B80="","",ROW()-4)</f>
        <v/>
      </c>
      <c r="B80" s="13" t="n"/>
      <c r="C80" s="14">
        <f>IF(B80="","",IFERROR(VLOOKUP(D80,'Reference Data 기준데이터'!$A$30:$D$41,2,FALSE),""))</f>
        <v/>
      </c>
      <c r="D80" s="15" t="n"/>
      <c r="E80" s="14">
        <f>IF(B80="","",IFERROR(VLOOKUP(D80,'Reference Data 기준데이터'!$A$30:$D$41,3,FALSE),""))</f>
        <v/>
      </c>
      <c r="F80" s="15" t="n"/>
      <c r="G80" s="14">
        <f>IF(B80="","",IFERROR(VLOOKUP(F80,'Reference Data 기준데이터'!$A$9:$E$26,2,FALSE),""))</f>
        <v/>
      </c>
      <c r="H80" s="14">
        <f>IF(B80="","",IFERROR(VLOOKUP(F80,'Reference Data 기준데이터'!$A$9:$E$26,5,FALSE),""))</f>
        <v/>
      </c>
      <c r="I80" s="16">
        <f>IF(B80="","",IFERROR(VLOOKUP(B80,'Reference Data 기준데이터'!$A$3:$J$5,3,FALSE),""))</f>
        <v/>
      </c>
      <c r="J80" s="16">
        <f>IF(B80="","",IFERROR(I80+VLOOKUP(B80,'Reference Data 기준데이터'!$A$3:$J$5,7,FALSE),""))</f>
        <v/>
      </c>
      <c r="K80" s="20" t="n"/>
      <c r="L80" s="13" t="n"/>
      <c r="M80" s="16">
        <f>IF(B80="","",IFERROR(I80+VLOOKUP(B80,'Reference Data 기준데이터'!$A$3:$J$5,8,FALSE),""))</f>
        <v/>
      </c>
      <c r="N80" s="20" t="n"/>
      <c r="O80" s="16">
        <f>IF(B80="","",IFERROR(IF(G80="차량장착",MAX(I80+VLOOKUP(B80,'Reference Data 기준데이터'!$A$3:$J$5,9,FALSE),VLOOKUP(B80,'Reference Data 기준데이터'!$A$3:$J$5,4,FALSE)),I80+VLOOKUP(B80,'Reference Data 기준데이터'!$A$3:$J$5,9,FALSE)),""))</f>
        <v/>
      </c>
      <c r="P80" s="20" t="n"/>
      <c r="Q80" s="16">
        <f>IF(B80="","",IFERROR(O80+VLOOKUP(F80,'Reference Data 기준데이터'!$A$9:$E$26,4,FALSE),""))</f>
        <v/>
      </c>
      <c r="R80" s="20" t="n"/>
      <c r="S80" s="16">
        <f>IF(B80="","",IFERROR(MIN(I80+VLOOKUP(B80,'Reference Data 기준데이터'!$A$3:$J$5,10,FALSE),VLOOKUP(B80,'Reference Data 기준데이터'!$A$3:$J$5,6,FALSE)),""))</f>
        <v/>
      </c>
      <c r="T80" s="20" t="n"/>
      <c r="U80" s="13" t="n"/>
      <c r="V80" s="17">
        <f>IF(B80="","",IF(U80&lt;&gt;"",U80,IF(AND(T80&lt;&gt;"",R80&lt;&gt;""),"11-결과등록완료",IF(AND(R80&lt;&gt;"",T80=""),"10-시험완료",IF(AND(P80&lt;&gt;"",R80=""),"09-시험준비중",IF(AND(N80&lt;&gt;"",P80=""),"08-단품준비완료",IF(L80="Approved","05-계획서승인",IF(L80="Revision Needed","04-검토중_보완",IF(L80="Under Review","03-검토중",IF(AND(K80&lt;&gt;"",L80=""),"02-제출_미검토","01-미제출"))))))))))</f>
        <v/>
      </c>
      <c r="W80" s="18">
        <f>IF(B80="","",IFS(V80="01-미제출",0,V80="02-제출_미검토",0.05,V80="03-검토중",0.1,V80="04-검토중_보완",0.05,V80="05-계획서승인",0.2,V80="06-BIW중단",0.15,V80="07-미인수",0.3,V80="08-단품준비완료",0.4,V80="09-시험준비중",0.55,V80="10-시험완료",0.85,V80="11-결과등록완료",1,V80="12-조건부승인",0.9,TRUE,0))</f>
        <v/>
      </c>
      <c r="X80" s="5">
        <f>IF(B80="","",IF(T80&lt;&gt;"","-",IF(S80="","N/A",S80-TODAY())))</f>
        <v/>
      </c>
      <c r="Y80" s="17">
        <f>IF(B80="","",IF(V80="11-결과등록완료","DONE",IF(U80="06-BIW중단","BLOCKED",IF(AND(K80="",J80&lt;TODAY()),"CRITICAL",IF(AND(ISNUMBER(X80),X80&lt;=0),"OVERDUE",IF(AND(ISNUMBER(X80),X80&lt;=14),"WARNING",IF(U80&lt;&gt;"","ACTION","ON TRACK")))))))</f>
        <v/>
      </c>
      <c r="Z80" s="5">
        <f>IF(B80="","",IF(OR(T80&lt;&gt;"",R80&lt;&gt;"",P80&lt;&gt;"",N80&lt;&gt;"",K80&lt;&gt;""),TODAY()-MAX(T80,R80,P80,N80,K80),"—"))</f>
        <v/>
      </c>
      <c r="AA80" s="19">
        <f>IF(B80="","",IF(V80="11-결과등록완료","— 완료",IF(V80="01-미제출",IF(J80&lt;TODAY(),"계획서 제출 독촉 (OVERDUE)","계획서 제출 대기"),IF(V80="02-제출_미검토","설계자: 계획서 검토 착수",IF(V80="03-검토중","설계자: 승인 처리",IF(V80="04-검토중_보완","보완 요청 → 협력사 재제출 독촉",IF(V80="05-계획서승인","시험편 준비 현황 확인",IF(V80="06-BIW중단","BIW 생산팀 확인 → 일정 재수립",IF(V80="07-미인수","협력사 인수 독촉",IF(V80="08-단품준비완료","시험 일정 확인",IF(V80="09-시험준비중","시험 진행 모니터링",IF(V80="10-시험완료","결과 보고서 전산 등록 독촉",IF(V80="12-조건부승인","조건부 승인 여부 판단 → 관련부서 협의","—")))))))))))))</f>
        <v/>
      </c>
      <c r="AB80" s="15" t="n"/>
    </row>
    <row r="81">
      <c r="A81" s="5">
        <f>IF(B81="","",ROW()-4)</f>
        <v/>
      </c>
      <c r="B81" s="13" t="n"/>
      <c r="C81" s="14">
        <f>IF(B81="","",IFERROR(VLOOKUP(D81,'Reference Data 기준데이터'!$A$30:$D$41,2,FALSE),""))</f>
        <v/>
      </c>
      <c r="D81" s="15" t="n"/>
      <c r="E81" s="14">
        <f>IF(B81="","",IFERROR(VLOOKUP(D81,'Reference Data 기준데이터'!$A$30:$D$41,3,FALSE),""))</f>
        <v/>
      </c>
      <c r="F81" s="15" t="n"/>
      <c r="G81" s="14">
        <f>IF(B81="","",IFERROR(VLOOKUP(F81,'Reference Data 기준데이터'!$A$9:$E$26,2,FALSE),""))</f>
        <v/>
      </c>
      <c r="H81" s="14">
        <f>IF(B81="","",IFERROR(VLOOKUP(F81,'Reference Data 기준데이터'!$A$9:$E$26,5,FALSE),""))</f>
        <v/>
      </c>
      <c r="I81" s="16">
        <f>IF(B81="","",IFERROR(VLOOKUP(B81,'Reference Data 기준데이터'!$A$3:$J$5,3,FALSE),""))</f>
        <v/>
      </c>
      <c r="J81" s="16">
        <f>IF(B81="","",IFERROR(I81+VLOOKUP(B81,'Reference Data 기준데이터'!$A$3:$J$5,7,FALSE),""))</f>
        <v/>
      </c>
      <c r="K81" s="20" t="n"/>
      <c r="L81" s="13" t="n"/>
      <c r="M81" s="16">
        <f>IF(B81="","",IFERROR(I81+VLOOKUP(B81,'Reference Data 기준데이터'!$A$3:$J$5,8,FALSE),""))</f>
        <v/>
      </c>
      <c r="N81" s="20" t="n"/>
      <c r="O81" s="16">
        <f>IF(B81="","",IFERROR(IF(G81="차량장착",MAX(I81+VLOOKUP(B81,'Reference Data 기준데이터'!$A$3:$J$5,9,FALSE),VLOOKUP(B81,'Reference Data 기준데이터'!$A$3:$J$5,4,FALSE)),I81+VLOOKUP(B81,'Reference Data 기준데이터'!$A$3:$J$5,9,FALSE)),""))</f>
        <v/>
      </c>
      <c r="P81" s="20" t="n"/>
      <c r="Q81" s="16">
        <f>IF(B81="","",IFERROR(O81+VLOOKUP(F81,'Reference Data 기준데이터'!$A$9:$E$26,4,FALSE),""))</f>
        <v/>
      </c>
      <c r="R81" s="20" t="n"/>
      <c r="S81" s="16">
        <f>IF(B81="","",IFERROR(MIN(I81+VLOOKUP(B81,'Reference Data 기준데이터'!$A$3:$J$5,10,FALSE),VLOOKUP(B81,'Reference Data 기준데이터'!$A$3:$J$5,6,FALSE)),""))</f>
        <v/>
      </c>
      <c r="T81" s="20" t="n"/>
      <c r="U81" s="13" t="n"/>
      <c r="V81" s="17">
        <f>IF(B81="","",IF(U81&lt;&gt;"",U81,IF(AND(T81&lt;&gt;"",R81&lt;&gt;""),"11-결과등록완료",IF(AND(R81&lt;&gt;"",T81=""),"10-시험완료",IF(AND(P81&lt;&gt;"",R81=""),"09-시험준비중",IF(AND(N81&lt;&gt;"",P81=""),"08-단품준비완료",IF(L81="Approved","05-계획서승인",IF(L81="Revision Needed","04-검토중_보완",IF(L81="Under Review","03-검토중",IF(AND(K81&lt;&gt;"",L81=""),"02-제출_미검토","01-미제출"))))))))))</f>
        <v/>
      </c>
      <c r="W81" s="18">
        <f>IF(B81="","",IFS(V81="01-미제출",0,V81="02-제출_미검토",0.05,V81="03-검토중",0.1,V81="04-검토중_보완",0.05,V81="05-계획서승인",0.2,V81="06-BIW중단",0.15,V81="07-미인수",0.3,V81="08-단품준비완료",0.4,V81="09-시험준비중",0.55,V81="10-시험완료",0.85,V81="11-결과등록완료",1,V81="12-조건부승인",0.9,TRUE,0))</f>
        <v/>
      </c>
      <c r="X81" s="5">
        <f>IF(B81="","",IF(T81&lt;&gt;"","-",IF(S81="","N/A",S81-TODAY())))</f>
        <v/>
      </c>
      <c r="Y81" s="17">
        <f>IF(B81="","",IF(V81="11-결과등록완료","DONE",IF(U81="06-BIW중단","BLOCKED",IF(AND(K81="",J81&lt;TODAY()),"CRITICAL",IF(AND(ISNUMBER(X81),X81&lt;=0),"OVERDUE",IF(AND(ISNUMBER(X81),X81&lt;=14),"WARNING",IF(U81&lt;&gt;"","ACTION","ON TRACK")))))))</f>
        <v/>
      </c>
      <c r="Z81" s="5">
        <f>IF(B81="","",IF(OR(T81&lt;&gt;"",R81&lt;&gt;"",P81&lt;&gt;"",N81&lt;&gt;"",K81&lt;&gt;""),TODAY()-MAX(T81,R81,P81,N81,K81),"—"))</f>
        <v/>
      </c>
      <c r="AA81" s="19">
        <f>IF(B81="","",IF(V81="11-결과등록완료","— 완료",IF(V81="01-미제출",IF(J81&lt;TODAY(),"계획서 제출 독촉 (OVERDUE)","계획서 제출 대기"),IF(V81="02-제출_미검토","설계자: 계획서 검토 착수",IF(V81="03-검토중","설계자: 승인 처리",IF(V81="04-검토중_보완","보완 요청 → 협력사 재제출 독촉",IF(V81="05-계획서승인","시험편 준비 현황 확인",IF(V81="06-BIW중단","BIW 생산팀 확인 → 일정 재수립",IF(V81="07-미인수","협력사 인수 독촉",IF(V81="08-단품준비완료","시험 일정 확인",IF(V81="09-시험준비중","시험 진행 모니터링",IF(V81="10-시험완료","결과 보고서 전산 등록 독촉",IF(V81="12-조건부승인","조건부 승인 여부 판단 → 관련부서 협의","—")))))))))))))</f>
        <v/>
      </c>
      <c r="AB81" s="15" t="n"/>
    </row>
    <row r="82">
      <c r="A82" s="5">
        <f>IF(B82="","",ROW()-4)</f>
        <v/>
      </c>
      <c r="B82" s="13" t="n"/>
      <c r="C82" s="14">
        <f>IF(B82="","",IFERROR(VLOOKUP(D82,'Reference Data 기준데이터'!$A$30:$D$41,2,FALSE),""))</f>
        <v/>
      </c>
      <c r="D82" s="15" t="n"/>
      <c r="E82" s="14">
        <f>IF(B82="","",IFERROR(VLOOKUP(D82,'Reference Data 기준데이터'!$A$30:$D$41,3,FALSE),""))</f>
        <v/>
      </c>
      <c r="F82" s="15" t="n"/>
      <c r="G82" s="14">
        <f>IF(B82="","",IFERROR(VLOOKUP(F82,'Reference Data 기준데이터'!$A$9:$E$26,2,FALSE),""))</f>
        <v/>
      </c>
      <c r="H82" s="14">
        <f>IF(B82="","",IFERROR(VLOOKUP(F82,'Reference Data 기준데이터'!$A$9:$E$26,5,FALSE),""))</f>
        <v/>
      </c>
      <c r="I82" s="16">
        <f>IF(B82="","",IFERROR(VLOOKUP(B82,'Reference Data 기준데이터'!$A$3:$J$5,3,FALSE),""))</f>
        <v/>
      </c>
      <c r="J82" s="16">
        <f>IF(B82="","",IFERROR(I82+VLOOKUP(B82,'Reference Data 기준데이터'!$A$3:$J$5,7,FALSE),""))</f>
        <v/>
      </c>
      <c r="K82" s="20" t="n"/>
      <c r="L82" s="13" t="n"/>
      <c r="M82" s="16">
        <f>IF(B82="","",IFERROR(I82+VLOOKUP(B82,'Reference Data 기준데이터'!$A$3:$J$5,8,FALSE),""))</f>
        <v/>
      </c>
      <c r="N82" s="20" t="n"/>
      <c r="O82" s="16">
        <f>IF(B82="","",IFERROR(IF(G82="차량장착",MAX(I82+VLOOKUP(B82,'Reference Data 기준데이터'!$A$3:$J$5,9,FALSE),VLOOKUP(B82,'Reference Data 기준데이터'!$A$3:$J$5,4,FALSE)),I82+VLOOKUP(B82,'Reference Data 기준데이터'!$A$3:$J$5,9,FALSE)),""))</f>
        <v/>
      </c>
      <c r="P82" s="20" t="n"/>
      <c r="Q82" s="16">
        <f>IF(B82="","",IFERROR(O82+VLOOKUP(F82,'Reference Data 기준데이터'!$A$9:$E$26,4,FALSE),""))</f>
        <v/>
      </c>
      <c r="R82" s="20" t="n"/>
      <c r="S82" s="16">
        <f>IF(B82="","",IFERROR(MIN(I82+VLOOKUP(B82,'Reference Data 기준데이터'!$A$3:$J$5,10,FALSE),VLOOKUP(B82,'Reference Data 기준데이터'!$A$3:$J$5,6,FALSE)),""))</f>
        <v/>
      </c>
      <c r="T82" s="20" t="n"/>
      <c r="U82" s="13" t="n"/>
      <c r="V82" s="17">
        <f>IF(B82="","",IF(U82&lt;&gt;"",U82,IF(AND(T82&lt;&gt;"",R82&lt;&gt;""),"11-결과등록완료",IF(AND(R82&lt;&gt;"",T82=""),"10-시험완료",IF(AND(P82&lt;&gt;"",R82=""),"09-시험준비중",IF(AND(N82&lt;&gt;"",P82=""),"08-단품준비완료",IF(L82="Approved","05-계획서승인",IF(L82="Revision Needed","04-검토중_보완",IF(L82="Under Review","03-검토중",IF(AND(K82&lt;&gt;"",L82=""),"02-제출_미검토","01-미제출"))))))))))</f>
        <v/>
      </c>
      <c r="W82" s="18">
        <f>IF(B82="","",IFS(V82="01-미제출",0,V82="02-제출_미검토",0.05,V82="03-검토중",0.1,V82="04-검토중_보완",0.05,V82="05-계획서승인",0.2,V82="06-BIW중단",0.15,V82="07-미인수",0.3,V82="08-단품준비완료",0.4,V82="09-시험준비중",0.55,V82="10-시험완료",0.85,V82="11-결과등록완료",1,V82="12-조건부승인",0.9,TRUE,0))</f>
        <v/>
      </c>
      <c r="X82" s="5">
        <f>IF(B82="","",IF(T82&lt;&gt;"","-",IF(S82="","N/A",S82-TODAY())))</f>
        <v/>
      </c>
      <c r="Y82" s="17">
        <f>IF(B82="","",IF(V82="11-결과등록완료","DONE",IF(U82="06-BIW중단","BLOCKED",IF(AND(K82="",J82&lt;TODAY()),"CRITICAL",IF(AND(ISNUMBER(X82),X82&lt;=0),"OVERDUE",IF(AND(ISNUMBER(X82),X82&lt;=14),"WARNING",IF(U82&lt;&gt;"","ACTION","ON TRACK")))))))</f>
        <v/>
      </c>
      <c r="Z82" s="5">
        <f>IF(B82="","",IF(OR(T82&lt;&gt;"",R82&lt;&gt;"",P82&lt;&gt;"",N82&lt;&gt;"",K82&lt;&gt;""),TODAY()-MAX(T82,R82,P82,N82,K82),"—"))</f>
        <v/>
      </c>
      <c r="AA82" s="19">
        <f>IF(B82="","",IF(V82="11-결과등록완료","— 완료",IF(V82="01-미제출",IF(J82&lt;TODAY(),"계획서 제출 독촉 (OVERDUE)","계획서 제출 대기"),IF(V82="02-제출_미검토","설계자: 계획서 검토 착수",IF(V82="03-검토중","설계자: 승인 처리",IF(V82="04-검토중_보완","보완 요청 → 협력사 재제출 독촉",IF(V82="05-계획서승인","시험편 준비 현황 확인",IF(V82="06-BIW중단","BIW 생산팀 확인 → 일정 재수립",IF(V82="07-미인수","협력사 인수 독촉",IF(V82="08-단품준비완료","시험 일정 확인",IF(V82="09-시험준비중","시험 진행 모니터링",IF(V82="10-시험완료","결과 보고서 전산 등록 독촉",IF(V82="12-조건부승인","조건부 승인 여부 판단 → 관련부서 협의","—")))))))))))))</f>
        <v/>
      </c>
      <c r="AB82" s="15" t="n"/>
    </row>
    <row r="83">
      <c r="A83" s="5">
        <f>IF(B83="","",ROW()-4)</f>
        <v/>
      </c>
      <c r="B83" s="13" t="n"/>
      <c r="C83" s="14">
        <f>IF(B83="","",IFERROR(VLOOKUP(D83,'Reference Data 기준데이터'!$A$30:$D$41,2,FALSE),""))</f>
        <v/>
      </c>
      <c r="D83" s="15" t="n"/>
      <c r="E83" s="14">
        <f>IF(B83="","",IFERROR(VLOOKUP(D83,'Reference Data 기준데이터'!$A$30:$D$41,3,FALSE),""))</f>
        <v/>
      </c>
      <c r="F83" s="15" t="n"/>
      <c r="G83" s="14">
        <f>IF(B83="","",IFERROR(VLOOKUP(F83,'Reference Data 기준데이터'!$A$9:$E$26,2,FALSE),""))</f>
        <v/>
      </c>
      <c r="H83" s="14">
        <f>IF(B83="","",IFERROR(VLOOKUP(F83,'Reference Data 기준데이터'!$A$9:$E$26,5,FALSE),""))</f>
        <v/>
      </c>
      <c r="I83" s="16">
        <f>IF(B83="","",IFERROR(VLOOKUP(B83,'Reference Data 기준데이터'!$A$3:$J$5,3,FALSE),""))</f>
        <v/>
      </c>
      <c r="J83" s="16">
        <f>IF(B83="","",IFERROR(I83+VLOOKUP(B83,'Reference Data 기준데이터'!$A$3:$J$5,7,FALSE),""))</f>
        <v/>
      </c>
      <c r="K83" s="20" t="n"/>
      <c r="L83" s="13" t="n"/>
      <c r="M83" s="16">
        <f>IF(B83="","",IFERROR(I83+VLOOKUP(B83,'Reference Data 기준데이터'!$A$3:$J$5,8,FALSE),""))</f>
        <v/>
      </c>
      <c r="N83" s="20" t="n"/>
      <c r="O83" s="16">
        <f>IF(B83="","",IFERROR(IF(G83="차량장착",MAX(I83+VLOOKUP(B83,'Reference Data 기준데이터'!$A$3:$J$5,9,FALSE),VLOOKUP(B83,'Reference Data 기준데이터'!$A$3:$J$5,4,FALSE)),I83+VLOOKUP(B83,'Reference Data 기준데이터'!$A$3:$J$5,9,FALSE)),""))</f>
        <v/>
      </c>
      <c r="P83" s="20" t="n"/>
      <c r="Q83" s="16">
        <f>IF(B83="","",IFERROR(O83+VLOOKUP(F83,'Reference Data 기준데이터'!$A$9:$E$26,4,FALSE),""))</f>
        <v/>
      </c>
      <c r="R83" s="20" t="n"/>
      <c r="S83" s="16">
        <f>IF(B83="","",IFERROR(MIN(I83+VLOOKUP(B83,'Reference Data 기준데이터'!$A$3:$J$5,10,FALSE),VLOOKUP(B83,'Reference Data 기준데이터'!$A$3:$J$5,6,FALSE)),""))</f>
        <v/>
      </c>
      <c r="T83" s="20" t="n"/>
      <c r="U83" s="13" t="n"/>
      <c r="V83" s="17">
        <f>IF(B83="","",IF(U83&lt;&gt;"",U83,IF(AND(T83&lt;&gt;"",R83&lt;&gt;""),"11-결과등록완료",IF(AND(R83&lt;&gt;"",T83=""),"10-시험완료",IF(AND(P83&lt;&gt;"",R83=""),"09-시험준비중",IF(AND(N83&lt;&gt;"",P83=""),"08-단품준비완료",IF(L83="Approved","05-계획서승인",IF(L83="Revision Needed","04-검토중_보완",IF(L83="Under Review","03-검토중",IF(AND(K83&lt;&gt;"",L83=""),"02-제출_미검토","01-미제출"))))))))))</f>
        <v/>
      </c>
      <c r="W83" s="18">
        <f>IF(B83="","",IFS(V83="01-미제출",0,V83="02-제출_미검토",0.05,V83="03-검토중",0.1,V83="04-검토중_보완",0.05,V83="05-계획서승인",0.2,V83="06-BIW중단",0.15,V83="07-미인수",0.3,V83="08-단품준비완료",0.4,V83="09-시험준비중",0.55,V83="10-시험완료",0.85,V83="11-결과등록완료",1,V83="12-조건부승인",0.9,TRUE,0))</f>
        <v/>
      </c>
      <c r="X83" s="5">
        <f>IF(B83="","",IF(T83&lt;&gt;"","-",IF(S83="","N/A",S83-TODAY())))</f>
        <v/>
      </c>
      <c r="Y83" s="17">
        <f>IF(B83="","",IF(V83="11-결과등록완료","DONE",IF(U83="06-BIW중단","BLOCKED",IF(AND(K83="",J83&lt;TODAY()),"CRITICAL",IF(AND(ISNUMBER(X83),X83&lt;=0),"OVERDUE",IF(AND(ISNUMBER(X83),X83&lt;=14),"WARNING",IF(U83&lt;&gt;"","ACTION","ON TRACK")))))))</f>
        <v/>
      </c>
      <c r="Z83" s="5">
        <f>IF(B83="","",IF(OR(T83&lt;&gt;"",R83&lt;&gt;"",P83&lt;&gt;"",N83&lt;&gt;"",K83&lt;&gt;""),TODAY()-MAX(T83,R83,P83,N83,K83),"—"))</f>
        <v/>
      </c>
      <c r="AA83" s="19">
        <f>IF(B83="","",IF(V83="11-결과등록완료","— 완료",IF(V83="01-미제출",IF(J83&lt;TODAY(),"계획서 제출 독촉 (OVERDUE)","계획서 제출 대기"),IF(V83="02-제출_미검토","설계자: 계획서 검토 착수",IF(V83="03-검토중","설계자: 승인 처리",IF(V83="04-검토중_보완","보완 요청 → 협력사 재제출 독촉",IF(V83="05-계획서승인","시험편 준비 현황 확인",IF(V83="06-BIW중단","BIW 생산팀 확인 → 일정 재수립",IF(V83="07-미인수","협력사 인수 독촉",IF(V83="08-단품준비완료","시험 일정 확인",IF(V83="09-시험준비중","시험 진행 모니터링",IF(V83="10-시험완료","결과 보고서 전산 등록 독촉",IF(V83="12-조건부승인","조건부 승인 여부 판단 → 관련부서 협의","—")))))))))))))</f>
        <v/>
      </c>
      <c r="AB83" s="15" t="n"/>
    </row>
    <row r="84">
      <c r="A84" s="5">
        <f>IF(B84="","",ROW()-4)</f>
        <v/>
      </c>
      <c r="B84" s="13" t="n"/>
      <c r="C84" s="14">
        <f>IF(B84="","",IFERROR(VLOOKUP(D84,'Reference Data 기준데이터'!$A$30:$D$41,2,FALSE),""))</f>
        <v/>
      </c>
      <c r="D84" s="15" t="n"/>
      <c r="E84" s="14">
        <f>IF(B84="","",IFERROR(VLOOKUP(D84,'Reference Data 기준데이터'!$A$30:$D$41,3,FALSE),""))</f>
        <v/>
      </c>
      <c r="F84" s="15" t="n"/>
      <c r="G84" s="14">
        <f>IF(B84="","",IFERROR(VLOOKUP(F84,'Reference Data 기준데이터'!$A$9:$E$26,2,FALSE),""))</f>
        <v/>
      </c>
      <c r="H84" s="14">
        <f>IF(B84="","",IFERROR(VLOOKUP(F84,'Reference Data 기준데이터'!$A$9:$E$26,5,FALSE),""))</f>
        <v/>
      </c>
      <c r="I84" s="16">
        <f>IF(B84="","",IFERROR(VLOOKUP(B84,'Reference Data 기준데이터'!$A$3:$J$5,3,FALSE),""))</f>
        <v/>
      </c>
      <c r="J84" s="16">
        <f>IF(B84="","",IFERROR(I84+VLOOKUP(B84,'Reference Data 기준데이터'!$A$3:$J$5,7,FALSE),""))</f>
        <v/>
      </c>
      <c r="K84" s="20" t="n"/>
      <c r="L84" s="13" t="n"/>
      <c r="M84" s="16">
        <f>IF(B84="","",IFERROR(I84+VLOOKUP(B84,'Reference Data 기준데이터'!$A$3:$J$5,8,FALSE),""))</f>
        <v/>
      </c>
      <c r="N84" s="20" t="n"/>
      <c r="O84" s="16">
        <f>IF(B84="","",IFERROR(IF(G84="차량장착",MAX(I84+VLOOKUP(B84,'Reference Data 기준데이터'!$A$3:$J$5,9,FALSE),VLOOKUP(B84,'Reference Data 기준데이터'!$A$3:$J$5,4,FALSE)),I84+VLOOKUP(B84,'Reference Data 기준데이터'!$A$3:$J$5,9,FALSE)),""))</f>
        <v/>
      </c>
      <c r="P84" s="20" t="n"/>
      <c r="Q84" s="16">
        <f>IF(B84="","",IFERROR(O84+VLOOKUP(F84,'Reference Data 기준데이터'!$A$9:$E$26,4,FALSE),""))</f>
        <v/>
      </c>
      <c r="R84" s="20" t="n"/>
      <c r="S84" s="16">
        <f>IF(B84="","",IFERROR(MIN(I84+VLOOKUP(B84,'Reference Data 기준데이터'!$A$3:$J$5,10,FALSE),VLOOKUP(B84,'Reference Data 기준데이터'!$A$3:$J$5,6,FALSE)),""))</f>
        <v/>
      </c>
      <c r="T84" s="20" t="n"/>
      <c r="U84" s="13" t="n"/>
      <c r="V84" s="17">
        <f>IF(B84="","",IF(U84&lt;&gt;"",U84,IF(AND(T84&lt;&gt;"",R84&lt;&gt;""),"11-결과등록완료",IF(AND(R84&lt;&gt;"",T84=""),"10-시험완료",IF(AND(P84&lt;&gt;"",R84=""),"09-시험준비중",IF(AND(N84&lt;&gt;"",P84=""),"08-단품준비완료",IF(L84="Approved","05-계획서승인",IF(L84="Revision Needed","04-검토중_보완",IF(L84="Under Review","03-검토중",IF(AND(K84&lt;&gt;"",L84=""),"02-제출_미검토","01-미제출"))))))))))</f>
        <v/>
      </c>
      <c r="W84" s="18">
        <f>IF(B84="","",IFS(V84="01-미제출",0,V84="02-제출_미검토",0.05,V84="03-검토중",0.1,V84="04-검토중_보완",0.05,V84="05-계획서승인",0.2,V84="06-BIW중단",0.15,V84="07-미인수",0.3,V84="08-단품준비완료",0.4,V84="09-시험준비중",0.55,V84="10-시험완료",0.85,V84="11-결과등록완료",1,V84="12-조건부승인",0.9,TRUE,0))</f>
        <v/>
      </c>
      <c r="X84" s="5">
        <f>IF(B84="","",IF(T84&lt;&gt;"","-",IF(S84="","N/A",S84-TODAY())))</f>
        <v/>
      </c>
      <c r="Y84" s="17">
        <f>IF(B84="","",IF(V84="11-결과등록완료","DONE",IF(U84="06-BIW중단","BLOCKED",IF(AND(K84="",J84&lt;TODAY()),"CRITICAL",IF(AND(ISNUMBER(X84),X84&lt;=0),"OVERDUE",IF(AND(ISNUMBER(X84),X84&lt;=14),"WARNING",IF(U84&lt;&gt;"","ACTION","ON TRACK")))))))</f>
        <v/>
      </c>
      <c r="Z84" s="5">
        <f>IF(B84="","",IF(OR(T84&lt;&gt;"",R84&lt;&gt;"",P84&lt;&gt;"",N84&lt;&gt;"",K84&lt;&gt;""),TODAY()-MAX(T84,R84,P84,N84,K84),"—"))</f>
        <v/>
      </c>
      <c r="AA84" s="19">
        <f>IF(B84="","",IF(V84="11-결과등록완료","— 완료",IF(V84="01-미제출",IF(J84&lt;TODAY(),"계획서 제출 독촉 (OVERDUE)","계획서 제출 대기"),IF(V84="02-제출_미검토","설계자: 계획서 검토 착수",IF(V84="03-검토중","설계자: 승인 처리",IF(V84="04-검토중_보완","보완 요청 → 협력사 재제출 독촉",IF(V84="05-계획서승인","시험편 준비 현황 확인",IF(V84="06-BIW중단","BIW 생산팀 확인 → 일정 재수립",IF(V84="07-미인수","협력사 인수 독촉",IF(V84="08-단품준비완료","시험 일정 확인",IF(V84="09-시험준비중","시험 진행 모니터링",IF(V84="10-시험완료","결과 보고서 전산 등록 독촉",IF(V84="12-조건부승인","조건부 승인 여부 판단 → 관련부서 협의","—")))))))))))))</f>
        <v/>
      </c>
      <c r="AB84" s="15" t="n"/>
    </row>
    <row r="85">
      <c r="A85" s="5">
        <f>IF(B85="","",ROW()-4)</f>
        <v/>
      </c>
      <c r="B85" s="13" t="n"/>
      <c r="C85" s="14">
        <f>IF(B85="","",IFERROR(VLOOKUP(D85,'Reference Data 기준데이터'!$A$30:$D$41,2,FALSE),""))</f>
        <v/>
      </c>
      <c r="D85" s="15" t="n"/>
      <c r="E85" s="14">
        <f>IF(B85="","",IFERROR(VLOOKUP(D85,'Reference Data 기준데이터'!$A$30:$D$41,3,FALSE),""))</f>
        <v/>
      </c>
      <c r="F85" s="15" t="n"/>
      <c r="G85" s="14">
        <f>IF(B85="","",IFERROR(VLOOKUP(F85,'Reference Data 기준데이터'!$A$9:$E$26,2,FALSE),""))</f>
        <v/>
      </c>
      <c r="H85" s="14">
        <f>IF(B85="","",IFERROR(VLOOKUP(F85,'Reference Data 기준데이터'!$A$9:$E$26,5,FALSE),""))</f>
        <v/>
      </c>
      <c r="I85" s="16">
        <f>IF(B85="","",IFERROR(VLOOKUP(B85,'Reference Data 기준데이터'!$A$3:$J$5,3,FALSE),""))</f>
        <v/>
      </c>
      <c r="J85" s="16">
        <f>IF(B85="","",IFERROR(I85+VLOOKUP(B85,'Reference Data 기준데이터'!$A$3:$J$5,7,FALSE),""))</f>
        <v/>
      </c>
      <c r="K85" s="20" t="n"/>
      <c r="L85" s="13" t="n"/>
      <c r="M85" s="16">
        <f>IF(B85="","",IFERROR(I85+VLOOKUP(B85,'Reference Data 기준데이터'!$A$3:$J$5,8,FALSE),""))</f>
        <v/>
      </c>
      <c r="N85" s="20" t="n"/>
      <c r="O85" s="16">
        <f>IF(B85="","",IFERROR(IF(G85="차량장착",MAX(I85+VLOOKUP(B85,'Reference Data 기준데이터'!$A$3:$J$5,9,FALSE),VLOOKUP(B85,'Reference Data 기준데이터'!$A$3:$J$5,4,FALSE)),I85+VLOOKUP(B85,'Reference Data 기준데이터'!$A$3:$J$5,9,FALSE)),""))</f>
        <v/>
      </c>
      <c r="P85" s="20" t="n"/>
      <c r="Q85" s="16">
        <f>IF(B85="","",IFERROR(O85+VLOOKUP(F85,'Reference Data 기준데이터'!$A$9:$E$26,4,FALSE),""))</f>
        <v/>
      </c>
      <c r="R85" s="20" t="n"/>
      <c r="S85" s="16">
        <f>IF(B85="","",IFERROR(MIN(I85+VLOOKUP(B85,'Reference Data 기준데이터'!$A$3:$J$5,10,FALSE),VLOOKUP(B85,'Reference Data 기준데이터'!$A$3:$J$5,6,FALSE)),""))</f>
        <v/>
      </c>
      <c r="T85" s="20" t="n"/>
      <c r="U85" s="13" t="n"/>
      <c r="V85" s="17">
        <f>IF(B85="","",IF(U85&lt;&gt;"",U85,IF(AND(T85&lt;&gt;"",R85&lt;&gt;""),"11-결과등록완료",IF(AND(R85&lt;&gt;"",T85=""),"10-시험완료",IF(AND(P85&lt;&gt;"",R85=""),"09-시험준비중",IF(AND(N85&lt;&gt;"",P85=""),"08-단품준비완료",IF(L85="Approved","05-계획서승인",IF(L85="Revision Needed","04-검토중_보완",IF(L85="Under Review","03-검토중",IF(AND(K85&lt;&gt;"",L85=""),"02-제출_미검토","01-미제출"))))))))))</f>
        <v/>
      </c>
      <c r="W85" s="18">
        <f>IF(B85="","",IFS(V85="01-미제출",0,V85="02-제출_미검토",0.05,V85="03-검토중",0.1,V85="04-검토중_보완",0.05,V85="05-계획서승인",0.2,V85="06-BIW중단",0.15,V85="07-미인수",0.3,V85="08-단품준비완료",0.4,V85="09-시험준비중",0.55,V85="10-시험완료",0.85,V85="11-결과등록완료",1,V85="12-조건부승인",0.9,TRUE,0))</f>
        <v/>
      </c>
      <c r="X85" s="5">
        <f>IF(B85="","",IF(T85&lt;&gt;"","-",IF(S85="","N/A",S85-TODAY())))</f>
        <v/>
      </c>
      <c r="Y85" s="17">
        <f>IF(B85="","",IF(V85="11-결과등록완료","DONE",IF(U85="06-BIW중단","BLOCKED",IF(AND(K85="",J85&lt;TODAY()),"CRITICAL",IF(AND(ISNUMBER(X85),X85&lt;=0),"OVERDUE",IF(AND(ISNUMBER(X85),X85&lt;=14),"WARNING",IF(U85&lt;&gt;"","ACTION","ON TRACK")))))))</f>
        <v/>
      </c>
      <c r="Z85" s="5">
        <f>IF(B85="","",IF(OR(T85&lt;&gt;"",R85&lt;&gt;"",P85&lt;&gt;"",N85&lt;&gt;"",K85&lt;&gt;""),TODAY()-MAX(T85,R85,P85,N85,K85),"—"))</f>
        <v/>
      </c>
      <c r="AA85" s="19">
        <f>IF(B85="","",IF(V85="11-결과등록완료","— 완료",IF(V85="01-미제출",IF(J85&lt;TODAY(),"계획서 제출 독촉 (OVERDUE)","계획서 제출 대기"),IF(V85="02-제출_미검토","설계자: 계획서 검토 착수",IF(V85="03-검토중","설계자: 승인 처리",IF(V85="04-검토중_보완","보완 요청 → 협력사 재제출 독촉",IF(V85="05-계획서승인","시험편 준비 현황 확인",IF(V85="06-BIW중단","BIW 생산팀 확인 → 일정 재수립",IF(V85="07-미인수","협력사 인수 독촉",IF(V85="08-단품준비완료","시험 일정 확인",IF(V85="09-시험준비중","시험 진행 모니터링",IF(V85="10-시험완료","결과 보고서 전산 등록 독촉",IF(V85="12-조건부승인","조건부 승인 여부 판단 → 관련부서 협의","—")))))))))))))</f>
        <v/>
      </c>
      <c r="AB85" s="15" t="n"/>
    </row>
    <row r="86">
      <c r="A86" s="5">
        <f>IF(B86="","",ROW()-4)</f>
        <v/>
      </c>
      <c r="B86" s="13" t="n"/>
      <c r="C86" s="14">
        <f>IF(B86="","",IFERROR(VLOOKUP(D86,'Reference Data 기준데이터'!$A$30:$D$41,2,FALSE),""))</f>
        <v/>
      </c>
      <c r="D86" s="15" t="n"/>
      <c r="E86" s="14">
        <f>IF(B86="","",IFERROR(VLOOKUP(D86,'Reference Data 기준데이터'!$A$30:$D$41,3,FALSE),""))</f>
        <v/>
      </c>
      <c r="F86" s="15" t="n"/>
      <c r="G86" s="14">
        <f>IF(B86="","",IFERROR(VLOOKUP(F86,'Reference Data 기준데이터'!$A$9:$E$26,2,FALSE),""))</f>
        <v/>
      </c>
      <c r="H86" s="14">
        <f>IF(B86="","",IFERROR(VLOOKUP(F86,'Reference Data 기준데이터'!$A$9:$E$26,5,FALSE),""))</f>
        <v/>
      </c>
      <c r="I86" s="16">
        <f>IF(B86="","",IFERROR(VLOOKUP(B86,'Reference Data 기준데이터'!$A$3:$J$5,3,FALSE),""))</f>
        <v/>
      </c>
      <c r="J86" s="16">
        <f>IF(B86="","",IFERROR(I86+VLOOKUP(B86,'Reference Data 기준데이터'!$A$3:$J$5,7,FALSE),""))</f>
        <v/>
      </c>
      <c r="K86" s="20" t="n"/>
      <c r="L86" s="13" t="n"/>
      <c r="M86" s="16">
        <f>IF(B86="","",IFERROR(I86+VLOOKUP(B86,'Reference Data 기준데이터'!$A$3:$J$5,8,FALSE),""))</f>
        <v/>
      </c>
      <c r="N86" s="20" t="n"/>
      <c r="O86" s="16">
        <f>IF(B86="","",IFERROR(IF(G86="차량장착",MAX(I86+VLOOKUP(B86,'Reference Data 기준데이터'!$A$3:$J$5,9,FALSE),VLOOKUP(B86,'Reference Data 기준데이터'!$A$3:$J$5,4,FALSE)),I86+VLOOKUP(B86,'Reference Data 기준데이터'!$A$3:$J$5,9,FALSE)),""))</f>
        <v/>
      </c>
      <c r="P86" s="20" t="n"/>
      <c r="Q86" s="16">
        <f>IF(B86="","",IFERROR(O86+VLOOKUP(F86,'Reference Data 기준데이터'!$A$9:$E$26,4,FALSE),""))</f>
        <v/>
      </c>
      <c r="R86" s="20" t="n"/>
      <c r="S86" s="16">
        <f>IF(B86="","",IFERROR(MIN(I86+VLOOKUP(B86,'Reference Data 기준데이터'!$A$3:$J$5,10,FALSE),VLOOKUP(B86,'Reference Data 기준데이터'!$A$3:$J$5,6,FALSE)),""))</f>
        <v/>
      </c>
      <c r="T86" s="20" t="n"/>
      <c r="U86" s="13" t="n"/>
      <c r="V86" s="17">
        <f>IF(B86="","",IF(U86&lt;&gt;"",U86,IF(AND(T86&lt;&gt;"",R86&lt;&gt;""),"11-결과등록완료",IF(AND(R86&lt;&gt;"",T86=""),"10-시험완료",IF(AND(P86&lt;&gt;"",R86=""),"09-시험준비중",IF(AND(N86&lt;&gt;"",P86=""),"08-단품준비완료",IF(L86="Approved","05-계획서승인",IF(L86="Revision Needed","04-검토중_보완",IF(L86="Under Review","03-검토중",IF(AND(K86&lt;&gt;"",L86=""),"02-제출_미검토","01-미제출"))))))))))</f>
        <v/>
      </c>
      <c r="W86" s="18">
        <f>IF(B86="","",IFS(V86="01-미제출",0,V86="02-제출_미검토",0.05,V86="03-검토중",0.1,V86="04-검토중_보완",0.05,V86="05-계획서승인",0.2,V86="06-BIW중단",0.15,V86="07-미인수",0.3,V86="08-단품준비완료",0.4,V86="09-시험준비중",0.55,V86="10-시험완료",0.85,V86="11-결과등록완료",1,V86="12-조건부승인",0.9,TRUE,0))</f>
        <v/>
      </c>
      <c r="X86" s="5">
        <f>IF(B86="","",IF(T86&lt;&gt;"","-",IF(S86="","N/A",S86-TODAY())))</f>
        <v/>
      </c>
      <c r="Y86" s="17">
        <f>IF(B86="","",IF(V86="11-결과등록완료","DONE",IF(U86="06-BIW중단","BLOCKED",IF(AND(K86="",J86&lt;TODAY()),"CRITICAL",IF(AND(ISNUMBER(X86),X86&lt;=0),"OVERDUE",IF(AND(ISNUMBER(X86),X86&lt;=14),"WARNING",IF(U86&lt;&gt;"","ACTION","ON TRACK")))))))</f>
        <v/>
      </c>
      <c r="Z86" s="5">
        <f>IF(B86="","",IF(OR(T86&lt;&gt;"",R86&lt;&gt;"",P86&lt;&gt;"",N86&lt;&gt;"",K86&lt;&gt;""),TODAY()-MAX(T86,R86,P86,N86,K86),"—"))</f>
        <v/>
      </c>
      <c r="AA86" s="19">
        <f>IF(B86="","",IF(V86="11-결과등록완료","— 완료",IF(V86="01-미제출",IF(J86&lt;TODAY(),"계획서 제출 독촉 (OVERDUE)","계획서 제출 대기"),IF(V86="02-제출_미검토","설계자: 계획서 검토 착수",IF(V86="03-검토중","설계자: 승인 처리",IF(V86="04-검토중_보완","보완 요청 → 협력사 재제출 독촉",IF(V86="05-계획서승인","시험편 준비 현황 확인",IF(V86="06-BIW중단","BIW 생산팀 확인 → 일정 재수립",IF(V86="07-미인수","협력사 인수 독촉",IF(V86="08-단품준비완료","시험 일정 확인",IF(V86="09-시험준비중","시험 진행 모니터링",IF(V86="10-시험완료","결과 보고서 전산 등록 독촉",IF(V86="12-조건부승인","조건부 승인 여부 판단 → 관련부서 협의","—")))))))))))))</f>
        <v/>
      </c>
      <c r="AB86" s="15" t="n"/>
    </row>
    <row r="87">
      <c r="A87" s="5">
        <f>IF(B87="","",ROW()-4)</f>
        <v/>
      </c>
      <c r="B87" s="13" t="n"/>
      <c r="C87" s="14">
        <f>IF(B87="","",IFERROR(VLOOKUP(D87,'Reference Data 기준데이터'!$A$30:$D$41,2,FALSE),""))</f>
        <v/>
      </c>
      <c r="D87" s="15" t="n"/>
      <c r="E87" s="14">
        <f>IF(B87="","",IFERROR(VLOOKUP(D87,'Reference Data 기준데이터'!$A$30:$D$41,3,FALSE),""))</f>
        <v/>
      </c>
      <c r="F87" s="15" t="n"/>
      <c r="G87" s="14">
        <f>IF(B87="","",IFERROR(VLOOKUP(F87,'Reference Data 기준데이터'!$A$9:$E$26,2,FALSE),""))</f>
        <v/>
      </c>
      <c r="H87" s="14">
        <f>IF(B87="","",IFERROR(VLOOKUP(F87,'Reference Data 기준데이터'!$A$9:$E$26,5,FALSE),""))</f>
        <v/>
      </c>
      <c r="I87" s="16">
        <f>IF(B87="","",IFERROR(VLOOKUP(B87,'Reference Data 기준데이터'!$A$3:$J$5,3,FALSE),""))</f>
        <v/>
      </c>
      <c r="J87" s="16">
        <f>IF(B87="","",IFERROR(I87+VLOOKUP(B87,'Reference Data 기준데이터'!$A$3:$J$5,7,FALSE),""))</f>
        <v/>
      </c>
      <c r="K87" s="20" t="n"/>
      <c r="L87" s="13" t="n"/>
      <c r="M87" s="16">
        <f>IF(B87="","",IFERROR(I87+VLOOKUP(B87,'Reference Data 기준데이터'!$A$3:$J$5,8,FALSE),""))</f>
        <v/>
      </c>
      <c r="N87" s="20" t="n"/>
      <c r="O87" s="16">
        <f>IF(B87="","",IFERROR(IF(G87="차량장착",MAX(I87+VLOOKUP(B87,'Reference Data 기준데이터'!$A$3:$J$5,9,FALSE),VLOOKUP(B87,'Reference Data 기준데이터'!$A$3:$J$5,4,FALSE)),I87+VLOOKUP(B87,'Reference Data 기준데이터'!$A$3:$J$5,9,FALSE)),""))</f>
        <v/>
      </c>
      <c r="P87" s="20" t="n"/>
      <c r="Q87" s="16">
        <f>IF(B87="","",IFERROR(O87+VLOOKUP(F87,'Reference Data 기준데이터'!$A$9:$E$26,4,FALSE),""))</f>
        <v/>
      </c>
      <c r="R87" s="20" t="n"/>
      <c r="S87" s="16">
        <f>IF(B87="","",IFERROR(MIN(I87+VLOOKUP(B87,'Reference Data 기준데이터'!$A$3:$J$5,10,FALSE),VLOOKUP(B87,'Reference Data 기준데이터'!$A$3:$J$5,6,FALSE)),""))</f>
        <v/>
      </c>
      <c r="T87" s="20" t="n"/>
      <c r="U87" s="13" t="n"/>
      <c r="V87" s="17">
        <f>IF(B87="","",IF(U87&lt;&gt;"",U87,IF(AND(T87&lt;&gt;"",R87&lt;&gt;""),"11-결과등록완료",IF(AND(R87&lt;&gt;"",T87=""),"10-시험완료",IF(AND(P87&lt;&gt;"",R87=""),"09-시험준비중",IF(AND(N87&lt;&gt;"",P87=""),"08-단품준비완료",IF(L87="Approved","05-계획서승인",IF(L87="Revision Needed","04-검토중_보완",IF(L87="Under Review","03-검토중",IF(AND(K87&lt;&gt;"",L87=""),"02-제출_미검토","01-미제출"))))))))))</f>
        <v/>
      </c>
      <c r="W87" s="18">
        <f>IF(B87="","",IFS(V87="01-미제출",0,V87="02-제출_미검토",0.05,V87="03-검토중",0.1,V87="04-검토중_보완",0.05,V87="05-계획서승인",0.2,V87="06-BIW중단",0.15,V87="07-미인수",0.3,V87="08-단품준비완료",0.4,V87="09-시험준비중",0.55,V87="10-시험완료",0.85,V87="11-결과등록완료",1,V87="12-조건부승인",0.9,TRUE,0))</f>
        <v/>
      </c>
      <c r="X87" s="5">
        <f>IF(B87="","",IF(T87&lt;&gt;"","-",IF(S87="","N/A",S87-TODAY())))</f>
        <v/>
      </c>
      <c r="Y87" s="17">
        <f>IF(B87="","",IF(V87="11-결과등록완료","DONE",IF(U87="06-BIW중단","BLOCKED",IF(AND(K87="",J87&lt;TODAY()),"CRITICAL",IF(AND(ISNUMBER(X87),X87&lt;=0),"OVERDUE",IF(AND(ISNUMBER(X87),X87&lt;=14),"WARNING",IF(U87&lt;&gt;"","ACTION","ON TRACK")))))))</f>
        <v/>
      </c>
      <c r="Z87" s="5">
        <f>IF(B87="","",IF(OR(T87&lt;&gt;"",R87&lt;&gt;"",P87&lt;&gt;"",N87&lt;&gt;"",K87&lt;&gt;""),TODAY()-MAX(T87,R87,P87,N87,K87),"—"))</f>
        <v/>
      </c>
      <c r="AA87" s="19">
        <f>IF(B87="","",IF(V87="11-결과등록완료","— 완료",IF(V87="01-미제출",IF(J87&lt;TODAY(),"계획서 제출 독촉 (OVERDUE)","계획서 제출 대기"),IF(V87="02-제출_미검토","설계자: 계획서 검토 착수",IF(V87="03-검토중","설계자: 승인 처리",IF(V87="04-검토중_보완","보완 요청 → 협력사 재제출 독촉",IF(V87="05-계획서승인","시험편 준비 현황 확인",IF(V87="06-BIW중단","BIW 생산팀 확인 → 일정 재수립",IF(V87="07-미인수","협력사 인수 독촉",IF(V87="08-단품준비완료","시험 일정 확인",IF(V87="09-시험준비중","시험 진행 모니터링",IF(V87="10-시험완료","결과 보고서 전산 등록 독촉",IF(V87="12-조건부승인","조건부 승인 여부 판단 → 관련부서 협의","—")))))))))))))</f>
        <v/>
      </c>
      <c r="AB87" s="15" t="n"/>
    </row>
    <row r="88">
      <c r="A88" s="5">
        <f>IF(B88="","",ROW()-4)</f>
        <v/>
      </c>
      <c r="B88" s="13" t="n"/>
      <c r="C88" s="14">
        <f>IF(B88="","",IFERROR(VLOOKUP(D88,'Reference Data 기준데이터'!$A$30:$D$41,2,FALSE),""))</f>
        <v/>
      </c>
      <c r="D88" s="15" t="n"/>
      <c r="E88" s="14">
        <f>IF(B88="","",IFERROR(VLOOKUP(D88,'Reference Data 기준데이터'!$A$30:$D$41,3,FALSE),""))</f>
        <v/>
      </c>
      <c r="F88" s="15" t="n"/>
      <c r="G88" s="14">
        <f>IF(B88="","",IFERROR(VLOOKUP(F88,'Reference Data 기준데이터'!$A$9:$E$26,2,FALSE),""))</f>
        <v/>
      </c>
      <c r="H88" s="14">
        <f>IF(B88="","",IFERROR(VLOOKUP(F88,'Reference Data 기준데이터'!$A$9:$E$26,5,FALSE),""))</f>
        <v/>
      </c>
      <c r="I88" s="16">
        <f>IF(B88="","",IFERROR(VLOOKUP(B88,'Reference Data 기준데이터'!$A$3:$J$5,3,FALSE),""))</f>
        <v/>
      </c>
      <c r="J88" s="16">
        <f>IF(B88="","",IFERROR(I88+VLOOKUP(B88,'Reference Data 기준데이터'!$A$3:$J$5,7,FALSE),""))</f>
        <v/>
      </c>
      <c r="K88" s="20" t="n"/>
      <c r="L88" s="13" t="n"/>
      <c r="M88" s="16">
        <f>IF(B88="","",IFERROR(I88+VLOOKUP(B88,'Reference Data 기준데이터'!$A$3:$J$5,8,FALSE),""))</f>
        <v/>
      </c>
      <c r="N88" s="20" t="n"/>
      <c r="O88" s="16">
        <f>IF(B88="","",IFERROR(IF(G88="차량장착",MAX(I88+VLOOKUP(B88,'Reference Data 기준데이터'!$A$3:$J$5,9,FALSE),VLOOKUP(B88,'Reference Data 기준데이터'!$A$3:$J$5,4,FALSE)),I88+VLOOKUP(B88,'Reference Data 기준데이터'!$A$3:$J$5,9,FALSE)),""))</f>
        <v/>
      </c>
      <c r="P88" s="20" t="n"/>
      <c r="Q88" s="16">
        <f>IF(B88="","",IFERROR(O88+VLOOKUP(F88,'Reference Data 기준데이터'!$A$9:$E$26,4,FALSE),""))</f>
        <v/>
      </c>
      <c r="R88" s="20" t="n"/>
      <c r="S88" s="16">
        <f>IF(B88="","",IFERROR(MIN(I88+VLOOKUP(B88,'Reference Data 기준데이터'!$A$3:$J$5,10,FALSE),VLOOKUP(B88,'Reference Data 기준데이터'!$A$3:$J$5,6,FALSE)),""))</f>
        <v/>
      </c>
      <c r="T88" s="20" t="n"/>
      <c r="U88" s="13" t="n"/>
      <c r="V88" s="17">
        <f>IF(B88="","",IF(U88&lt;&gt;"",U88,IF(AND(T88&lt;&gt;"",R88&lt;&gt;""),"11-결과등록완료",IF(AND(R88&lt;&gt;"",T88=""),"10-시험완료",IF(AND(P88&lt;&gt;"",R88=""),"09-시험준비중",IF(AND(N88&lt;&gt;"",P88=""),"08-단품준비완료",IF(L88="Approved","05-계획서승인",IF(L88="Revision Needed","04-검토중_보완",IF(L88="Under Review","03-검토중",IF(AND(K88&lt;&gt;"",L88=""),"02-제출_미검토","01-미제출"))))))))))</f>
        <v/>
      </c>
      <c r="W88" s="18">
        <f>IF(B88="","",IFS(V88="01-미제출",0,V88="02-제출_미검토",0.05,V88="03-검토중",0.1,V88="04-검토중_보완",0.05,V88="05-계획서승인",0.2,V88="06-BIW중단",0.15,V88="07-미인수",0.3,V88="08-단품준비완료",0.4,V88="09-시험준비중",0.55,V88="10-시험완료",0.85,V88="11-결과등록완료",1,V88="12-조건부승인",0.9,TRUE,0))</f>
        <v/>
      </c>
      <c r="X88" s="5">
        <f>IF(B88="","",IF(T88&lt;&gt;"","-",IF(S88="","N/A",S88-TODAY())))</f>
        <v/>
      </c>
      <c r="Y88" s="17">
        <f>IF(B88="","",IF(V88="11-결과등록완료","DONE",IF(U88="06-BIW중단","BLOCKED",IF(AND(K88="",J88&lt;TODAY()),"CRITICAL",IF(AND(ISNUMBER(X88),X88&lt;=0),"OVERDUE",IF(AND(ISNUMBER(X88),X88&lt;=14),"WARNING",IF(U88&lt;&gt;"","ACTION","ON TRACK")))))))</f>
        <v/>
      </c>
      <c r="Z88" s="5">
        <f>IF(B88="","",IF(OR(T88&lt;&gt;"",R88&lt;&gt;"",P88&lt;&gt;"",N88&lt;&gt;"",K88&lt;&gt;""),TODAY()-MAX(T88,R88,P88,N88,K88),"—"))</f>
        <v/>
      </c>
      <c r="AA88" s="19">
        <f>IF(B88="","",IF(V88="11-결과등록완료","— 완료",IF(V88="01-미제출",IF(J88&lt;TODAY(),"계획서 제출 독촉 (OVERDUE)","계획서 제출 대기"),IF(V88="02-제출_미검토","설계자: 계획서 검토 착수",IF(V88="03-검토중","설계자: 승인 처리",IF(V88="04-검토중_보완","보완 요청 → 협력사 재제출 독촉",IF(V88="05-계획서승인","시험편 준비 현황 확인",IF(V88="06-BIW중단","BIW 생산팀 확인 → 일정 재수립",IF(V88="07-미인수","협력사 인수 독촉",IF(V88="08-단품준비완료","시험 일정 확인",IF(V88="09-시험준비중","시험 진행 모니터링",IF(V88="10-시험완료","결과 보고서 전산 등록 독촉",IF(V88="12-조건부승인","조건부 승인 여부 판단 → 관련부서 협의","—")))))))))))))</f>
        <v/>
      </c>
      <c r="AB88" s="15" t="n"/>
    </row>
    <row r="89">
      <c r="A89" s="5">
        <f>IF(B89="","",ROW()-4)</f>
        <v/>
      </c>
      <c r="B89" s="13" t="n"/>
      <c r="C89" s="14">
        <f>IF(B89="","",IFERROR(VLOOKUP(D89,'Reference Data 기준데이터'!$A$30:$D$41,2,FALSE),""))</f>
        <v/>
      </c>
      <c r="D89" s="15" t="n"/>
      <c r="E89" s="14">
        <f>IF(B89="","",IFERROR(VLOOKUP(D89,'Reference Data 기준데이터'!$A$30:$D$41,3,FALSE),""))</f>
        <v/>
      </c>
      <c r="F89" s="15" t="n"/>
      <c r="G89" s="14">
        <f>IF(B89="","",IFERROR(VLOOKUP(F89,'Reference Data 기준데이터'!$A$9:$E$26,2,FALSE),""))</f>
        <v/>
      </c>
      <c r="H89" s="14">
        <f>IF(B89="","",IFERROR(VLOOKUP(F89,'Reference Data 기준데이터'!$A$9:$E$26,5,FALSE),""))</f>
        <v/>
      </c>
      <c r="I89" s="16">
        <f>IF(B89="","",IFERROR(VLOOKUP(B89,'Reference Data 기준데이터'!$A$3:$J$5,3,FALSE),""))</f>
        <v/>
      </c>
      <c r="J89" s="16">
        <f>IF(B89="","",IFERROR(I89+VLOOKUP(B89,'Reference Data 기준데이터'!$A$3:$J$5,7,FALSE),""))</f>
        <v/>
      </c>
      <c r="K89" s="20" t="n"/>
      <c r="L89" s="13" t="n"/>
      <c r="M89" s="16">
        <f>IF(B89="","",IFERROR(I89+VLOOKUP(B89,'Reference Data 기준데이터'!$A$3:$J$5,8,FALSE),""))</f>
        <v/>
      </c>
      <c r="N89" s="20" t="n"/>
      <c r="O89" s="16">
        <f>IF(B89="","",IFERROR(IF(G89="차량장착",MAX(I89+VLOOKUP(B89,'Reference Data 기준데이터'!$A$3:$J$5,9,FALSE),VLOOKUP(B89,'Reference Data 기준데이터'!$A$3:$J$5,4,FALSE)),I89+VLOOKUP(B89,'Reference Data 기준데이터'!$A$3:$J$5,9,FALSE)),""))</f>
        <v/>
      </c>
      <c r="P89" s="20" t="n"/>
      <c r="Q89" s="16">
        <f>IF(B89="","",IFERROR(O89+VLOOKUP(F89,'Reference Data 기준데이터'!$A$9:$E$26,4,FALSE),""))</f>
        <v/>
      </c>
      <c r="R89" s="20" t="n"/>
      <c r="S89" s="16">
        <f>IF(B89="","",IFERROR(MIN(I89+VLOOKUP(B89,'Reference Data 기준데이터'!$A$3:$J$5,10,FALSE),VLOOKUP(B89,'Reference Data 기준데이터'!$A$3:$J$5,6,FALSE)),""))</f>
        <v/>
      </c>
      <c r="T89" s="20" t="n"/>
      <c r="U89" s="13" t="n"/>
      <c r="V89" s="17">
        <f>IF(B89="","",IF(U89&lt;&gt;"",U89,IF(AND(T89&lt;&gt;"",R89&lt;&gt;""),"11-결과등록완료",IF(AND(R89&lt;&gt;"",T89=""),"10-시험완료",IF(AND(P89&lt;&gt;"",R89=""),"09-시험준비중",IF(AND(N89&lt;&gt;"",P89=""),"08-단품준비완료",IF(L89="Approved","05-계획서승인",IF(L89="Revision Needed","04-검토중_보완",IF(L89="Under Review","03-검토중",IF(AND(K89&lt;&gt;"",L89=""),"02-제출_미검토","01-미제출"))))))))))</f>
        <v/>
      </c>
      <c r="W89" s="18">
        <f>IF(B89="","",IFS(V89="01-미제출",0,V89="02-제출_미검토",0.05,V89="03-검토중",0.1,V89="04-검토중_보완",0.05,V89="05-계획서승인",0.2,V89="06-BIW중단",0.15,V89="07-미인수",0.3,V89="08-단품준비완료",0.4,V89="09-시험준비중",0.55,V89="10-시험완료",0.85,V89="11-결과등록완료",1,V89="12-조건부승인",0.9,TRUE,0))</f>
        <v/>
      </c>
      <c r="X89" s="5">
        <f>IF(B89="","",IF(T89&lt;&gt;"","-",IF(S89="","N/A",S89-TODAY())))</f>
        <v/>
      </c>
      <c r="Y89" s="17">
        <f>IF(B89="","",IF(V89="11-결과등록완료","DONE",IF(U89="06-BIW중단","BLOCKED",IF(AND(K89="",J89&lt;TODAY()),"CRITICAL",IF(AND(ISNUMBER(X89),X89&lt;=0),"OVERDUE",IF(AND(ISNUMBER(X89),X89&lt;=14),"WARNING",IF(U89&lt;&gt;"","ACTION","ON TRACK")))))))</f>
        <v/>
      </c>
      <c r="Z89" s="5">
        <f>IF(B89="","",IF(OR(T89&lt;&gt;"",R89&lt;&gt;"",P89&lt;&gt;"",N89&lt;&gt;"",K89&lt;&gt;""),TODAY()-MAX(T89,R89,P89,N89,K89),"—"))</f>
        <v/>
      </c>
      <c r="AA89" s="19">
        <f>IF(B89="","",IF(V89="11-결과등록완료","— 완료",IF(V89="01-미제출",IF(J89&lt;TODAY(),"계획서 제출 독촉 (OVERDUE)","계획서 제출 대기"),IF(V89="02-제출_미검토","설계자: 계획서 검토 착수",IF(V89="03-검토중","설계자: 승인 처리",IF(V89="04-검토중_보완","보완 요청 → 협력사 재제출 독촉",IF(V89="05-계획서승인","시험편 준비 현황 확인",IF(V89="06-BIW중단","BIW 생산팀 확인 → 일정 재수립",IF(V89="07-미인수","협력사 인수 독촉",IF(V89="08-단품준비완료","시험 일정 확인",IF(V89="09-시험준비중","시험 진행 모니터링",IF(V89="10-시험완료","결과 보고서 전산 등록 독촉",IF(V89="12-조건부승인","조건부 승인 여부 판단 → 관련부서 협의","—")))))))))))))</f>
        <v/>
      </c>
      <c r="AB89" s="15" t="n"/>
    </row>
    <row r="90">
      <c r="A90" s="5">
        <f>IF(B90="","",ROW()-4)</f>
        <v/>
      </c>
      <c r="B90" s="13" t="n"/>
      <c r="C90" s="14">
        <f>IF(B90="","",IFERROR(VLOOKUP(D90,'Reference Data 기준데이터'!$A$30:$D$41,2,FALSE),""))</f>
        <v/>
      </c>
      <c r="D90" s="15" t="n"/>
      <c r="E90" s="14">
        <f>IF(B90="","",IFERROR(VLOOKUP(D90,'Reference Data 기준데이터'!$A$30:$D$41,3,FALSE),""))</f>
        <v/>
      </c>
      <c r="F90" s="15" t="n"/>
      <c r="G90" s="14">
        <f>IF(B90="","",IFERROR(VLOOKUP(F90,'Reference Data 기준데이터'!$A$9:$E$26,2,FALSE),""))</f>
        <v/>
      </c>
      <c r="H90" s="14">
        <f>IF(B90="","",IFERROR(VLOOKUP(F90,'Reference Data 기준데이터'!$A$9:$E$26,5,FALSE),""))</f>
        <v/>
      </c>
      <c r="I90" s="16">
        <f>IF(B90="","",IFERROR(VLOOKUP(B90,'Reference Data 기준데이터'!$A$3:$J$5,3,FALSE),""))</f>
        <v/>
      </c>
      <c r="J90" s="16">
        <f>IF(B90="","",IFERROR(I90+VLOOKUP(B90,'Reference Data 기준데이터'!$A$3:$J$5,7,FALSE),""))</f>
        <v/>
      </c>
      <c r="K90" s="20" t="n"/>
      <c r="L90" s="13" t="n"/>
      <c r="M90" s="16">
        <f>IF(B90="","",IFERROR(I90+VLOOKUP(B90,'Reference Data 기준데이터'!$A$3:$J$5,8,FALSE),""))</f>
        <v/>
      </c>
      <c r="N90" s="20" t="n"/>
      <c r="O90" s="16">
        <f>IF(B90="","",IFERROR(IF(G90="차량장착",MAX(I90+VLOOKUP(B90,'Reference Data 기준데이터'!$A$3:$J$5,9,FALSE),VLOOKUP(B90,'Reference Data 기준데이터'!$A$3:$J$5,4,FALSE)),I90+VLOOKUP(B90,'Reference Data 기준데이터'!$A$3:$J$5,9,FALSE)),""))</f>
        <v/>
      </c>
      <c r="P90" s="20" t="n"/>
      <c r="Q90" s="16">
        <f>IF(B90="","",IFERROR(O90+VLOOKUP(F90,'Reference Data 기준데이터'!$A$9:$E$26,4,FALSE),""))</f>
        <v/>
      </c>
      <c r="R90" s="20" t="n"/>
      <c r="S90" s="16">
        <f>IF(B90="","",IFERROR(MIN(I90+VLOOKUP(B90,'Reference Data 기준데이터'!$A$3:$J$5,10,FALSE),VLOOKUP(B90,'Reference Data 기준데이터'!$A$3:$J$5,6,FALSE)),""))</f>
        <v/>
      </c>
      <c r="T90" s="20" t="n"/>
      <c r="U90" s="13" t="n"/>
      <c r="V90" s="17">
        <f>IF(B90="","",IF(U90&lt;&gt;"",U90,IF(AND(T90&lt;&gt;"",R90&lt;&gt;""),"11-결과등록완료",IF(AND(R90&lt;&gt;"",T90=""),"10-시험완료",IF(AND(P90&lt;&gt;"",R90=""),"09-시험준비중",IF(AND(N90&lt;&gt;"",P90=""),"08-단품준비완료",IF(L90="Approved","05-계획서승인",IF(L90="Revision Needed","04-검토중_보완",IF(L90="Under Review","03-검토중",IF(AND(K90&lt;&gt;"",L90=""),"02-제출_미검토","01-미제출"))))))))))</f>
        <v/>
      </c>
      <c r="W90" s="18">
        <f>IF(B90="","",IFS(V90="01-미제출",0,V90="02-제출_미검토",0.05,V90="03-검토중",0.1,V90="04-검토중_보완",0.05,V90="05-계획서승인",0.2,V90="06-BIW중단",0.15,V90="07-미인수",0.3,V90="08-단품준비완료",0.4,V90="09-시험준비중",0.55,V90="10-시험완료",0.85,V90="11-결과등록완료",1,V90="12-조건부승인",0.9,TRUE,0))</f>
        <v/>
      </c>
      <c r="X90" s="5">
        <f>IF(B90="","",IF(T90&lt;&gt;"","-",IF(S90="","N/A",S90-TODAY())))</f>
        <v/>
      </c>
      <c r="Y90" s="17">
        <f>IF(B90="","",IF(V90="11-결과등록완료","DONE",IF(U90="06-BIW중단","BLOCKED",IF(AND(K90="",J90&lt;TODAY()),"CRITICAL",IF(AND(ISNUMBER(X90),X90&lt;=0),"OVERDUE",IF(AND(ISNUMBER(X90),X90&lt;=14),"WARNING",IF(U90&lt;&gt;"","ACTION","ON TRACK")))))))</f>
        <v/>
      </c>
      <c r="Z90" s="5">
        <f>IF(B90="","",IF(OR(T90&lt;&gt;"",R90&lt;&gt;"",P90&lt;&gt;"",N90&lt;&gt;"",K90&lt;&gt;""),TODAY()-MAX(T90,R90,P90,N90,K90),"—"))</f>
        <v/>
      </c>
      <c r="AA90" s="19">
        <f>IF(B90="","",IF(V90="11-결과등록완료","— 완료",IF(V90="01-미제출",IF(J90&lt;TODAY(),"계획서 제출 독촉 (OVERDUE)","계획서 제출 대기"),IF(V90="02-제출_미검토","설계자: 계획서 검토 착수",IF(V90="03-검토중","설계자: 승인 처리",IF(V90="04-검토중_보완","보완 요청 → 협력사 재제출 독촉",IF(V90="05-계획서승인","시험편 준비 현황 확인",IF(V90="06-BIW중단","BIW 생산팀 확인 → 일정 재수립",IF(V90="07-미인수","협력사 인수 독촉",IF(V90="08-단품준비완료","시험 일정 확인",IF(V90="09-시험준비중","시험 진행 모니터링",IF(V90="10-시험완료","결과 보고서 전산 등록 독촉",IF(V90="12-조건부승인","조건부 승인 여부 판단 → 관련부서 협의","—")))))))))))))</f>
        <v/>
      </c>
      <c r="AB90" s="15" t="n"/>
    </row>
    <row r="91">
      <c r="A91" s="5">
        <f>IF(B91="","",ROW()-4)</f>
        <v/>
      </c>
      <c r="B91" s="13" t="n"/>
      <c r="C91" s="14">
        <f>IF(B91="","",IFERROR(VLOOKUP(D91,'Reference Data 기준데이터'!$A$30:$D$41,2,FALSE),""))</f>
        <v/>
      </c>
      <c r="D91" s="15" t="n"/>
      <c r="E91" s="14">
        <f>IF(B91="","",IFERROR(VLOOKUP(D91,'Reference Data 기준데이터'!$A$30:$D$41,3,FALSE),""))</f>
        <v/>
      </c>
      <c r="F91" s="15" t="n"/>
      <c r="G91" s="14">
        <f>IF(B91="","",IFERROR(VLOOKUP(F91,'Reference Data 기준데이터'!$A$9:$E$26,2,FALSE),""))</f>
        <v/>
      </c>
      <c r="H91" s="14">
        <f>IF(B91="","",IFERROR(VLOOKUP(F91,'Reference Data 기준데이터'!$A$9:$E$26,5,FALSE),""))</f>
        <v/>
      </c>
      <c r="I91" s="16">
        <f>IF(B91="","",IFERROR(VLOOKUP(B91,'Reference Data 기준데이터'!$A$3:$J$5,3,FALSE),""))</f>
        <v/>
      </c>
      <c r="J91" s="16">
        <f>IF(B91="","",IFERROR(I91+VLOOKUP(B91,'Reference Data 기준데이터'!$A$3:$J$5,7,FALSE),""))</f>
        <v/>
      </c>
      <c r="K91" s="20" t="n"/>
      <c r="L91" s="13" t="n"/>
      <c r="M91" s="16">
        <f>IF(B91="","",IFERROR(I91+VLOOKUP(B91,'Reference Data 기준데이터'!$A$3:$J$5,8,FALSE),""))</f>
        <v/>
      </c>
      <c r="N91" s="20" t="n"/>
      <c r="O91" s="16">
        <f>IF(B91="","",IFERROR(IF(G91="차량장착",MAX(I91+VLOOKUP(B91,'Reference Data 기준데이터'!$A$3:$J$5,9,FALSE),VLOOKUP(B91,'Reference Data 기준데이터'!$A$3:$J$5,4,FALSE)),I91+VLOOKUP(B91,'Reference Data 기준데이터'!$A$3:$J$5,9,FALSE)),""))</f>
        <v/>
      </c>
      <c r="P91" s="20" t="n"/>
      <c r="Q91" s="16">
        <f>IF(B91="","",IFERROR(O91+VLOOKUP(F91,'Reference Data 기준데이터'!$A$9:$E$26,4,FALSE),""))</f>
        <v/>
      </c>
      <c r="R91" s="20" t="n"/>
      <c r="S91" s="16">
        <f>IF(B91="","",IFERROR(MIN(I91+VLOOKUP(B91,'Reference Data 기준데이터'!$A$3:$J$5,10,FALSE),VLOOKUP(B91,'Reference Data 기준데이터'!$A$3:$J$5,6,FALSE)),""))</f>
        <v/>
      </c>
      <c r="T91" s="20" t="n"/>
      <c r="U91" s="13" t="n"/>
      <c r="V91" s="17">
        <f>IF(B91="","",IF(U91&lt;&gt;"",U91,IF(AND(T91&lt;&gt;"",R91&lt;&gt;""),"11-결과등록완료",IF(AND(R91&lt;&gt;"",T91=""),"10-시험완료",IF(AND(P91&lt;&gt;"",R91=""),"09-시험준비중",IF(AND(N91&lt;&gt;"",P91=""),"08-단품준비완료",IF(L91="Approved","05-계획서승인",IF(L91="Revision Needed","04-검토중_보완",IF(L91="Under Review","03-검토중",IF(AND(K91&lt;&gt;"",L91=""),"02-제출_미검토","01-미제출"))))))))))</f>
        <v/>
      </c>
      <c r="W91" s="18">
        <f>IF(B91="","",IFS(V91="01-미제출",0,V91="02-제출_미검토",0.05,V91="03-검토중",0.1,V91="04-검토중_보완",0.05,V91="05-계획서승인",0.2,V91="06-BIW중단",0.15,V91="07-미인수",0.3,V91="08-단품준비완료",0.4,V91="09-시험준비중",0.55,V91="10-시험완료",0.85,V91="11-결과등록완료",1,V91="12-조건부승인",0.9,TRUE,0))</f>
        <v/>
      </c>
      <c r="X91" s="5">
        <f>IF(B91="","",IF(T91&lt;&gt;"","-",IF(S91="","N/A",S91-TODAY())))</f>
        <v/>
      </c>
      <c r="Y91" s="17">
        <f>IF(B91="","",IF(V91="11-결과등록완료","DONE",IF(U91="06-BIW중단","BLOCKED",IF(AND(K91="",J91&lt;TODAY()),"CRITICAL",IF(AND(ISNUMBER(X91),X91&lt;=0),"OVERDUE",IF(AND(ISNUMBER(X91),X91&lt;=14),"WARNING",IF(U91&lt;&gt;"","ACTION","ON TRACK")))))))</f>
        <v/>
      </c>
      <c r="Z91" s="5">
        <f>IF(B91="","",IF(OR(T91&lt;&gt;"",R91&lt;&gt;"",P91&lt;&gt;"",N91&lt;&gt;"",K91&lt;&gt;""),TODAY()-MAX(T91,R91,P91,N91,K91),"—"))</f>
        <v/>
      </c>
      <c r="AA91" s="19">
        <f>IF(B91="","",IF(V91="11-결과등록완료","— 완료",IF(V91="01-미제출",IF(J91&lt;TODAY(),"계획서 제출 독촉 (OVERDUE)","계획서 제출 대기"),IF(V91="02-제출_미검토","설계자: 계획서 검토 착수",IF(V91="03-검토중","설계자: 승인 처리",IF(V91="04-검토중_보완","보완 요청 → 협력사 재제출 독촉",IF(V91="05-계획서승인","시험편 준비 현황 확인",IF(V91="06-BIW중단","BIW 생산팀 확인 → 일정 재수립",IF(V91="07-미인수","협력사 인수 독촉",IF(V91="08-단품준비완료","시험 일정 확인",IF(V91="09-시험준비중","시험 진행 모니터링",IF(V91="10-시험완료","결과 보고서 전산 등록 독촉",IF(V91="12-조건부승인","조건부 승인 여부 판단 → 관련부서 협의","—")))))))))))))</f>
        <v/>
      </c>
      <c r="AB91" s="15" t="n"/>
    </row>
    <row r="92">
      <c r="A92" s="5">
        <f>IF(B92="","",ROW()-4)</f>
        <v/>
      </c>
      <c r="B92" s="13" t="n"/>
      <c r="C92" s="14">
        <f>IF(B92="","",IFERROR(VLOOKUP(D92,'Reference Data 기준데이터'!$A$30:$D$41,2,FALSE),""))</f>
        <v/>
      </c>
      <c r="D92" s="15" t="n"/>
      <c r="E92" s="14">
        <f>IF(B92="","",IFERROR(VLOOKUP(D92,'Reference Data 기준데이터'!$A$30:$D$41,3,FALSE),""))</f>
        <v/>
      </c>
      <c r="F92" s="15" t="n"/>
      <c r="G92" s="14">
        <f>IF(B92="","",IFERROR(VLOOKUP(F92,'Reference Data 기준데이터'!$A$9:$E$26,2,FALSE),""))</f>
        <v/>
      </c>
      <c r="H92" s="14">
        <f>IF(B92="","",IFERROR(VLOOKUP(F92,'Reference Data 기준데이터'!$A$9:$E$26,5,FALSE),""))</f>
        <v/>
      </c>
      <c r="I92" s="16">
        <f>IF(B92="","",IFERROR(VLOOKUP(B92,'Reference Data 기준데이터'!$A$3:$J$5,3,FALSE),""))</f>
        <v/>
      </c>
      <c r="J92" s="16">
        <f>IF(B92="","",IFERROR(I92+VLOOKUP(B92,'Reference Data 기준데이터'!$A$3:$J$5,7,FALSE),""))</f>
        <v/>
      </c>
      <c r="K92" s="20" t="n"/>
      <c r="L92" s="13" t="n"/>
      <c r="M92" s="16">
        <f>IF(B92="","",IFERROR(I92+VLOOKUP(B92,'Reference Data 기준데이터'!$A$3:$J$5,8,FALSE),""))</f>
        <v/>
      </c>
      <c r="N92" s="20" t="n"/>
      <c r="O92" s="16">
        <f>IF(B92="","",IFERROR(IF(G92="차량장착",MAX(I92+VLOOKUP(B92,'Reference Data 기준데이터'!$A$3:$J$5,9,FALSE),VLOOKUP(B92,'Reference Data 기준데이터'!$A$3:$J$5,4,FALSE)),I92+VLOOKUP(B92,'Reference Data 기준데이터'!$A$3:$J$5,9,FALSE)),""))</f>
        <v/>
      </c>
      <c r="P92" s="20" t="n"/>
      <c r="Q92" s="16">
        <f>IF(B92="","",IFERROR(O92+VLOOKUP(F92,'Reference Data 기준데이터'!$A$9:$E$26,4,FALSE),""))</f>
        <v/>
      </c>
      <c r="R92" s="20" t="n"/>
      <c r="S92" s="16">
        <f>IF(B92="","",IFERROR(MIN(I92+VLOOKUP(B92,'Reference Data 기준데이터'!$A$3:$J$5,10,FALSE),VLOOKUP(B92,'Reference Data 기준데이터'!$A$3:$J$5,6,FALSE)),""))</f>
        <v/>
      </c>
      <c r="T92" s="20" t="n"/>
      <c r="U92" s="13" t="n"/>
      <c r="V92" s="17">
        <f>IF(B92="","",IF(U92&lt;&gt;"",U92,IF(AND(T92&lt;&gt;"",R92&lt;&gt;""),"11-결과등록완료",IF(AND(R92&lt;&gt;"",T92=""),"10-시험완료",IF(AND(P92&lt;&gt;"",R92=""),"09-시험준비중",IF(AND(N92&lt;&gt;"",P92=""),"08-단품준비완료",IF(L92="Approved","05-계획서승인",IF(L92="Revision Needed","04-검토중_보완",IF(L92="Under Review","03-검토중",IF(AND(K92&lt;&gt;"",L92=""),"02-제출_미검토","01-미제출"))))))))))</f>
        <v/>
      </c>
      <c r="W92" s="18">
        <f>IF(B92="","",IFS(V92="01-미제출",0,V92="02-제출_미검토",0.05,V92="03-검토중",0.1,V92="04-검토중_보완",0.05,V92="05-계획서승인",0.2,V92="06-BIW중단",0.15,V92="07-미인수",0.3,V92="08-단품준비완료",0.4,V92="09-시험준비중",0.55,V92="10-시험완료",0.85,V92="11-결과등록완료",1,V92="12-조건부승인",0.9,TRUE,0))</f>
        <v/>
      </c>
      <c r="X92" s="5">
        <f>IF(B92="","",IF(T92&lt;&gt;"","-",IF(S92="","N/A",S92-TODAY())))</f>
        <v/>
      </c>
      <c r="Y92" s="17">
        <f>IF(B92="","",IF(V92="11-결과등록완료","DONE",IF(U92="06-BIW중단","BLOCKED",IF(AND(K92="",J92&lt;TODAY()),"CRITICAL",IF(AND(ISNUMBER(X92),X92&lt;=0),"OVERDUE",IF(AND(ISNUMBER(X92),X92&lt;=14),"WARNING",IF(U92&lt;&gt;"","ACTION","ON TRACK")))))))</f>
        <v/>
      </c>
      <c r="Z92" s="5">
        <f>IF(B92="","",IF(OR(T92&lt;&gt;"",R92&lt;&gt;"",P92&lt;&gt;"",N92&lt;&gt;"",K92&lt;&gt;""),TODAY()-MAX(T92,R92,P92,N92,K92),"—"))</f>
        <v/>
      </c>
      <c r="AA92" s="19">
        <f>IF(B92="","",IF(V92="11-결과등록완료","— 완료",IF(V92="01-미제출",IF(J92&lt;TODAY(),"계획서 제출 독촉 (OVERDUE)","계획서 제출 대기"),IF(V92="02-제출_미검토","설계자: 계획서 검토 착수",IF(V92="03-검토중","설계자: 승인 처리",IF(V92="04-검토중_보완","보완 요청 → 협력사 재제출 독촉",IF(V92="05-계획서승인","시험편 준비 현황 확인",IF(V92="06-BIW중단","BIW 생산팀 확인 → 일정 재수립",IF(V92="07-미인수","협력사 인수 독촉",IF(V92="08-단품준비완료","시험 일정 확인",IF(V92="09-시험준비중","시험 진행 모니터링",IF(V92="10-시험완료","결과 보고서 전산 등록 독촉",IF(V92="12-조건부승인","조건부 승인 여부 판단 → 관련부서 협의","—")))))))))))))</f>
        <v/>
      </c>
      <c r="AB92" s="15" t="n"/>
    </row>
    <row r="93">
      <c r="A93" s="5">
        <f>IF(B93="","",ROW()-4)</f>
        <v/>
      </c>
      <c r="B93" s="13" t="n"/>
      <c r="C93" s="14">
        <f>IF(B93="","",IFERROR(VLOOKUP(D93,'Reference Data 기준데이터'!$A$30:$D$41,2,FALSE),""))</f>
        <v/>
      </c>
      <c r="D93" s="15" t="n"/>
      <c r="E93" s="14">
        <f>IF(B93="","",IFERROR(VLOOKUP(D93,'Reference Data 기준데이터'!$A$30:$D$41,3,FALSE),""))</f>
        <v/>
      </c>
      <c r="F93" s="15" t="n"/>
      <c r="G93" s="14">
        <f>IF(B93="","",IFERROR(VLOOKUP(F93,'Reference Data 기준데이터'!$A$9:$E$26,2,FALSE),""))</f>
        <v/>
      </c>
      <c r="H93" s="14">
        <f>IF(B93="","",IFERROR(VLOOKUP(F93,'Reference Data 기준데이터'!$A$9:$E$26,5,FALSE),""))</f>
        <v/>
      </c>
      <c r="I93" s="16">
        <f>IF(B93="","",IFERROR(VLOOKUP(B93,'Reference Data 기준데이터'!$A$3:$J$5,3,FALSE),""))</f>
        <v/>
      </c>
      <c r="J93" s="16">
        <f>IF(B93="","",IFERROR(I93+VLOOKUP(B93,'Reference Data 기준데이터'!$A$3:$J$5,7,FALSE),""))</f>
        <v/>
      </c>
      <c r="K93" s="20" t="n"/>
      <c r="L93" s="13" t="n"/>
      <c r="M93" s="16">
        <f>IF(B93="","",IFERROR(I93+VLOOKUP(B93,'Reference Data 기준데이터'!$A$3:$J$5,8,FALSE),""))</f>
        <v/>
      </c>
      <c r="N93" s="20" t="n"/>
      <c r="O93" s="16">
        <f>IF(B93="","",IFERROR(IF(G93="차량장착",MAX(I93+VLOOKUP(B93,'Reference Data 기준데이터'!$A$3:$J$5,9,FALSE),VLOOKUP(B93,'Reference Data 기준데이터'!$A$3:$J$5,4,FALSE)),I93+VLOOKUP(B93,'Reference Data 기준데이터'!$A$3:$J$5,9,FALSE)),""))</f>
        <v/>
      </c>
      <c r="P93" s="20" t="n"/>
      <c r="Q93" s="16">
        <f>IF(B93="","",IFERROR(O93+VLOOKUP(F93,'Reference Data 기준데이터'!$A$9:$E$26,4,FALSE),""))</f>
        <v/>
      </c>
      <c r="R93" s="20" t="n"/>
      <c r="S93" s="16">
        <f>IF(B93="","",IFERROR(MIN(I93+VLOOKUP(B93,'Reference Data 기준데이터'!$A$3:$J$5,10,FALSE),VLOOKUP(B93,'Reference Data 기준데이터'!$A$3:$J$5,6,FALSE)),""))</f>
        <v/>
      </c>
      <c r="T93" s="20" t="n"/>
      <c r="U93" s="13" t="n"/>
      <c r="V93" s="17">
        <f>IF(B93="","",IF(U93&lt;&gt;"",U93,IF(AND(T93&lt;&gt;"",R93&lt;&gt;""),"11-결과등록완료",IF(AND(R93&lt;&gt;"",T93=""),"10-시험완료",IF(AND(P93&lt;&gt;"",R93=""),"09-시험준비중",IF(AND(N93&lt;&gt;"",P93=""),"08-단품준비완료",IF(L93="Approved","05-계획서승인",IF(L93="Revision Needed","04-검토중_보완",IF(L93="Under Review","03-검토중",IF(AND(K93&lt;&gt;"",L93=""),"02-제출_미검토","01-미제출"))))))))))</f>
        <v/>
      </c>
      <c r="W93" s="18">
        <f>IF(B93="","",IFS(V93="01-미제출",0,V93="02-제출_미검토",0.05,V93="03-검토중",0.1,V93="04-검토중_보완",0.05,V93="05-계획서승인",0.2,V93="06-BIW중단",0.15,V93="07-미인수",0.3,V93="08-단품준비완료",0.4,V93="09-시험준비중",0.55,V93="10-시험완료",0.85,V93="11-결과등록완료",1,V93="12-조건부승인",0.9,TRUE,0))</f>
        <v/>
      </c>
      <c r="X93" s="5">
        <f>IF(B93="","",IF(T93&lt;&gt;"","-",IF(S93="","N/A",S93-TODAY())))</f>
        <v/>
      </c>
      <c r="Y93" s="17">
        <f>IF(B93="","",IF(V93="11-결과등록완료","DONE",IF(U93="06-BIW중단","BLOCKED",IF(AND(K93="",J93&lt;TODAY()),"CRITICAL",IF(AND(ISNUMBER(X93),X93&lt;=0),"OVERDUE",IF(AND(ISNUMBER(X93),X93&lt;=14),"WARNING",IF(U93&lt;&gt;"","ACTION","ON TRACK")))))))</f>
        <v/>
      </c>
      <c r="Z93" s="5">
        <f>IF(B93="","",IF(OR(T93&lt;&gt;"",R93&lt;&gt;"",P93&lt;&gt;"",N93&lt;&gt;"",K93&lt;&gt;""),TODAY()-MAX(T93,R93,P93,N93,K93),"—"))</f>
        <v/>
      </c>
      <c r="AA93" s="19">
        <f>IF(B93="","",IF(V93="11-결과등록완료","— 완료",IF(V93="01-미제출",IF(J93&lt;TODAY(),"계획서 제출 독촉 (OVERDUE)","계획서 제출 대기"),IF(V93="02-제출_미검토","설계자: 계획서 검토 착수",IF(V93="03-검토중","설계자: 승인 처리",IF(V93="04-검토중_보완","보완 요청 → 협력사 재제출 독촉",IF(V93="05-계획서승인","시험편 준비 현황 확인",IF(V93="06-BIW중단","BIW 생산팀 확인 → 일정 재수립",IF(V93="07-미인수","협력사 인수 독촉",IF(V93="08-단품준비완료","시험 일정 확인",IF(V93="09-시험준비중","시험 진행 모니터링",IF(V93="10-시험완료","결과 보고서 전산 등록 독촉",IF(V93="12-조건부승인","조건부 승인 여부 판단 → 관련부서 협의","—")))))))))))))</f>
        <v/>
      </c>
      <c r="AB93" s="15" t="n"/>
    </row>
    <row r="94">
      <c r="A94" s="5">
        <f>IF(B94="","",ROW()-4)</f>
        <v/>
      </c>
      <c r="B94" s="13" t="n"/>
      <c r="C94" s="14">
        <f>IF(B94="","",IFERROR(VLOOKUP(D94,'Reference Data 기준데이터'!$A$30:$D$41,2,FALSE),""))</f>
        <v/>
      </c>
      <c r="D94" s="15" t="n"/>
      <c r="E94" s="14">
        <f>IF(B94="","",IFERROR(VLOOKUP(D94,'Reference Data 기준데이터'!$A$30:$D$41,3,FALSE),""))</f>
        <v/>
      </c>
      <c r="F94" s="15" t="n"/>
      <c r="G94" s="14">
        <f>IF(B94="","",IFERROR(VLOOKUP(F94,'Reference Data 기준데이터'!$A$9:$E$26,2,FALSE),""))</f>
        <v/>
      </c>
      <c r="H94" s="14">
        <f>IF(B94="","",IFERROR(VLOOKUP(F94,'Reference Data 기준데이터'!$A$9:$E$26,5,FALSE),""))</f>
        <v/>
      </c>
      <c r="I94" s="16">
        <f>IF(B94="","",IFERROR(VLOOKUP(B94,'Reference Data 기준데이터'!$A$3:$J$5,3,FALSE),""))</f>
        <v/>
      </c>
      <c r="J94" s="16">
        <f>IF(B94="","",IFERROR(I94+VLOOKUP(B94,'Reference Data 기준데이터'!$A$3:$J$5,7,FALSE),""))</f>
        <v/>
      </c>
      <c r="K94" s="20" t="n"/>
      <c r="L94" s="13" t="n"/>
      <c r="M94" s="16">
        <f>IF(B94="","",IFERROR(I94+VLOOKUP(B94,'Reference Data 기준데이터'!$A$3:$J$5,8,FALSE),""))</f>
        <v/>
      </c>
      <c r="N94" s="20" t="n"/>
      <c r="O94" s="16">
        <f>IF(B94="","",IFERROR(IF(G94="차량장착",MAX(I94+VLOOKUP(B94,'Reference Data 기준데이터'!$A$3:$J$5,9,FALSE),VLOOKUP(B94,'Reference Data 기준데이터'!$A$3:$J$5,4,FALSE)),I94+VLOOKUP(B94,'Reference Data 기준데이터'!$A$3:$J$5,9,FALSE)),""))</f>
        <v/>
      </c>
      <c r="P94" s="20" t="n"/>
      <c r="Q94" s="16">
        <f>IF(B94="","",IFERROR(O94+VLOOKUP(F94,'Reference Data 기준데이터'!$A$9:$E$26,4,FALSE),""))</f>
        <v/>
      </c>
      <c r="R94" s="20" t="n"/>
      <c r="S94" s="16">
        <f>IF(B94="","",IFERROR(MIN(I94+VLOOKUP(B94,'Reference Data 기준데이터'!$A$3:$J$5,10,FALSE),VLOOKUP(B94,'Reference Data 기준데이터'!$A$3:$J$5,6,FALSE)),""))</f>
        <v/>
      </c>
      <c r="T94" s="20" t="n"/>
      <c r="U94" s="13" t="n"/>
      <c r="V94" s="17">
        <f>IF(B94="","",IF(U94&lt;&gt;"",U94,IF(AND(T94&lt;&gt;"",R94&lt;&gt;""),"11-결과등록완료",IF(AND(R94&lt;&gt;"",T94=""),"10-시험완료",IF(AND(P94&lt;&gt;"",R94=""),"09-시험준비중",IF(AND(N94&lt;&gt;"",P94=""),"08-단품준비완료",IF(L94="Approved","05-계획서승인",IF(L94="Revision Needed","04-검토중_보완",IF(L94="Under Review","03-검토중",IF(AND(K94&lt;&gt;"",L94=""),"02-제출_미검토","01-미제출"))))))))))</f>
        <v/>
      </c>
      <c r="W94" s="18">
        <f>IF(B94="","",IFS(V94="01-미제출",0,V94="02-제출_미검토",0.05,V94="03-검토중",0.1,V94="04-검토중_보완",0.05,V94="05-계획서승인",0.2,V94="06-BIW중단",0.15,V94="07-미인수",0.3,V94="08-단품준비완료",0.4,V94="09-시험준비중",0.55,V94="10-시험완료",0.85,V94="11-결과등록완료",1,V94="12-조건부승인",0.9,TRUE,0))</f>
        <v/>
      </c>
      <c r="X94" s="5">
        <f>IF(B94="","",IF(T94&lt;&gt;"","-",IF(S94="","N/A",S94-TODAY())))</f>
        <v/>
      </c>
      <c r="Y94" s="17">
        <f>IF(B94="","",IF(V94="11-결과등록완료","DONE",IF(U94="06-BIW중단","BLOCKED",IF(AND(K94="",J94&lt;TODAY()),"CRITICAL",IF(AND(ISNUMBER(X94),X94&lt;=0),"OVERDUE",IF(AND(ISNUMBER(X94),X94&lt;=14),"WARNING",IF(U94&lt;&gt;"","ACTION","ON TRACK")))))))</f>
        <v/>
      </c>
      <c r="Z94" s="5">
        <f>IF(B94="","",IF(OR(T94&lt;&gt;"",R94&lt;&gt;"",P94&lt;&gt;"",N94&lt;&gt;"",K94&lt;&gt;""),TODAY()-MAX(T94,R94,P94,N94,K94),"—"))</f>
        <v/>
      </c>
      <c r="AA94" s="19">
        <f>IF(B94="","",IF(V94="11-결과등록완료","— 완료",IF(V94="01-미제출",IF(J94&lt;TODAY(),"계획서 제출 독촉 (OVERDUE)","계획서 제출 대기"),IF(V94="02-제출_미검토","설계자: 계획서 검토 착수",IF(V94="03-검토중","설계자: 승인 처리",IF(V94="04-검토중_보완","보완 요청 → 협력사 재제출 독촉",IF(V94="05-계획서승인","시험편 준비 현황 확인",IF(V94="06-BIW중단","BIW 생산팀 확인 → 일정 재수립",IF(V94="07-미인수","협력사 인수 독촉",IF(V94="08-단품준비완료","시험 일정 확인",IF(V94="09-시험준비중","시험 진행 모니터링",IF(V94="10-시험완료","결과 보고서 전산 등록 독촉",IF(V94="12-조건부승인","조건부 승인 여부 판단 → 관련부서 협의","—")))))))))))))</f>
        <v/>
      </c>
      <c r="AB94" s="15" t="n"/>
    </row>
    <row r="95">
      <c r="A95" s="5">
        <f>IF(B95="","",ROW()-4)</f>
        <v/>
      </c>
      <c r="B95" s="13" t="n"/>
      <c r="C95" s="14">
        <f>IF(B95="","",IFERROR(VLOOKUP(D95,'Reference Data 기준데이터'!$A$30:$D$41,2,FALSE),""))</f>
        <v/>
      </c>
      <c r="D95" s="15" t="n"/>
      <c r="E95" s="14">
        <f>IF(B95="","",IFERROR(VLOOKUP(D95,'Reference Data 기준데이터'!$A$30:$D$41,3,FALSE),""))</f>
        <v/>
      </c>
      <c r="F95" s="15" t="n"/>
      <c r="G95" s="14">
        <f>IF(B95="","",IFERROR(VLOOKUP(F95,'Reference Data 기준데이터'!$A$9:$E$26,2,FALSE),""))</f>
        <v/>
      </c>
      <c r="H95" s="14">
        <f>IF(B95="","",IFERROR(VLOOKUP(F95,'Reference Data 기준데이터'!$A$9:$E$26,5,FALSE),""))</f>
        <v/>
      </c>
      <c r="I95" s="16">
        <f>IF(B95="","",IFERROR(VLOOKUP(B95,'Reference Data 기준데이터'!$A$3:$J$5,3,FALSE),""))</f>
        <v/>
      </c>
      <c r="J95" s="16">
        <f>IF(B95="","",IFERROR(I95+VLOOKUP(B95,'Reference Data 기준데이터'!$A$3:$J$5,7,FALSE),""))</f>
        <v/>
      </c>
      <c r="K95" s="20" t="n"/>
      <c r="L95" s="13" t="n"/>
      <c r="M95" s="16">
        <f>IF(B95="","",IFERROR(I95+VLOOKUP(B95,'Reference Data 기준데이터'!$A$3:$J$5,8,FALSE),""))</f>
        <v/>
      </c>
      <c r="N95" s="20" t="n"/>
      <c r="O95" s="16">
        <f>IF(B95="","",IFERROR(IF(G95="차량장착",MAX(I95+VLOOKUP(B95,'Reference Data 기준데이터'!$A$3:$J$5,9,FALSE),VLOOKUP(B95,'Reference Data 기준데이터'!$A$3:$J$5,4,FALSE)),I95+VLOOKUP(B95,'Reference Data 기준데이터'!$A$3:$J$5,9,FALSE)),""))</f>
        <v/>
      </c>
      <c r="P95" s="20" t="n"/>
      <c r="Q95" s="16">
        <f>IF(B95="","",IFERROR(O95+VLOOKUP(F95,'Reference Data 기준데이터'!$A$9:$E$26,4,FALSE),""))</f>
        <v/>
      </c>
      <c r="R95" s="20" t="n"/>
      <c r="S95" s="16">
        <f>IF(B95="","",IFERROR(MIN(I95+VLOOKUP(B95,'Reference Data 기준데이터'!$A$3:$J$5,10,FALSE),VLOOKUP(B95,'Reference Data 기준데이터'!$A$3:$J$5,6,FALSE)),""))</f>
        <v/>
      </c>
      <c r="T95" s="20" t="n"/>
      <c r="U95" s="13" t="n"/>
      <c r="V95" s="17">
        <f>IF(B95="","",IF(U95&lt;&gt;"",U95,IF(AND(T95&lt;&gt;"",R95&lt;&gt;""),"11-결과등록완료",IF(AND(R95&lt;&gt;"",T95=""),"10-시험완료",IF(AND(P95&lt;&gt;"",R95=""),"09-시험준비중",IF(AND(N95&lt;&gt;"",P95=""),"08-단품준비완료",IF(L95="Approved","05-계획서승인",IF(L95="Revision Needed","04-검토중_보완",IF(L95="Under Review","03-검토중",IF(AND(K95&lt;&gt;"",L95=""),"02-제출_미검토","01-미제출"))))))))))</f>
        <v/>
      </c>
      <c r="W95" s="18">
        <f>IF(B95="","",IFS(V95="01-미제출",0,V95="02-제출_미검토",0.05,V95="03-검토중",0.1,V95="04-검토중_보완",0.05,V95="05-계획서승인",0.2,V95="06-BIW중단",0.15,V95="07-미인수",0.3,V95="08-단품준비완료",0.4,V95="09-시험준비중",0.55,V95="10-시험완료",0.85,V95="11-결과등록완료",1,V95="12-조건부승인",0.9,TRUE,0))</f>
        <v/>
      </c>
      <c r="X95" s="5">
        <f>IF(B95="","",IF(T95&lt;&gt;"","-",IF(S95="","N/A",S95-TODAY())))</f>
        <v/>
      </c>
      <c r="Y95" s="17">
        <f>IF(B95="","",IF(V95="11-결과등록완료","DONE",IF(U95="06-BIW중단","BLOCKED",IF(AND(K95="",J95&lt;TODAY()),"CRITICAL",IF(AND(ISNUMBER(X95),X95&lt;=0),"OVERDUE",IF(AND(ISNUMBER(X95),X95&lt;=14),"WARNING",IF(U95&lt;&gt;"","ACTION","ON TRACK")))))))</f>
        <v/>
      </c>
      <c r="Z95" s="5">
        <f>IF(B95="","",IF(OR(T95&lt;&gt;"",R95&lt;&gt;"",P95&lt;&gt;"",N95&lt;&gt;"",K95&lt;&gt;""),TODAY()-MAX(T95,R95,P95,N95,K95),"—"))</f>
        <v/>
      </c>
      <c r="AA95" s="19">
        <f>IF(B95="","",IF(V95="11-결과등록완료","— 완료",IF(V95="01-미제출",IF(J95&lt;TODAY(),"계획서 제출 독촉 (OVERDUE)","계획서 제출 대기"),IF(V95="02-제출_미검토","설계자: 계획서 검토 착수",IF(V95="03-검토중","설계자: 승인 처리",IF(V95="04-검토중_보완","보완 요청 → 협력사 재제출 독촉",IF(V95="05-계획서승인","시험편 준비 현황 확인",IF(V95="06-BIW중단","BIW 생산팀 확인 → 일정 재수립",IF(V95="07-미인수","협력사 인수 독촉",IF(V95="08-단품준비완료","시험 일정 확인",IF(V95="09-시험준비중","시험 진행 모니터링",IF(V95="10-시험완료","결과 보고서 전산 등록 독촉",IF(V95="12-조건부승인","조건부 승인 여부 판단 → 관련부서 협의","—")))))))))))))</f>
        <v/>
      </c>
      <c r="AB95" s="15" t="n"/>
    </row>
    <row r="96">
      <c r="A96" s="5">
        <f>IF(B96="","",ROW()-4)</f>
        <v/>
      </c>
      <c r="B96" s="13" t="n"/>
      <c r="C96" s="14">
        <f>IF(B96="","",IFERROR(VLOOKUP(D96,'Reference Data 기준데이터'!$A$30:$D$41,2,FALSE),""))</f>
        <v/>
      </c>
      <c r="D96" s="15" t="n"/>
      <c r="E96" s="14">
        <f>IF(B96="","",IFERROR(VLOOKUP(D96,'Reference Data 기준데이터'!$A$30:$D$41,3,FALSE),""))</f>
        <v/>
      </c>
      <c r="F96" s="15" t="n"/>
      <c r="G96" s="14">
        <f>IF(B96="","",IFERROR(VLOOKUP(F96,'Reference Data 기준데이터'!$A$9:$E$26,2,FALSE),""))</f>
        <v/>
      </c>
      <c r="H96" s="14">
        <f>IF(B96="","",IFERROR(VLOOKUP(F96,'Reference Data 기준데이터'!$A$9:$E$26,5,FALSE),""))</f>
        <v/>
      </c>
      <c r="I96" s="16">
        <f>IF(B96="","",IFERROR(VLOOKUP(B96,'Reference Data 기준데이터'!$A$3:$J$5,3,FALSE),""))</f>
        <v/>
      </c>
      <c r="J96" s="16">
        <f>IF(B96="","",IFERROR(I96+VLOOKUP(B96,'Reference Data 기준데이터'!$A$3:$J$5,7,FALSE),""))</f>
        <v/>
      </c>
      <c r="K96" s="20" t="n"/>
      <c r="L96" s="13" t="n"/>
      <c r="M96" s="16">
        <f>IF(B96="","",IFERROR(I96+VLOOKUP(B96,'Reference Data 기준데이터'!$A$3:$J$5,8,FALSE),""))</f>
        <v/>
      </c>
      <c r="N96" s="20" t="n"/>
      <c r="O96" s="16">
        <f>IF(B96="","",IFERROR(IF(G96="차량장착",MAX(I96+VLOOKUP(B96,'Reference Data 기준데이터'!$A$3:$J$5,9,FALSE),VLOOKUP(B96,'Reference Data 기준데이터'!$A$3:$J$5,4,FALSE)),I96+VLOOKUP(B96,'Reference Data 기준데이터'!$A$3:$J$5,9,FALSE)),""))</f>
        <v/>
      </c>
      <c r="P96" s="20" t="n"/>
      <c r="Q96" s="16">
        <f>IF(B96="","",IFERROR(O96+VLOOKUP(F96,'Reference Data 기준데이터'!$A$9:$E$26,4,FALSE),""))</f>
        <v/>
      </c>
      <c r="R96" s="20" t="n"/>
      <c r="S96" s="16">
        <f>IF(B96="","",IFERROR(MIN(I96+VLOOKUP(B96,'Reference Data 기준데이터'!$A$3:$J$5,10,FALSE),VLOOKUP(B96,'Reference Data 기준데이터'!$A$3:$J$5,6,FALSE)),""))</f>
        <v/>
      </c>
      <c r="T96" s="20" t="n"/>
      <c r="U96" s="13" t="n"/>
      <c r="V96" s="17">
        <f>IF(B96="","",IF(U96&lt;&gt;"",U96,IF(AND(T96&lt;&gt;"",R96&lt;&gt;""),"11-결과등록완료",IF(AND(R96&lt;&gt;"",T96=""),"10-시험완료",IF(AND(P96&lt;&gt;"",R96=""),"09-시험준비중",IF(AND(N96&lt;&gt;"",P96=""),"08-단품준비완료",IF(L96="Approved","05-계획서승인",IF(L96="Revision Needed","04-검토중_보완",IF(L96="Under Review","03-검토중",IF(AND(K96&lt;&gt;"",L96=""),"02-제출_미검토","01-미제출"))))))))))</f>
        <v/>
      </c>
      <c r="W96" s="18">
        <f>IF(B96="","",IFS(V96="01-미제출",0,V96="02-제출_미검토",0.05,V96="03-검토중",0.1,V96="04-검토중_보완",0.05,V96="05-계획서승인",0.2,V96="06-BIW중단",0.15,V96="07-미인수",0.3,V96="08-단품준비완료",0.4,V96="09-시험준비중",0.55,V96="10-시험완료",0.85,V96="11-결과등록완료",1,V96="12-조건부승인",0.9,TRUE,0))</f>
        <v/>
      </c>
      <c r="X96" s="5">
        <f>IF(B96="","",IF(T96&lt;&gt;"","-",IF(S96="","N/A",S96-TODAY())))</f>
        <v/>
      </c>
      <c r="Y96" s="17">
        <f>IF(B96="","",IF(V96="11-결과등록완료","DONE",IF(U96="06-BIW중단","BLOCKED",IF(AND(K96="",J96&lt;TODAY()),"CRITICAL",IF(AND(ISNUMBER(X96),X96&lt;=0),"OVERDUE",IF(AND(ISNUMBER(X96),X96&lt;=14),"WARNING",IF(U96&lt;&gt;"","ACTION","ON TRACK")))))))</f>
        <v/>
      </c>
      <c r="Z96" s="5">
        <f>IF(B96="","",IF(OR(T96&lt;&gt;"",R96&lt;&gt;"",P96&lt;&gt;"",N96&lt;&gt;"",K96&lt;&gt;""),TODAY()-MAX(T96,R96,P96,N96,K96),"—"))</f>
        <v/>
      </c>
      <c r="AA96" s="19">
        <f>IF(B96="","",IF(V96="11-결과등록완료","— 완료",IF(V96="01-미제출",IF(J96&lt;TODAY(),"계획서 제출 독촉 (OVERDUE)","계획서 제출 대기"),IF(V96="02-제출_미검토","설계자: 계획서 검토 착수",IF(V96="03-검토중","설계자: 승인 처리",IF(V96="04-검토중_보완","보완 요청 → 협력사 재제출 독촉",IF(V96="05-계획서승인","시험편 준비 현황 확인",IF(V96="06-BIW중단","BIW 생산팀 확인 → 일정 재수립",IF(V96="07-미인수","협력사 인수 독촉",IF(V96="08-단품준비완료","시험 일정 확인",IF(V96="09-시험준비중","시험 진행 모니터링",IF(V96="10-시험완료","결과 보고서 전산 등록 독촉",IF(V96="12-조건부승인","조건부 승인 여부 판단 → 관련부서 협의","—")))))))))))))</f>
        <v/>
      </c>
      <c r="AB96" s="15" t="n"/>
    </row>
    <row r="97">
      <c r="A97" s="5">
        <f>IF(B97="","",ROW()-4)</f>
        <v/>
      </c>
      <c r="B97" s="13" t="n"/>
      <c r="C97" s="14">
        <f>IF(B97="","",IFERROR(VLOOKUP(D97,'Reference Data 기준데이터'!$A$30:$D$41,2,FALSE),""))</f>
        <v/>
      </c>
      <c r="D97" s="15" t="n"/>
      <c r="E97" s="14">
        <f>IF(B97="","",IFERROR(VLOOKUP(D97,'Reference Data 기준데이터'!$A$30:$D$41,3,FALSE),""))</f>
        <v/>
      </c>
      <c r="F97" s="15" t="n"/>
      <c r="G97" s="14">
        <f>IF(B97="","",IFERROR(VLOOKUP(F97,'Reference Data 기준데이터'!$A$9:$E$26,2,FALSE),""))</f>
        <v/>
      </c>
      <c r="H97" s="14">
        <f>IF(B97="","",IFERROR(VLOOKUP(F97,'Reference Data 기준데이터'!$A$9:$E$26,5,FALSE),""))</f>
        <v/>
      </c>
      <c r="I97" s="16">
        <f>IF(B97="","",IFERROR(VLOOKUP(B97,'Reference Data 기준데이터'!$A$3:$J$5,3,FALSE),""))</f>
        <v/>
      </c>
      <c r="J97" s="16">
        <f>IF(B97="","",IFERROR(I97+VLOOKUP(B97,'Reference Data 기준데이터'!$A$3:$J$5,7,FALSE),""))</f>
        <v/>
      </c>
      <c r="K97" s="20" t="n"/>
      <c r="L97" s="13" t="n"/>
      <c r="M97" s="16">
        <f>IF(B97="","",IFERROR(I97+VLOOKUP(B97,'Reference Data 기준데이터'!$A$3:$J$5,8,FALSE),""))</f>
        <v/>
      </c>
      <c r="N97" s="20" t="n"/>
      <c r="O97" s="16">
        <f>IF(B97="","",IFERROR(IF(G97="차량장착",MAX(I97+VLOOKUP(B97,'Reference Data 기준데이터'!$A$3:$J$5,9,FALSE),VLOOKUP(B97,'Reference Data 기준데이터'!$A$3:$J$5,4,FALSE)),I97+VLOOKUP(B97,'Reference Data 기준데이터'!$A$3:$J$5,9,FALSE)),""))</f>
        <v/>
      </c>
      <c r="P97" s="20" t="n"/>
      <c r="Q97" s="16">
        <f>IF(B97="","",IFERROR(O97+VLOOKUP(F97,'Reference Data 기준데이터'!$A$9:$E$26,4,FALSE),""))</f>
        <v/>
      </c>
      <c r="R97" s="20" t="n"/>
      <c r="S97" s="16">
        <f>IF(B97="","",IFERROR(MIN(I97+VLOOKUP(B97,'Reference Data 기준데이터'!$A$3:$J$5,10,FALSE),VLOOKUP(B97,'Reference Data 기준데이터'!$A$3:$J$5,6,FALSE)),""))</f>
        <v/>
      </c>
      <c r="T97" s="20" t="n"/>
      <c r="U97" s="13" t="n"/>
      <c r="V97" s="17">
        <f>IF(B97="","",IF(U97&lt;&gt;"",U97,IF(AND(T97&lt;&gt;"",R97&lt;&gt;""),"11-결과등록완료",IF(AND(R97&lt;&gt;"",T97=""),"10-시험완료",IF(AND(P97&lt;&gt;"",R97=""),"09-시험준비중",IF(AND(N97&lt;&gt;"",P97=""),"08-단품준비완료",IF(L97="Approved","05-계획서승인",IF(L97="Revision Needed","04-검토중_보완",IF(L97="Under Review","03-검토중",IF(AND(K97&lt;&gt;"",L97=""),"02-제출_미검토","01-미제출"))))))))))</f>
        <v/>
      </c>
      <c r="W97" s="18">
        <f>IF(B97="","",IFS(V97="01-미제출",0,V97="02-제출_미검토",0.05,V97="03-검토중",0.1,V97="04-검토중_보완",0.05,V97="05-계획서승인",0.2,V97="06-BIW중단",0.15,V97="07-미인수",0.3,V97="08-단품준비완료",0.4,V97="09-시험준비중",0.55,V97="10-시험완료",0.85,V97="11-결과등록완료",1,V97="12-조건부승인",0.9,TRUE,0))</f>
        <v/>
      </c>
      <c r="X97" s="5">
        <f>IF(B97="","",IF(T97&lt;&gt;"","-",IF(S97="","N/A",S97-TODAY())))</f>
        <v/>
      </c>
      <c r="Y97" s="17">
        <f>IF(B97="","",IF(V97="11-결과등록완료","DONE",IF(U97="06-BIW중단","BLOCKED",IF(AND(K97="",J97&lt;TODAY()),"CRITICAL",IF(AND(ISNUMBER(X97),X97&lt;=0),"OVERDUE",IF(AND(ISNUMBER(X97),X97&lt;=14),"WARNING",IF(U97&lt;&gt;"","ACTION","ON TRACK")))))))</f>
        <v/>
      </c>
      <c r="Z97" s="5">
        <f>IF(B97="","",IF(OR(T97&lt;&gt;"",R97&lt;&gt;"",P97&lt;&gt;"",N97&lt;&gt;"",K97&lt;&gt;""),TODAY()-MAX(T97,R97,P97,N97,K97),"—"))</f>
        <v/>
      </c>
      <c r="AA97" s="19">
        <f>IF(B97="","",IF(V97="11-결과등록완료","— 완료",IF(V97="01-미제출",IF(J97&lt;TODAY(),"계획서 제출 독촉 (OVERDUE)","계획서 제출 대기"),IF(V97="02-제출_미검토","설계자: 계획서 검토 착수",IF(V97="03-검토중","설계자: 승인 처리",IF(V97="04-검토중_보완","보완 요청 → 협력사 재제출 독촉",IF(V97="05-계획서승인","시험편 준비 현황 확인",IF(V97="06-BIW중단","BIW 생산팀 확인 → 일정 재수립",IF(V97="07-미인수","협력사 인수 독촉",IF(V97="08-단품준비완료","시험 일정 확인",IF(V97="09-시험준비중","시험 진행 모니터링",IF(V97="10-시험완료","결과 보고서 전산 등록 독촉",IF(V97="12-조건부승인","조건부 승인 여부 판단 → 관련부서 협의","—")))))))))))))</f>
        <v/>
      </c>
      <c r="AB97" s="15" t="n"/>
    </row>
    <row r="98">
      <c r="A98" s="5">
        <f>IF(B98="","",ROW()-4)</f>
        <v/>
      </c>
      <c r="B98" s="13" t="n"/>
      <c r="C98" s="14">
        <f>IF(B98="","",IFERROR(VLOOKUP(D98,'Reference Data 기준데이터'!$A$30:$D$41,2,FALSE),""))</f>
        <v/>
      </c>
      <c r="D98" s="15" t="n"/>
      <c r="E98" s="14">
        <f>IF(B98="","",IFERROR(VLOOKUP(D98,'Reference Data 기준데이터'!$A$30:$D$41,3,FALSE),""))</f>
        <v/>
      </c>
      <c r="F98" s="15" t="n"/>
      <c r="G98" s="14">
        <f>IF(B98="","",IFERROR(VLOOKUP(F98,'Reference Data 기준데이터'!$A$9:$E$26,2,FALSE),""))</f>
        <v/>
      </c>
      <c r="H98" s="14">
        <f>IF(B98="","",IFERROR(VLOOKUP(F98,'Reference Data 기준데이터'!$A$9:$E$26,5,FALSE),""))</f>
        <v/>
      </c>
      <c r="I98" s="16">
        <f>IF(B98="","",IFERROR(VLOOKUP(B98,'Reference Data 기준데이터'!$A$3:$J$5,3,FALSE),""))</f>
        <v/>
      </c>
      <c r="J98" s="16">
        <f>IF(B98="","",IFERROR(I98+VLOOKUP(B98,'Reference Data 기준데이터'!$A$3:$J$5,7,FALSE),""))</f>
        <v/>
      </c>
      <c r="K98" s="20" t="n"/>
      <c r="L98" s="13" t="n"/>
      <c r="M98" s="16">
        <f>IF(B98="","",IFERROR(I98+VLOOKUP(B98,'Reference Data 기준데이터'!$A$3:$J$5,8,FALSE),""))</f>
        <v/>
      </c>
      <c r="N98" s="20" t="n"/>
      <c r="O98" s="16">
        <f>IF(B98="","",IFERROR(IF(G98="차량장착",MAX(I98+VLOOKUP(B98,'Reference Data 기준데이터'!$A$3:$J$5,9,FALSE),VLOOKUP(B98,'Reference Data 기준데이터'!$A$3:$J$5,4,FALSE)),I98+VLOOKUP(B98,'Reference Data 기준데이터'!$A$3:$J$5,9,FALSE)),""))</f>
        <v/>
      </c>
      <c r="P98" s="20" t="n"/>
      <c r="Q98" s="16">
        <f>IF(B98="","",IFERROR(O98+VLOOKUP(F98,'Reference Data 기준데이터'!$A$9:$E$26,4,FALSE),""))</f>
        <v/>
      </c>
      <c r="R98" s="20" t="n"/>
      <c r="S98" s="16">
        <f>IF(B98="","",IFERROR(MIN(I98+VLOOKUP(B98,'Reference Data 기준데이터'!$A$3:$J$5,10,FALSE),VLOOKUP(B98,'Reference Data 기준데이터'!$A$3:$J$5,6,FALSE)),""))</f>
        <v/>
      </c>
      <c r="T98" s="20" t="n"/>
      <c r="U98" s="13" t="n"/>
      <c r="V98" s="17">
        <f>IF(B98="","",IF(U98&lt;&gt;"",U98,IF(AND(T98&lt;&gt;"",R98&lt;&gt;""),"11-결과등록완료",IF(AND(R98&lt;&gt;"",T98=""),"10-시험완료",IF(AND(P98&lt;&gt;"",R98=""),"09-시험준비중",IF(AND(N98&lt;&gt;"",P98=""),"08-단품준비완료",IF(L98="Approved","05-계획서승인",IF(L98="Revision Needed","04-검토중_보완",IF(L98="Under Review","03-검토중",IF(AND(K98&lt;&gt;"",L98=""),"02-제출_미검토","01-미제출"))))))))))</f>
        <v/>
      </c>
      <c r="W98" s="18">
        <f>IF(B98="","",IFS(V98="01-미제출",0,V98="02-제출_미검토",0.05,V98="03-검토중",0.1,V98="04-검토중_보완",0.05,V98="05-계획서승인",0.2,V98="06-BIW중단",0.15,V98="07-미인수",0.3,V98="08-단품준비완료",0.4,V98="09-시험준비중",0.55,V98="10-시험완료",0.85,V98="11-결과등록완료",1,V98="12-조건부승인",0.9,TRUE,0))</f>
        <v/>
      </c>
      <c r="X98" s="5">
        <f>IF(B98="","",IF(T98&lt;&gt;"","-",IF(S98="","N/A",S98-TODAY())))</f>
        <v/>
      </c>
      <c r="Y98" s="17">
        <f>IF(B98="","",IF(V98="11-결과등록완료","DONE",IF(U98="06-BIW중단","BLOCKED",IF(AND(K98="",J98&lt;TODAY()),"CRITICAL",IF(AND(ISNUMBER(X98),X98&lt;=0),"OVERDUE",IF(AND(ISNUMBER(X98),X98&lt;=14),"WARNING",IF(U98&lt;&gt;"","ACTION","ON TRACK")))))))</f>
        <v/>
      </c>
      <c r="Z98" s="5">
        <f>IF(B98="","",IF(OR(T98&lt;&gt;"",R98&lt;&gt;"",P98&lt;&gt;"",N98&lt;&gt;"",K98&lt;&gt;""),TODAY()-MAX(T98,R98,P98,N98,K98),"—"))</f>
        <v/>
      </c>
      <c r="AA98" s="19">
        <f>IF(B98="","",IF(V98="11-결과등록완료","— 완료",IF(V98="01-미제출",IF(J98&lt;TODAY(),"계획서 제출 독촉 (OVERDUE)","계획서 제출 대기"),IF(V98="02-제출_미검토","설계자: 계획서 검토 착수",IF(V98="03-검토중","설계자: 승인 처리",IF(V98="04-검토중_보완","보완 요청 → 협력사 재제출 독촉",IF(V98="05-계획서승인","시험편 준비 현황 확인",IF(V98="06-BIW중단","BIW 생산팀 확인 → 일정 재수립",IF(V98="07-미인수","협력사 인수 독촉",IF(V98="08-단품준비완료","시험 일정 확인",IF(V98="09-시험준비중","시험 진행 모니터링",IF(V98="10-시험완료","결과 보고서 전산 등록 독촉",IF(V98="12-조건부승인","조건부 승인 여부 판단 → 관련부서 협의","—")))))))))))))</f>
        <v/>
      </c>
      <c r="AB98" s="15" t="n"/>
    </row>
    <row r="99">
      <c r="A99" s="5">
        <f>IF(B99="","",ROW()-4)</f>
        <v/>
      </c>
      <c r="B99" s="13" t="n"/>
      <c r="C99" s="14">
        <f>IF(B99="","",IFERROR(VLOOKUP(D99,'Reference Data 기준데이터'!$A$30:$D$41,2,FALSE),""))</f>
        <v/>
      </c>
      <c r="D99" s="15" t="n"/>
      <c r="E99" s="14">
        <f>IF(B99="","",IFERROR(VLOOKUP(D99,'Reference Data 기준데이터'!$A$30:$D$41,3,FALSE),""))</f>
        <v/>
      </c>
      <c r="F99" s="15" t="n"/>
      <c r="G99" s="14">
        <f>IF(B99="","",IFERROR(VLOOKUP(F99,'Reference Data 기준데이터'!$A$9:$E$26,2,FALSE),""))</f>
        <v/>
      </c>
      <c r="H99" s="14">
        <f>IF(B99="","",IFERROR(VLOOKUP(F99,'Reference Data 기준데이터'!$A$9:$E$26,5,FALSE),""))</f>
        <v/>
      </c>
      <c r="I99" s="16">
        <f>IF(B99="","",IFERROR(VLOOKUP(B99,'Reference Data 기준데이터'!$A$3:$J$5,3,FALSE),""))</f>
        <v/>
      </c>
      <c r="J99" s="16">
        <f>IF(B99="","",IFERROR(I99+VLOOKUP(B99,'Reference Data 기준데이터'!$A$3:$J$5,7,FALSE),""))</f>
        <v/>
      </c>
      <c r="K99" s="20" t="n"/>
      <c r="L99" s="13" t="n"/>
      <c r="M99" s="16">
        <f>IF(B99="","",IFERROR(I99+VLOOKUP(B99,'Reference Data 기준데이터'!$A$3:$J$5,8,FALSE),""))</f>
        <v/>
      </c>
      <c r="N99" s="20" t="n"/>
      <c r="O99" s="16">
        <f>IF(B99="","",IFERROR(IF(G99="차량장착",MAX(I99+VLOOKUP(B99,'Reference Data 기준데이터'!$A$3:$J$5,9,FALSE),VLOOKUP(B99,'Reference Data 기준데이터'!$A$3:$J$5,4,FALSE)),I99+VLOOKUP(B99,'Reference Data 기준데이터'!$A$3:$J$5,9,FALSE)),""))</f>
        <v/>
      </c>
      <c r="P99" s="20" t="n"/>
      <c r="Q99" s="16">
        <f>IF(B99="","",IFERROR(O99+VLOOKUP(F99,'Reference Data 기준데이터'!$A$9:$E$26,4,FALSE),""))</f>
        <v/>
      </c>
      <c r="R99" s="20" t="n"/>
      <c r="S99" s="16">
        <f>IF(B99="","",IFERROR(MIN(I99+VLOOKUP(B99,'Reference Data 기준데이터'!$A$3:$J$5,10,FALSE),VLOOKUP(B99,'Reference Data 기준데이터'!$A$3:$J$5,6,FALSE)),""))</f>
        <v/>
      </c>
      <c r="T99" s="20" t="n"/>
      <c r="U99" s="13" t="n"/>
      <c r="V99" s="17">
        <f>IF(B99="","",IF(U99&lt;&gt;"",U99,IF(AND(T99&lt;&gt;"",R99&lt;&gt;""),"11-결과등록완료",IF(AND(R99&lt;&gt;"",T99=""),"10-시험완료",IF(AND(P99&lt;&gt;"",R99=""),"09-시험준비중",IF(AND(N99&lt;&gt;"",P99=""),"08-단품준비완료",IF(L99="Approved","05-계획서승인",IF(L99="Revision Needed","04-검토중_보완",IF(L99="Under Review","03-검토중",IF(AND(K99&lt;&gt;"",L99=""),"02-제출_미검토","01-미제출"))))))))))</f>
        <v/>
      </c>
      <c r="W99" s="18">
        <f>IF(B99="","",IFS(V99="01-미제출",0,V99="02-제출_미검토",0.05,V99="03-검토중",0.1,V99="04-검토중_보완",0.05,V99="05-계획서승인",0.2,V99="06-BIW중단",0.15,V99="07-미인수",0.3,V99="08-단품준비완료",0.4,V99="09-시험준비중",0.55,V99="10-시험완료",0.85,V99="11-결과등록완료",1,V99="12-조건부승인",0.9,TRUE,0))</f>
        <v/>
      </c>
      <c r="X99" s="5">
        <f>IF(B99="","",IF(T99&lt;&gt;"","-",IF(S99="","N/A",S99-TODAY())))</f>
        <v/>
      </c>
      <c r="Y99" s="17">
        <f>IF(B99="","",IF(V99="11-결과등록완료","DONE",IF(U99="06-BIW중단","BLOCKED",IF(AND(K99="",J99&lt;TODAY()),"CRITICAL",IF(AND(ISNUMBER(X99),X99&lt;=0),"OVERDUE",IF(AND(ISNUMBER(X99),X99&lt;=14),"WARNING",IF(U99&lt;&gt;"","ACTION","ON TRACK")))))))</f>
        <v/>
      </c>
      <c r="Z99" s="5">
        <f>IF(B99="","",IF(OR(T99&lt;&gt;"",R99&lt;&gt;"",P99&lt;&gt;"",N99&lt;&gt;"",K99&lt;&gt;""),TODAY()-MAX(T99,R99,P99,N99,K99),"—"))</f>
        <v/>
      </c>
      <c r="AA99" s="19">
        <f>IF(B99="","",IF(V99="11-결과등록완료","— 완료",IF(V99="01-미제출",IF(J99&lt;TODAY(),"계획서 제출 독촉 (OVERDUE)","계획서 제출 대기"),IF(V99="02-제출_미검토","설계자: 계획서 검토 착수",IF(V99="03-검토중","설계자: 승인 처리",IF(V99="04-검토중_보완","보완 요청 → 협력사 재제출 독촉",IF(V99="05-계획서승인","시험편 준비 현황 확인",IF(V99="06-BIW중단","BIW 생산팀 확인 → 일정 재수립",IF(V99="07-미인수","협력사 인수 독촉",IF(V99="08-단품준비완료","시험 일정 확인",IF(V99="09-시험준비중","시험 진행 모니터링",IF(V99="10-시험완료","결과 보고서 전산 등록 독촉",IF(V99="12-조건부승인","조건부 승인 여부 판단 → 관련부서 협의","—")))))))))))))</f>
        <v/>
      </c>
      <c r="AB99" s="15" t="n"/>
    </row>
    <row r="100">
      <c r="A100" s="5">
        <f>IF(B100="","",ROW()-4)</f>
        <v/>
      </c>
      <c r="B100" s="13" t="n"/>
      <c r="C100" s="14">
        <f>IF(B100="","",IFERROR(VLOOKUP(D100,'Reference Data 기준데이터'!$A$30:$D$41,2,FALSE),""))</f>
        <v/>
      </c>
      <c r="D100" s="15" t="n"/>
      <c r="E100" s="14">
        <f>IF(B100="","",IFERROR(VLOOKUP(D100,'Reference Data 기준데이터'!$A$30:$D$41,3,FALSE),""))</f>
        <v/>
      </c>
      <c r="F100" s="15" t="n"/>
      <c r="G100" s="14">
        <f>IF(B100="","",IFERROR(VLOOKUP(F100,'Reference Data 기준데이터'!$A$9:$E$26,2,FALSE),""))</f>
        <v/>
      </c>
      <c r="H100" s="14">
        <f>IF(B100="","",IFERROR(VLOOKUP(F100,'Reference Data 기준데이터'!$A$9:$E$26,5,FALSE),""))</f>
        <v/>
      </c>
      <c r="I100" s="16">
        <f>IF(B100="","",IFERROR(VLOOKUP(B100,'Reference Data 기준데이터'!$A$3:$J$5,3,FALSE),""))</f>
        <v/>
      </c>
      <c r="J100" s="16">
        <f>IF(B100="","",IFERROR(I100+VLOOKUP(B100,'Reference Data 기준데이터'!$A$3:$J$5,7,FALSE),""))</f>
        <v/>
      </c>
      <c r="K100" s="20" t="n"/>
      <c r="L100" s="13" t="n"/>
      <c r="M100" s="16">
        <f>IF(B100="","",IFERROR(I100+VLOOKUP(B100,'Reference Data 기준데이터'!$A$3:$J$5,8,FALSE),""))</f>
        <v/>
      </c>
      <c r="N100" s="20" t="n"/>
      <c r="O100" s="16">
        <f>IF(B100="","",IFERROR(IF(G100="차량장착",MAX(I100+VLOOKUP(B100,'Reference Data 기준데이터'!$A$3:$J$5,9,FALSE),VLOOKUP(B100,'Reference Data 기준데이터'!$A$3:$J$5,4,FALSE)),I100+VLOOKUP(B100,'Reference Data 기준데이터'!$A$3:$J$5,9,FALSE)),""))</f>
        <v/>
      </c>
      <c r="P100" s="20" t="n"/>
      <c r="Q100" s="16">
        <f>IF(B100="","",IFERROR(O100+VLOOKUP(F100,'Reference Data 기준데이터'!$A$9:$E$26,4,FALSE),""))</f>
        <v/>
      </c>
      <c r="R100" s="20" t="n"/>
      <c r="S100" s="16">
        <f>IF(B100="","",IFERROR(MIN(I100+VLOOKUP(B100,'Reference Data 기준데이터'!$A$3:$J$5,10,FALSE),VLOOKUP(B100,'Reference Data 기준데이터'!$A$3:$J$5,6,FALSE)),""))</f>
        <v/>
      </c>
      <c r="T100" s="20" t="n"/>
      <c r="U100" s="13" t="n"/>
      <c r="V100" s="17">
        <f>IF(B100="","",IF(U100&lt;&gt;"",U100,IF(AND(T100&lt;&gt;"",R100&lt;&gt;""),"11-결과등록완료",IF(AND(R100&lt;&gt;"",T100=""),"10-시험완료",IF(AND(P100&lt;&gt;"",R100=""),"09-시험준비중",IF(AND(N100&lt;&gt;"",P100=""),"08-단품준비완료",IF(L100="Approved","05-계획서승인",IF(L100="Revision Needed","04-검토중_보완",IF(L100="Under Review","03-검토중",IF(AND(K100&lt;&gt;"",L100=""),"02-제출_미검토","01-미제출"))))))))))</f>
        <v/>
      </c>
      <c r="W100" s="18">
        <f>IF(B100="","",IFS(V100="01-미제출",0,V100="02-제출_미검토",0.05,V100="03-검토중",0.1,V100="04-검토중_보완",0.05,V100="05-계획서승인",0.2,V100="06-BIW중단",0.15,V100="07-미인수",0.3,V100="08-단품준비완료",0.4,V100="09-시험준비중",0.55,V100="10-시험완료",0.85,V100="11-결과등록완료",1,V100="12-조건부승인",0.9,TRUE,0))</f>
        <v/>
      </c>
      <c r="X100" s="5">
        <f>IF(B100="","",IF(T100&lt;&gt;"","-",IF(S100="","N/A",S100-TODAY())))</f>
        <v/>
      </c>
      <c r="Y100" s="17">
        <f>IF(B100="","",IF(V100="11-결과등록완료","DONE",IF(U100="06-BIW중단","BLOCKED",IF(AND(K100="",J100&lt;TODAY()),"CRITICAL",IF(AND(ISNUMBER(X100),X100&lt;=0),"OVERDUE",IF(AND(ISNUMBER(X100),X100&lt;=14),"WARNING",IF(U100&lt;&gt;"","ACTION","ON TRACK")))))))</f>
        <v/>
      </c>
      <c r="Z100" s="5">
        <f>IF(B100="","",IF(OR(T100&lt;&gt;"",R100&lt;&gt;"",P100&lt;&gt;"",N100&lt;&gt;"",K100&lt;&gt;""),TODAY()-MAX(T100,R100,P100,N100,K100),"—"))</f>
        <v/>
      </c>
      <c r="AA100" s="19">
        <f>IF(B100="","",IF(V100="11-결과등록완료","— 완료",IF(V100="01-미제출",IF(J100&lt;TODAY(),"계획서 제출 독촉 (OVERDUE)","계획서 제출 대기"),IF(V100="02-제출_미검토","설계자: 계획서 검토 착수",IF(V100="03-검토중","설계자: 승인 처리",IF(V100="04-검토중_보완","보완 요청 → 협력사 재제출 독촉",IF(V100="05-계획서승인","시험편 준비 현황 확인",IF(V100="06-BIW중단","BIW 생산팀 확인 → 일정 재수립",IF(V100="07-미인수","협력사 인수 독촉",IF(V100="08-단품준비완료","시험 일정 확인",IF(V100="09-시험준비중","시험 진행 모니터링",IF(V100="10-시험완료","결과 보고서 전산 등록 독촉",IF(V100="12-조건부승인","조건부 승인 여부 판단 → 관련부서 협의","—")))))))))))))</f>
        <v/>
      </c>
      <c r="AB100" s="15" t="n"/>
    </row>
    <row r="101">
      <c r="A101" s="5">
        <f>IF(B101="","",ROW()-4)</f>
        <v/>
      </c>
      <c r="B101" s="13" t="n"/>
      <c r="C101" s="14">
        <f>IF(B101="","",IFERROR(VLOOKUP(D101,'Reference Data 기준데이터'!$A$30:$D$41,2,FALSE),""))</f>
        <v/>
      </c>
      <c r="D101" s="15" t="n"/>
      <c r="E101" s="14">
        <f>IF(B101="","",IFERROR(VLOOKUP(D101,'Reference Data 기준데이터'!$A$30:$D$41,3,FALSE),""))</f>
        <v/>
      </c>
      <c r="F101" s="15" t="n"/>
      <c r="G101" s="14">
        <f>IF(B101="","",IFERROR(VLOOKUP(F101,'Reference Data 기준데이터'!$A$9:$E$26,2,FALSE),""))</f>
        <v/>
      </c>
      <c r="H101" s="14">
        <f>IF(B101="","",IFERROR(VLOOKUP(F101,'Reference Data 기준데이터'!$A$9:$E$26,5,FALSE),""))</f>
        <v/>
      </c>
      <c r="I101" s="16">
        <f>IF(B101="","",IFERROR(VLOOKUP(B101,'Reference Data 기준데이터'!$A$3:$J$5,3,FALSE),""))</f>
        <v/>
      </c>
      <c r="J101" s="16">
        <f>IF(B101="","",IFERROR(I101+VLOOKUP(B101,'Reference Data 기준데이터'!$A$3:$J$5,7,FALSE),""))</f>
        <v/>
      </c>
      <c r="K101" s="20" t="n"/>
      <c r="L101" s="13" t="n"/>
      <c r="M101" s="16">
        <f>IF(B101="","",IFERROR(I101+VLOOKUP(B101,'Reference Data 기준데이터'!$A$3:$J$5,8,FALSE),""))</f>
        <v/>
      </c>
      <c r="N101" s="20" t="n"/>
      <c r="O101" s="16">
        <f>IF(B101="","",IFERROR(IF(G101="차량장착",MAX(I101+VLOOKUP(B101,'Reference Data 기준데이터'!$A$3:$J$5,9,FALSE),VLOOKUP(B101,'Reference Data 기준데이터'!$A$3:$J$5,4,FALSE)),I101+VLOOKUP(B101,'Reference Data 기준데이터'!$A$3:$J$5,9,FALSE)),""))</f>
        <v/>
      </c>
      <c r="P101" s="20" t="n"/>
      <c r="Q101" s="16">
        <f>IF(B101="","",IFERROR(O101+VLOOKUP(F101,'Reference Data 기준데이터'!$A$9:$E$26,4,FALSE),""))</f>
        <v/>
      </c>
      <c r="R101" s="20" t="n"/>
      <c r="S101" s="16">
        <f>IF(B101="","",IFERROR(MIN(I101+VLOOKUP(B101,'Reference Data 기준데이터'!$A$3:$J$5,10,FALSE),VLOOKUP(B101,'Reference Data 기준데이터'!$A$3:$J$5,6,FALSE)),""))</f>
        <v/>
      </c>
      <c r="T101" s="20" t="n"/>
      <c r="U101" s="13" t="n"/>
      <c r="V101" s="17">
        <f>IF(B101="","",IF(U101&lt;&gt;"",U101,IF(AND(T101&lt;&gt;"",R101&lt;&gt;""),"11-결과등록완료",IF(AND(R101&lt;&gt;"",T101=""),"10-시험완료",IF(AND(P101&lt;&gt;"",R101=""),"09-시험준비중",IF(AND(N101&lt;&gt;"",P101=""),"08-단품준비완료",IF(L101="Approved","05-계획서승인",IF(L101="Revision Needed","04-검토중_보완",IF(L101="Under Review","03-검토중",IF(AND(K101&lt;&gt;"",L101=""),"02-제출_미검토","01-미제출"))))))))))</f>
        <v/>
      </c>
      <c r="W101" s="18">
        <f>IF(B101="","",IFS(V101="01-미제출",0,V101="02-제출_미검토",0.05,V101="03-검토중",0.1,V101="04-검토중_보완",0.05,V101="05-계획서승인",0.2,V101="06-BIW중단",0.15,V101="07-미인수",0.3,V101="08-단품준비완료",0.4,V101="09-시험준비중",0.55,V101="10-시험완료",0.85,V101="11-결과등록완료",1,V101="12-조건부승인",0.9,TRUE,0))</f>
        <v/>
      </c>
      <c r="X101" s="5">
        <f>IF(B101="","",IF(T101&lt;&gt;"","-",IF(S101="","N/A",S101-TODAY())))</f>
        <v/>
      </c>
      <c r="Y101" s="17">
        <f>IF(B101="","",IF(V101="11-결과등록완료","DONE",IF(U101="06-BIW중단","BLOCKED",IF(AND(K101="",J101&lt;TODAY()),"CRITICAL",IF(AND(ISNUMBER(X101),X101&lt;=0),"OVERDUE",IF(AND(ISNUMBER(X101),X101&lt;=14),"WARNING",IF(U101&lt;&gt;"","ACTION","ON TRACK")))))))</f>
        <v/>
      </c>
      <c r="Z101" s="5">
        <f>IF(B101="","",IF(OR(T101&lt;&gt;"",R101&lt;&gt;"",P101&lt;&gt;"",N101&lt;&gt;"",K101&lt;&gt;""),TODAY()-MAX(T101,R101,P101,N101,K101),"—"))</f>
        <v/>
      </c>
      <c r="AA101" s="19">
        <f>IF(B101="","",IF(V101="11-결과등록완료","— 완료",IF(V101="01-미제출",IF(J101&lt;TODAY(),"계획서 제출 독촉 (OVERDUE)","계획서 제출 대기"),IF(V101="02-제출_미검토","설계자: 계획서 검토 착수",IF(V101="03-검토중","설계자: 승인 처리",IF(V101="04-검토중_보완","보완 요청 → 협력사 재제출 독촉",IF(V101="05-계획서승인","시험편 준비 현황 확인",IF(V101="06-BIW중단","BIW 생산팀 확인 → 일정 재수립",IF(V101="07-미인수","협력사 인수 독촉",IF(V101="08-단품준비완료","시험 일정 확인",IF(V101="09-시험준비중","시험 진행 모니터링",IF(V101="10-시험완료","결과 보고서 전산 등록 독촉",IF(V101="12-조건부승인","조건부 승인 여부 판단 → 관련부서 협의","—")))))))))))))</f>
        <v/>
      </c>
      <c r="AB101" s="15" t="n"/>
    </row>
    <row r="102">
      <c r="A102" s="5">
        <f>IF(B102="","",ROW()-4)</f>
        <v/>
      </c>
      <c r="B102" s="13" t="n"/>
      <c r="C102" s="14">
        <f>IF(B102="","",IFERROR(VLOOKUP(D102,'Reference Data 기준데이터'!$A$30:$D$41,2,FALSE),""))</f>
        <v/>
      </c>
      <c r="D102" s="15" t="n"/>
      <c r="E102" s="14">
        <f>IF(B102="","",IFERROR(VLOOKUP(D102,'Reference Data 기준데이터'!$A$30:$D$41,3,FALSE),""))</f>
        <v/>
      </c>
      <c r="F102" s="15" t="n"/>
      <c r="G102" s="14">
        <f>IF(B102="","",IFERROR(VLOOKUP(F102,'Reference Data 기준데이터'!$A$9:$E$26,2,FALSE),""))</f>
        <v/>
      </c>
      <c r="H102" s="14">
        <f>IF(B102="","",IFERROR(VLOOKUP(F102,'Reference Data 기준데이터'!$A$9:$E$26,5,FALSE),""))</f>
        <v/>
      </c>
      <c r="I102" s="16">
        <f>IF(B102="","",IFERROR(VLOOKUP(B102,'Reference Data 기준데이터'!$A$3:$J$5,3,FALSE),""))</f>
        <v/>
      </c>
      <c r="J102" s="16">
        <f>IF(B102="","",IFERROR(I102+VLOOKUP(B102,'Reference Data 기준데이터'!$A$3:$J$5,7,FALSE),""))</f>
        <v/>
      </c>
      <c r="K102" s="20" t="n"/>
      <c r="L102" s="13" t="n"/>
      <c r="M102" s="16">
        <f>IF(B102="","",IFERROR(I102+VLOOKUP(B102,'Reference Data 기준데이터'!$A$3:$J$5,8,FALSE),""))</f>
        <v/>
      </c>
      <c r="N102" s="20" t="n"/>
      <c r="O102" s="16">
        <f>IF(B102="","",IFERROR(IF(G102="차량장착",MAX(I102+VLOOKUP(B102,'Reference Data 기준데이터'!$A$3:$J$5,9,FALSE),VLOOKUP(B102,'Reference Data 기준데이터'!$A$3:$J$5,4,FALSE)),I102+VLOOKUP(B102,'Reference Data 기준데이터'!$A$3:$J$5,9,FALSE)),""))</f>
        <v/>
      </c>
      <c r="P102" s="20" t="n"/>
      <c r="Q102" s="16">
        <f>IF(B102="","",IFERROR(O102+VLOOKUP(F102,'Reference Data 기준데이터'!$A$9:$E$26,4,FALSE),""))</f>
        <v/>
      </c>
      <c r="R102" s="20" t="n"/>
      <c r="S102" s="16">
        <f>IF(B102="","",IFERROR(MIN(I102+VLOOKUP(B102,'Reference Data 기준데이터'!$A$3:$J$5,10,FALSE),VLOOKUP(B102,'Reference Data 기준데이터'!$A$3:$J$5,6,FALSE)),""))</f>
        <v/>
      </c>
      <c r="T102" s="20" t="n"/>
      <c r="U102" s="13" t="n"/>
      <c r="V102" s="17">
        <f>IF(B102="","",IF(U102&lt;&gt;"",U102,IF(AND(T102&lt;&gt;"",R102&lt;&gt;""),"11-결과등록완료",IF(AND(R102&lt;&gt;"",T102=""),"10-시험완료",IF(AND(P102&lt;&gt;"",R102=""),"09-시험준비중",IF(AND(N102&lt;&gt;"",P102=""),"08-단품준비완료",IF(L102="Approved","05-계획서승인",IF(L102="Revision Needed","04-검토중_보완",IF(L102="Under Review","03-검토중",IF(AND(K102&lt;&gt;"",L102=""),"02-제출_미검토","01-미제출"))))))))))</f>
        <v/>
      </c>
      <c r="W102" s="18">
        <f>IF(B102="","",IFS(V102="01-미제출",0,V102="02-제출_미검토",0.05,V102="03-검토중",0.1,V102="04-검토중_보완",0.05,V102="05-계획서승인",0.2,V102="06-BIW중단",0.15,V102="07-미인수",0.3,V102="08-단품준비완료",0.4,V102="09-시험준비중",0.55,V102="10-시험완료",0.85,V102="11-결과등록완료",1,V102="12-조건부승인",0.9,TRUE,0))</f>
        <v/>
      </c>
      <c r="X102" s="5">
        <f>IF(B102="","",IF(T102&lt;&gt;"","-",IF(S102="","N/A",S102-TODAY())))</f>
        <v/>
      </c>
      <c r="Y102" s="17">
        <f>IF(B102="","",IF(V102="11-결과등록완료","DONE",IF(U102="06-BIW중단","BLOCKED",IF(AND(K102="",J102&lt;TODAY()),"CRITICAL",IF(AND(ISNUMBER(X102),X102&lt;=0),"OVERDUE",IF(AND(ISNUMBER(X102),X102&lt;=14),"WARNING",IF(U102&lt;&gt;"","ACTION","ON TRACK")))))))</f>
        <v/>
      </c>
      <c r="Z102" s="5">
        <f>IF(B102="","",IF(OR(T102&lt;&gt;"",R102&lt;&gt;"",P102&lt;&gt;"",N102&lt;&gt;"",K102&lt;&gt;""),TODAY()-MAX(T102,R102,P102,N102,K102),"—"))</f>
        <v/>
      </c>
      <c r="AA102" s="19">
        <f>IF(B102="","",IF(V102="11-결과등록완료","— 완료",IF(V102="01-미제출",IF(J102&lt;TODAY(),"계획서 제출 독촉 (OVERDUE)","계획서 제출 대기"),IF(V102="02-제출_미검토","설계자: 계획서 검토 착수",IF(V102="03-검토중","설계자: 승인 처리",IF(V102="04-검토중_보완","보완 요청 → 협력사 재제출 독촉",IF(V102="05-계획서승인","시험편 준비 현황 확인",IF(V102="06-BIW중단","BIW 생산팀 확인 → 일정 재수립",IF(V102="07-미인수","협력사 인수 독촉",IF(V102="08-단품준비완료","시험 일정 확인",IF(V102="09-시험준비중","시험 진행 모니터링",IF(V102="10-시험완료","결과 보고서 전산 등록 독촉",IF(V102="12-조건부승인","조건부 승인 여부 판단 → 관련부서 협의","—")))))))))))))</f>
        <v/>
      </c>
      <c r="AB102" s="15" t="n"/>
    </row>
    <row r="103">
      <c r="A103" s="5">
        <f>IF(B103="","",ROW()-4)</f>
        <v/>
      </c>
      <c r="B103" s="13" t="n"/>
      <c r="C103" s="14">
        <f>IF(B103="","",IFERROR(VLOOKUP(D103,'Reference Data 기준데이터'!$A$30:$D$41,2,FALSE),""))</f>
        <v/>
      </c>
      <c r="D103" s="15" t="n"/>
      <c r="E103" s="14">
        <f>IF(B103="","",IFERROR(VLOOKUP(D103,'Reference Data 기준데이터'!$A$30:$D$41,3,FALSE),""))</f>
        <v/>
      </c>
      <c r="F103" s="15" t="n"/>
      <c r="G103" s="14">
        <f>IF(B103="","",IFERROR(VLOOKUP(F103,'Reference Data 기준데이터'!$A$9:$E$26,2,FALSE),""))</f>
        <v/>
      </c>
      <c r="H103" s="14">
        <f>IF(B103="","",IFERROR(VLOOKUP(F103,'Reference Data 기준데이터'!$A$9:$E$26,5,FALSE),""))</f>
        <v/>
      </c>
      <c r="I103" s="16">
        <f>IF(B103="","",IFERROR(VLOOKUP(B103,'Reference Data 기준데이터'!$A$3:$J$5,3,FALSE),""))</f>
        <v/>
      </c>
      <c r="J103" s="16">
        <f>IF(B103="","",IFERROR(I103+VLOOKUP(B103,'Reference Data 기준데이터'!$A$3:$J$5,7,FALSE),""))</f>
        <v/>
      </c>
      <c r="K103" s="20" t="n"/>
      <c r="L103" s="13" t="n"/>
      <c r="M103" s="16">
        <f>IF(B103="","",IFERROR(I103+VLOOKUP(B103,'Reference Data 기준데이터'!$A$3:$J$5,8,FALSE),""))</f>
        <v/>
      </c>
      <c r="N103" s="20" t="n"/>
      <c r="O103" s="16">
        <f>IF(B103="","",IFERROR(IF(G103="차량장착",MAX(I103+VLOOKUP(B103,'Reference Data 기준데이터'!$A$3:$J$5,9,FALSE),VLOOKUP(B103,'Reference Data 기준데이터'!$A$3:$J$5,4,FALSE)),I103+VLOOKUP(B103,'Reference Data 기준데이터'!$A$3:$J$5,9,FALSE)),""))</f>
        <v/>
      </c>
      <c r="P103" s="20" t="n"/>
      <c r="Q103" s="16">
        <f>IF(B103="","",IFERROR(O103+VLOOKUP(F103,'Reference Data 기준데이터'!$A$9:$E$26,4,FALSE),""))</f>
        <v/>
      </c>
      <c r="R103" s="20" t="n"/>
      <c r="S103" s="16">
        <f>IF(B103="","",IFERROR(MIN(I103+VLOOKUP(B103,'Reference Data 기준데이터'!$A$3:$J$5,10,FALSE),VLOOKUP(B103,'Reference Data 기준데이터'!$A$3:$J$5,6,FALSE)),""))</f>
        <v/>
      </c>
      <c r="T103" s="20" t="n"/>
      <c r="U103" s="13" t="n"/>
      <c r="V103" s="17">
        <f>IF(B103="","",IF(U103&lt;&gt;"",U103,IF(AND(T103&lt;&gt;"",R103&lt;&gt;""),"11-결과등록완료",IF(AND(R103&lt;&gt;"",T103=""),"10-시험완료",IF(AND(P103&lt;&gt;"",R103=""),"09-시험준비중",IF(AND(N103&lt;&gt;"",P103=""),"08-단품준비완료",IF(L103="Approved","05-계획서승인",IF(L103="Revision Needed","04-검토중_보완",IF(L103="Under Review","03-검토중",IF(AND(K103&lt;&gt;"",L103=""),"02-제출_미검토","01-미제출"))))))))))</f>
        <v/>
      </c>
      <c r="W103" s="18">
        <f>IF(B103="","",IFS(V103="01-미제출",0,V103="02-제출_미검토",0.05,V103="03-검토중",0.1,V103="04-검토중_보완",0.05,V103="05-계획서승인",0.2,V103="06-BIW중단",0.15,V103="07-미인수",0.3,V103="08-단품준비완료",0.4,V103="09-시험준비중",0.55,V103="10-시험완료",0.85,V103="11-결과등록완료",1,V103="12-조건부승인",0.9,TRUE,0))</f>
        <v/>
      </c>
      <c r="X103" s="5">
        <f>IF(B103="","",IF(T103&lt;&gt;"","-",IF(S103="","N/A",S103-TODAY())))</f>
        <v/>
      </c>
      <c r="Y103" s="17">
        <f>IF(B103="","",IF(V103="11-결과등록완료","DONE",IF(U103="06-BIW중단","BLOCKED",IF(AND(K103="",J103&lt;TODAY()),"CRITICAL",IF(AND(ISNUMBER(X103),X103&lt;=0),"OVERDUE",IF(AND(ISNUMBER(X103),X103&lt;=14),"WARNING",IF(U103&lt;&gt;"","ACTION","ON TRACK")))))))</f>
        <v/>
      </c>
      <c r="Z103" s="5">
        <f>IF(B103="","",IF(OR(T103&lt;&gt;"",R103&lt;&gt;"",P103&lt;&gt;"",N103&lt;&gt;"",K103&lt;&gt;""),TODAY()-MAX(T103,R103,P103,N103,K103),"—"))</f>
        <v/>
      </c>
      <c r="AA103" s="19">
        <f>IF(B103="","",IF(V103="11-결과등록완료","— 완료",IF(V103="01-미제출",IF(J103&lt;TODAY(),"계획서 제출 독촉 (OVERDUE)","계획서 제출 대기"),IF(V103="02-제출_미검토","설계자: 계획서 검토 착수",IF(V103="03-검토중","설계자: 승인 처리",IF(V103="04-검토중_보완","보완 요청 → 협력사 재제출 독촉",IF(V103="05-계획서승인","시험편 준비 현황 확인",IF(V103="06-BIW중단","BIW 생산팀 확인 → 일정 재수립",IF(V103="07-미인수","협력사 인수 독촉",IF(V103="08-단품준비완료","시험 일정 확인",IF(V103="09-시험준비중","시험 진행 모니터링",IF(V103="10-시험완료","결과 보고서 전산 등록 독촉",IF(V103="12-조건부승인","조건부 승인 여부 판단 → 관련부서 협의","—")))))))))))))</f>
        <v/>
      </c>
      <c r="AB103" s="15" t="n"/>
    </row>
    <row r="104">
      <c r="A104" s="5">
        <f>IF(B104="","",ROW()-4)</f>
        <v/>
      </c>
      <c r="B104" s="13" t="n"/>
      <c r="C104" s="14">
        <f>IF(B104="","",IFERROR(VLOOKUP(D104,'Reference Data 기준데이터'!$A$30:$D$41,2,FALSE),""))</f>
        <v/>
      </c>
      <c r="D104" s="15" t="n"/>
      <c r="E104" s="14">
        <f>IF(B104="","",IFERROR(VLOOKUP(D104,'Reference Data 기준데이터'!$A$30:$D$41,3,FALSE),""))</f>
        <v/>
      </c>
      <c r="F104" s="15" t="n"/>
      <c r="G104" s="14">
        <f>IF(B104="","",IFERROR(VLOOKUP(F104,'Reference Data 기준데이터'!$A$9:$E$26,2,FALSE),""))</f>
        <v/>
      </c>
      <c r="H104" s="14">
        <f>IF(B104="","",IFERROR(VLOOKUP(F104,'Reference Data 기준데이터'!$A$9:$E$26,5,FALSE),""))</f>
        <v/>
      </c>
      <c r="I104" s="16">
        <f>IF(B104="","",IFERROR(VLOOKUP(B104,'Reference Data 기준데이터'!$A$3:$J$5,3,FALSE),""))</f>
        <v/>
      </c>
      <c r="J104" s="16">
        <f>IF(B104="","",IFERROR(I104+VLOOKUP(B104,'Reference Data 기준데이터'!$A$3:$J$5,7,FALSE),""))</f>
        <v/>
      </c>
      <c r="K104" s="20" t="n"/>
      <c r="L104" s="13" t="n"/>
      <c r="M104" s="16">
        <f>IF(B104="","",IFERROR(I104+VLOOKUP(B104,'Reference Data 기준데이터'!$A$3:$J$5,8,FALSE),""))</f>
        <v/>
      </c>
      <c r="N104" s="20" t="n"/>
      <c r="O104" s="16">
        <f>IF(B104="","",IFERROR(IF(G104="차량장착",MAX(I104+VLOOKUP(B104,'Reference Data 기준데이터'!$A$3:$J$5,9,FALSE),VLOOKUP(B104,'Reference Data 기준데이터'!$A$3:$J$5,4,FALSE)),I104+VLOOKUP(B104,'Reference Data 기준데이터'!$A$3:$J$5,9,FALSE)),""))</f>
        <v/>
      </c>
      <c r="P104" s="20" t="n"/>
      <c r="Q104" s="16">
        <f>IF(B104="","",IFERROR(O104+VLOOKUP(F104,'Reference Data 기준데이터'!$A$9:$E$26,4,FALSE),""))</f>
        <v/>
      </c>
      <c r="R104" s="20" t="n"/>
      <c r="S104" s="16">
        <f>IF(B104="","",IFERROR(MIN(I104+VLOOKUP(B104,'Reference Data 기준데이터'!$A$3:$J$5,10,FALSE),VLOOKUP(B104,'Reference Data 기준데이터'!$A$3:$J$5,6,FALSE)),""))</f>
        <v/>
      </c>
      <c r="T104" s="20" t="n"/>
      <c r="U104" s="13" t="n"/>
      <c r="V104" s="17">
        <f>IF(B104="","",IF(U104&lt;&gt;"",U104,IF(AND(T104&lt;&gt;"",R104&lt;&gt;""),"11-결과등록완료",IF(AND(R104&lt;&gt;"",T104=""),"10-시험완료",IF(AND(P104&lt;&gt;"",R104=""),"09-시험준비중",IF(AND(N104&lt;&gt;"",P104=""),"08-단품준비완료",IF(L104="Approved","05-계획서승인",IF(L104="Revision Needed","04-검토중_보완",IF(L104="Under Review","03-검토중",IF(AND(K104&lt;&gt;"",L104=""),"02-제출_미검토","01-미제출"))))))))))</f>
        <v/>
      </c>
      <c r="W104" s="18">
        <f>IF(B104="","",IFS(V104="01-미제출",0,V104="02-제출_미검토",0.05,V104="03-검토중",0.1,V104="04-검토중_보완",0.05,V104="05-계획서승인",0.2,V104="06-BIW중단",0.15,V104="07-미인수",0.3,V104="08-단품준비완료",0.4,V104="09-시험준비중",0.55,V104="10-시험완료",0.85,V104="11-결과등록완료",1,V104="12-조건부승인",0.9,TRUE,0))</f>
        <v/>
      </c>
      <c r="X104" s="5">
        <f>IF(B104="","",IF(T104&lt;&gt;"","-",IF(S104="","N/A",S104-TODAY())))</f>
        <v/>
      </c>
      <c r="Y104" s="17">
        <f>IF(B104="","",IF(V104="11-결과등록완료","DONE",IF(U104="06-BIW중단","BLOCKED",IF(AND(K104="",J104&lt;TODAY()),"CRITICAL",IF(AND(ISNUMBER(X104),X104&lt;=0),"OVERDUE",IF(AND(ISNUMBER(X104),X104&lt;=14),"WARNING",IF(U104&lt;&gt;"","ACTION","ON TRACK")))))))</f>
        <v/>
      </c>
      <c r="Z104" s="5">
        <f>IF(B104="","",IF(OR(T104&lt;&gt;"",R104&lt;&gt;"",P104&lt;&gt;"",N104&lt;&gt;"",K104&lt;&gt;""),TODAY()-MAX(T104,R104,P104,N104,K104),"—"))</f>
        <v/>
      </c>
      <c r="AA104" s="19">
        <f>IF(B104="","",IF(V104="11-결과등록완료","— 완료",IF(V104="01-미제출",IF(J104&lt;TODAY(),"계획서 제출 독촉 (OVERDUE)","계획서 제출 대기"),IF(V104="02-제출_미검토","설계자: 계획서 검토 착수",IF(V104="03-검토중","설계자: 승인 처리",IF(V104="04-검토중_보완","보완 요청 → 협력사 재제출 독촉",IF(V104="05-계획서승인","시험편 준비 현황 확인",IF(V104="06-BIW중단","BIW 생산팀 확인 → 일정 재수립",IF(V104="07-미인수","협력사 인수 독촉",IF(V104="08-단품준비완료","시험 일정 확인",IF(V104="09-시험준비중","시험 진행 모니터링",IF(V104="10-시험완료","결과 보고서 전산 등록 독촉",IF(V104="12-조건부승인","조건부 승인 여부 판단 → 관련부서 협의","—")))))))))))))</f>
        <v/>
      </c>
      <c r="AB104" s="15" t="n"/>
    </row>
    <row r="105">
      <c r="A105" s="5">
        <f>IF(B105="","",ROW()-4)</f>
        <v/>
      </c>
      <c r="B105" s="13" t="n"/>
      <c r="C105" s="14">
        <f>IF(B105="","",IFERROR(VLOOKUP(D105,'Reference Data 기준데이터'!$A$30:$D$41,2,FALSE),""))</f>
        <v/>
      </c>
      <c r="D105" s="15" t="n"/>
      <c r="E105" s="14">
        <f>IF(B105="","",IFERROR(VLOOKUP(D105,'Reference Data 기준데이터'!$A$30:$D$41,3,FALSE),""))</f>
        <v/>
      </c>
      <c r="F105" s="15" t="n"/>
      <c r="G105" s="14">
        <f>IF(B105="","",IFERROR(VLOOKUP(F105,'Reference Data 기준데이터'!$A$9:$E$26,2,FALSE),""))</f>
        <v/>
      </c>
      <c r="H105" s="14">
        <f>IF(B105="","",IFERROR(VLOOKUP(F105,'Reference Data 기준데이터'!$A$9:$E$26,5,FALSE),""))</f>
        <v/>
      </c>
      <c r="I105" s="16">
        <f>IF(B105="","",IFERROR(VLOOKUP(B105,'Reference Data 기준데이터'!$A$3:$J$5,3,FALSE),""))</f>
        <v/>
      </c>
      <c r="J105" s="16">
        <f>IF(B105="","",IFERROR(I105+VLOOKUP(B105,'Reference Data 기준데이터'!$A$3:$J$5,7,FALSE),""))</f>
        <v/>
      </c>
      <c r="K105" s="20" t="n"/>
      <c r="L105" s="13" t="n"/>
      <c r="M105" s="16">
        <f>IF(B105="","",IFERROR(I105+VLOOKUP(B105,'Reference Data 기준데이터'!$A$3:$J$5,8,FALSE),""))</f>
        <v/>
      </c>
      <c r="N105" s="20" t="n"/>
      <c r="O105" s="16">
        <f>IF(B105="","",IFERROR(IF(G105="차량장착",MAX(I105+VLOOKUP(B105,'Reference Data 기준데이터'!$A$3:$J$5,9,FALSE),VLOOKUP(B105,'Reference Data 기준데이터'!$A$3:$J$5,4,FALSE)),I105+VLOOKUP(B105,'Reference Data 기준데이터'!$A$3:$J$5,9,FALSE)),""))</f>
        <v/>
      </c>
      <c r="P105" s="20" t="n"/>
      <c r="Q105" s="16">
        <f>IF(B105="","",IFERROR(O105+VLOOKUP(F105,'Reference Data 기준데이터'!$A$9:$E$26,4,FALSE),""))</f>
        <v/>
      </c>
      <c r="R105" s="20" t="n"/>
      <c r="S105" s="16">
        <f>IF(B105="","",IFERROR(MIN(I105+VLOOKUP(B105,'Reference Data 기준데이터'!$A$3:$J$5,10,FALSE),VLOOKUP(B105,'Reference Data 기준데이터'!$A$3:$J$5,6,FALSE)),""))</f>
        <v/>
      </c>
      <c r="T105" s="20" t="n"/>
      <c r="U105" s="13" t="n"/>
      <c r="V105" s="17">
        <f>IF(B105="","",IF(U105&lt;&gt;"",U105,IF(AND(T105&lt;&gt;"",R105&lt;&gt;""),"11-결과등록완료",IF(AND(R105&lt;&gt;"",T105=""),"10-시험완료",IF(AND(P105&lt;&gt;"",R105=""),"09-시험준비중",IF(AND(N105&lt;&gt;"",P105=""),"08-단품준비완료",IF(L105="Approved","05-계획서승인",IF(L105="Revision Needed","04-검토중_보완",IF(L105="Under Review","03-검토중",IF(AND(K105&lt;&gt;"",L105=""),"02-제출_미검토","01-미제출"))))))))))</f>
        <v/>
      </c>
      <c r="W105" s="18">
        <f>IF(B105="","",IFS(V105="01-미제출",0,V105="02-제출_미검토",0.05,V105="03-검토중",0.1,V105="04-검토중_보완",0.05,V105="05-계획서승인",0.2,V105="06-BIW중단",0.15,V105="07-미인수",0.3,V105="08-단품준비완료",0.4,V105="09-시험준비중",0.55,V105="10-시험완료",0.85,V105="11-결과등록완료",1,V105="12-조건부승인",0.9,TRUE,0))</f>
        <v/>
      </c>
      <c r="X105" s="5">
        <f>IF(B105="","",IF(T105&lt;&gt;"","-",IF(S105="","N/A",S105-TODAY())))</f>
        <v/>
      </c>
      <c r="Y105" s="17">
        <f>IF(B105="","",IF(V105="11-결과등록완료","DONE",IF(U105="06-BIW중단","BLOCKED",IF(AND(K105="",J105&lt;TODAY()),"CRITICAL",IF(AND(ISNUMBER(X105),X105&lt;=0),"OVERDUE",IF(AND(ISNUMBER(X105),X105&lt;=14),"WARNING",IF(U105&lt;&gt;"","ACTION","ON TRACK")))))))</f>
        <v/>
      </c>
      <c r="Z105" s="5">
        <f>IF(B105="","",IF(OR(T105&lt;&gt;"",R105&lt;&gt;"",P105&lt;&gt;"",N105&lt;&gt;"",K105&lt;&gt;""),TODAY()-MAX(T105,R105,P105,N105,K105),"—"))</f>
        <v/>
      </c>
      <c r="AA105" s="19">
        <f>IF(B105="","",IF(V105="11-결과등록완료","— 완료",IF(V105="01-미제출",IF(J105&lt;TODAY(),"계획서 제출 독촉 (OVERDUE)","계획서 제출 대기"),IF(V105="02-제출_미검토","설계자: 계획서 검토 착수",IF(V105="03-검토중","설계자: 승인 처리",IF(V105="04-검토중_보완","보완 요청 → 협력사 재제출 독촉",IF(V105="05-계획서승인","시험편 준비 현황 확인",IF(V105="06-BIW중단","BIW 생산팀 확인 → 일정 재수립",IF(V105="07-미인수","협력사 인수 독촉",IF(V105="08-단품준비완료","시험 일정 확인",IF(V105="09-시험준비중","시험 진행 모니터링",IF(V105="10-시험완료","결과 보고서 전산 등록 독촉",IF(V105="12-조건부승인","조건부 승인 여부 판단 → 관련부서 협의","—")))))))))))))</f>
        <v/>
      </c>
      <c r="AB105" s="15" t="n"/>
    </row>
    <row r="106">
      <c r="A106" s="5">
        <f>IF(B106="","",ROW()-4)</f>
        <v/>
      </c>
      <c r="B106" s="13" t="n"/>
      <c r="C106" s="14">
        <f>IF(B106="","",IFERROR(VLOOKUP(D106,'Reference Data 기준데이터'!$A$30:$D$41,2,FALSE),""))</f>
        <v/>
      </c>
      <c r="D106" s="15" t="n"/>
      <c r="E106" s="14">
        <f>IF(B106="","",IFERROR(VLOOKUP(D106,'Reference Data 기준데이터'!$A$30:$D$41,3,FALSE),""))</f>
        <v/>
      </c>
      <c r="F106" s="15" t="n"/>
      <c r="G106" s="14">
        <f>IF(B106="","",IFERROR(VLOOKUP(F106,'Reference Data 기준데이터'!$A$9:$E$26,2,FALSE),""))</f>
        <v/>
      </c>
      <c r="H106" s="14">
        <f>IF(B106="","",IFERROR(VLOOKUP(F106,'Reference Data 기준데이터'!$A$9:$E$26,5,FALSE),""))</f>
        <v/>
      </c>
      <c r="I106" s="16">
        <f>IF(B106="","",IFERROR(VLOOKUP(B106,'Reference Data 기준데이터'!$A$3:$J$5,3,FALSE),""))</f>
        <v/>
      </c>
      <c r="J106" s="16">
        <f>IF(B106="","",IFERROR(I106+VLOOKUP(B106,'Reference Data 기준데이터'!$A$3:$J$5,7,FALSE),""))</f>
        <v/>
      </c>
      <c r="K106" s="20" t="n"/>
      <c r="L106" s="13" t="n"/>
      <c r="M106" s="16">
        <f>IF(B106="","",IFERROR(I106+VLOOKUP(B106,'Reference Data 기준데이터'!$A$3:$J$5,8,FALSE),""))</f>
        <v/>
      </c>
      <c r="N106" s="20" t="n"/>
      <c r="O106" s="16">
        <f>IF(B106="","",IFERROR(IF(G106="차량장착",MAX(I106+VLOOKUP(B106,'Reference Data 기준데이터'!$A$3:$J$5,9,FALSE),VLOOKUP(B106,'Reference Data 기준데이터'!$A$3:$J$5,4,FALSE)),I106+VLOOKUP(B106,'Reference Data 기준데이터'!$A$3:$J$5,9,FALSE)),""))</f>
        <v/>
      </c>
      <c r="P106" s="20" t="n"/>
      <c r="Q106" s="16">
        <f>IF(B106="","",IFERROR(O106+VLOOKUP(F106,'Reference Data 기준데이터'!$A$9:$E$26,4,FALSE),""))</f>
        <v/>
      </c>
      <c r="R106" s="20" t="n"/>
      <c r="S106" s="16">
        <f>IF(B106="","",IFERROR(MIN(I106+VLOOKUP(B106,'Reference Data 기준데이터'!$A$3:$J$5,10,FALSE),VLOOKUP(B106,'Reference Data 기준데이터'!$A$3:$J$5,6,FALSE)),""))</f>
        <v/>
      </c>
      <c r="T106" s="20" t="n"/>
      <c r="U106" s="13" t="n"/>
      <c r="V106" s="17">
        <f>IF(B106="","",IF(U106&lt;&gt;"",U106,IF(AND(T106&lt;&gt;"",R106&lt;&gt;""),"11-결과등록완료",IF(AND(R106&lt;&gt;"",T106=""),"10-시험완료",IF(AND(P106&lt;&gt;"",R106=""),"09-시험준비중",IF(AND(N106&lt;&gt;"",P106=""),"08-단품준비완료",IF(L106="Approved","05-계획서승인",IF(L106="Revision Needed","04-검토중_보완",IF(L106="Under Review","03-검토중",IF(AND(K106&lt;&gt;"",L106=""),"02-제출_미검토","01-미제출"))))))))))</f>
        <v/>
      </c>
      <c r="W106" s="18">
        <f>IF(B106="","",IFS(V106="01-미제출",0,V106="02-제출_미검토",0.05,V106="03-검토중",0.1,V106="04-검토중_보완",0.05,V106="05-계획서승인",0.2,V106="06-BIW중단",0.15,V106="07-미인수",0.3,V106="08-단품준비완료",0.4,V106="09-시험준비중",0.55,V106="10-시험완료",0.85,V106="11-결과등록완료",1,V106="12-조건부승인",0.9,TRUE,0))</f>
        <v/>
      </c>
      <c r="X106" s="5">
        <f>IF(B106="","",IF(T106&lt;&gt;"","-",IF(S106="","N/A",S106-TODAY())))</f>
        <v/>
      </c>
      <c r="Y106" s="17">
        <f>IF(B106="","",IF(V106="11-결과등록완료","DONE",IF(U106="06-BIW중단","BLOCKED",IF(AND(K106="",J106&lt;TODAY()),"CRITICAL",IF(AND(ISNUMBER(X106),X106&lt;=0),"OVERDUE",IF(AND(ISNUMBER(X106),X106&lt;=14),"WARNING",IF(U106&lt;&gt;"","ACTION","ON TRACK")))))))</f>
        <v/>
      </c>
      <c r="Z106" s="5">
        <f>IF(B106="","",IF(OR(T106&lt;&gt;"",R106&lt;&gt;"",P106&lt;&gt;"",N106&lt;&gt;"",K106&lt;&gt;""),TODAY()-MAX(T106,R106,P106,N106,K106),"—"))</f>
        <v/>
      </c>
      <c r="AA106" s="19">
        <f>IF(B106="","",IF(V106="11-결과등록완료","— 완료",IF(V106="01-미제출",IF(J106&lt;TODAY(),"계획서 제출 독촉 (OVERDUE)","계획서 제출 대기"),IF(V106="02-제출_미검토","설계자: 계획서 검토 착수",IF(V106="03-검토중","설계자: 승인 처리",IF(V106="04-검토중_보완","보완 요청 → 협력사 재제출 독촉",IF(V106="05-계획서승인","시험편 준비 현황 확인",IF(V106="06-BIW중단","BIW 생산팀 확인 → 일정 재수립",IF(V106="07-미인수","협력사 인수 독촉",IF(V106="08-단품준비완료","시험 일정 확인",IF(V106="09-시험준비중","시험 진행 모니터링",IF(V106="10-시험완료","결과 보고서 전산 등록 독촉",IF(V106="12-조건부승인","조건부 승인 여부 판단 → 관련부서 협의","—")))))))))))))</f>
        <v/>
      </c>
      <c r="AB106" s="15" t="n"/>
    </row>
    <row r="107">
      <c r="A107" s="5">
        <f>IF(B107="","",ROW()-4)</f>
        <v/>
      </c>
      <c r="B107" s="13" t="n"/>
      <c r="C107" s="14">
        <f>IF(B107="","",IFERROR(VLOOKUP(D107,'Reference Data 기준데이터'!$A$30:$D$41,2,FALSE),""))</f>
        <v/>
      </c>
      <c r="D107" s="15" t="n"/>
      <c r="E107" s="14">
        <f>IF(B107="","",IFERROR(VLOOKUP(D107,'Reference Data 기준데이터'!$A$30:$D$41,3,FALSE),""))</f>
        <v/>
      </c>
      <c r="F107" s="15" t="n"/>
      <c r="G107" s="14">
        <f>IF(B107="","",IFERROR(VLOOKUP(F107,'Reference Data 기준데이터'!$A$9:$E$26,2,FALSE),""))</f>
        <v/>
      </c>
      <c r="H107" s="14">
        <f>IF(B107="","",IFERROR(VLOOKUP(F107,'Reference Data 기준데이터'!$A$9:$E$26,5,FALSE),""))</f>
        <v/>
      </c>
      <c r="I107" s="16">
        <f>IF(B107="","",IFERROR(VLOOKUP(B107,'Reference Data 기준데이터'!$A$3:$J$5,3,FALSE),""))</f>
        <v/>
      </c>
      <c r="J107" s="16">
        <f>IF(B107="","",IFERROR(I107+VLOOKUP(B107,'Reference Data 기준데이터'!$A$3:$J$5,7,FALSE),""))</f>
        <v/>
      </c>
      <c r="K107" s="20" t="n"/>
      <c r="L107" s="13" t="n"/>
      <c r="M107" s="16">
        <f>IF(B107="","",IFERROR(I107+VLOOKUP(B107,'Reference Data 기준데이터'!$A$3:$J$5,8,FALSE),""))</f>
        <v/>
      </c>
      <c r="N107" s="20" t="n"/>
      <c r="O107" s="16">
        <f>IF(B107="","",IFERROR(IF(G107="차량장착",MAX(I107+VLOOKUP(B107,'Reference Data 기준데이터'!$A$3:$J$5,9,FALSE),VLOOKUP(B107,'Reference Data 기준데이터'!$A$3:$J$5,4,FALSE)),I107+VLOOKUP(B107,'Reference Data 기준데이터'!$A$3:$J$5,9,FALSE)),""))</f>
        <v/>
      </c>
      <c r="P107" s="20" t="n"/>
      <c r="Q107" s="16">
        <f>IF(B107="","",IFERROR(O107+VLOOKUP(F107,'Reference Data 기준데이터'!$A$9:$E$26,4,FALSE),""))</f>
        <v/>
      </c>
      <c r="R107" s="20" t="n"/>
      <c r="S107" s="16">
        <f>IF(B107="","",IFERROR(MIN(I107+VLOOKUP(B107,'Reference Data 기준데이터'!$A$3:$J$5,10,FALSE),VLOOKUP(B107,'Reference Data 기준데이터'!$A$3:$J$5,6,FALSE)),""))</f>
        <v/>
      </c>
      <c r="T107" s="20" t="n"/>
      <c r="U107" s="13" t="n"/>
      <c r="V107" s="17">
        <f>IF(B107="","",IF(U107&lt;&gt;"",U107,IF(AND(T107&lt;&gt;"",R107&lt;&gt;""),"11-결과등록완료",IF(AND(R107&lt;&gt;"",T107=""),"10-시험완료",IF(AND(P107&lt;&gt;"",R107=""),"09-시험준비중",IF(AND(N107&lt;&gt;"",P107=""),"08-단품준비완료",IF(L107="Approved","05-계획서승인",IF(L107="Revision Needed","04-검토중_보완",IF(L107="Under Review","03-검토중",IF(AND(K107&lt;&gt;"",L107=""),"02-제출_미검토","01-미제출"))))))))))</f>
        <v/>
      </c>
      <c r="W107" s="18">
        <f>IF(B107="","",IFS(V107="01-미제출",0,V107="02-제출_미검토",0.05,V107="03-검토중",0.1,V107="04-검토중_보완",0.05,V107="05-계획서승인",0.2,V107="06-BIW중단",0.15,V107="07-미인수",0.3,V107="08-단품준비완료",0.4,V107="09-시험준비중",0.55,V107="10-시험완료",0.85,V107="11-결과등록완료",1,V107="12-조건부승인",0.9,TRUE,0))</f>
        <v/>
      </c>
      <c r="X107" s="5">
        <f>IF(B107="","",IF(T107&lt;&gt;"","-",IF(S107="","N/A",S107-TODAY())))</f>
        <v/>
      </c>
      <c r="Y107" s="17">
        <f>IF(B107="","",IF(V107="11-결과등록완료","DONE",IF(U107="06-BIW중단","BLOCKED",IF(AND(K107="",J107&lt;TODAY()),"CRITICAL",IF(AND(ISNUMBER(X107),X107&lt;=0),"OVERDUE",IF(AND(ISNUMBER(X107),X107&lt;=14),"WARNING",IF(U107&lt;&gt;"","ACTION","ON TRACK")))))))</f>
        <v/>
      </c>
      <c r="Z107" s="5">
        <f>IF(B107="","",IF(OR(T107&lt;&gt;"",R107&lt;&gt;"",P107&lt;&gt;"",N107&lt;&gt;"",K107&lt;&gt;""),TODAY()-MAX(T107,R107,P107,N107,K107),"—"))</f>
        <v/>
      </c>
      <c r="AA107" s="19">
        <f>IF(B107="","",IF(V107="11-결과등록완료","— 완료",IF(V107="01-미제출",IF(J107&lt;TODAY(),"계획서 제출 독촉 (OVERDUE)","계획서 제출 대기"),IF(V107="02-제출_미검토","설계자: 계획서 검토 착수",IF(V107="03-검토중","설계자: 승인 처리",IF(V107="04-검토중_보완","보완 요청 → 협력사 재제출 독촉",IF(V107="05-계획서승인","시험편 준비 현황 확인",IF(V107="06-BIW중단","BIW 생산팀 확인 → 일정 재수립",IF(V107="07-미인수","협력사 인수 독촉",IF(V107="08-단품준비완료","시험 일정 확인",IF(V107="09-시험준비중","시험 진행 모니터링",IF(V107="10-시험완료","결과 보고서 전산 등록 독촉",IF(V107="12-조건부승인","조건부 승인 여부 판단 → 관련부서 협의","—")))))))))))))</f>
        <v/>
      </c>
      <c r="AB107" s="15" t="n"/>
    </row>
    <row r="108">
      <c r="A108" s="5">
        <f>IF(B108="","",ROW()-4)</f>
        <v/>
      </c>
      <c r="B108" s="13" t="n"/>
      <c r="C108" s="14">
        <f>IF(B108="","",IFERROR(VLOOKUP(D108,'Reference Data 기준데이터'!$A$30:$D$41,2,FALSE),""))</f>
        <v/>
      </c>
      <c r="D108" s="15" t="n"/>
      <c r="E108" s="14">
        <f>IF(B108="","",IFERROR(VLOOKUP(D108,'Reference Data 기준데이터'!$A$30:$D$41,3,FALSE),""))</f>
        <v/>
      </c>
      <c r="F108" s="15" t="n"/>
      <c r="G108" s="14">
        <f>IF(B108="","",IFERROR(VLOOKUP(F108,'Reference Data 기준데이터'!$A$9:$E$26,2,FALSE),""))</f>
        <v/>
      </c>
      <c r="H108" s="14">
        <f>IF(B108="","",IFERROR(VLOOKUP(F108,'Reference Data 기준데이터'!$A$9:$E$26,5,FALSE),""))</f>
        <v/>
      </c>
      <c r="I108" s="16">
        <f>IF(B108="","",IFERROR(VLOOKUP(B108,'Reference Data 기준데이터'!$A$3:$J$5,3,FALSE),""))</f>
        <v/>
      </c>
      <c r="J108" s="16">
        <f>IF(B108="","",IFERROR(I108+VLOOKUP(B108,'Reference Data 기준데이터'!$A$3:$J$5,7,FALSE),""))</f>
        <v/>
      </c>
      <c r="K108" s="20" t="n"/>
      <c r="L108" s="13" t="n"/>
      <c r="M108" s="16">
        <f>IF(B108="","",IFERROR(I108+VLOOKUP(B108,'Reference Data 기준데이터'!$A$3:$J$5,8,FALSE),""))</f>
        <v/>
      </c>
      <c r="N108" s="20" t="n"/>
      <c r="O108" s="16">
        <f>IF(B108="","",IFERROR(IF(G108="차량장착",MAX(I108+VLOOKUP(B108,'Reference Data 기준데이터'!$A$3:$J$5,9,FALSE),VLOOKUP(B108,'Reference Data 기준데이터'!$A$3:$J$5,4,FALSE)),I108+VLOOKUP(B108,'Reference Data 기준데이터'!$A$3:$J$5,9,FALSE)),""))</f>
        <v/>
      </c>
      <c r="P108" s="20" t="n"/>
      <c r="Q108" s="16">
        <f>IF(B108="","",IFERROR(O108+VLOOKUP(F108,'Reference Data 기준데이터'!$A$9:$E$26,4,FALSE),""))</f>
        <v/>
      </c>
      <c r="R108" s="20" t="n"/>
      <c r="S108" s="16">
        <f>IF(B108="","",IFERROR(MIN(I108+VLOOKUP(B108,'Reference Data 기준데이터'!$A$3:$J$5,10,FALSE),VLOOKUP(B108,'Reference Data 기준데이터'!$A$3:$J$5,6,FALSE)),""))</f>
        <v/>
      </c>
      <c r="T108" s="20" t="n"/>
      <c r="U108" s="13" t="n"/>
      <c r="V108" s="17">
        <f>IF(B108="","",IF(U108&lt;&gt;"",U108,IF(AND(T108&lt;&gt;"",R108&lt;&gt;""),"11-결과등록완료",IF(AND(R108&lt;&gt;"",T108=""),"10-시험완료",IF(AND(P108&lt;&gt;"",R108=""),"09-시험준비중",IF(AND(N108&lt;&gt;"",P108=""),"08-단품준비완료",IF(L108="Approved","05-계획서승인",IF(L108="Revision Needed","04-검토중_보완",IF(L108="Under Review","03-검토중",IF(AND(K108&lt;&gt;"",L108=""),"02-제출_미검토","01-미제출"))))))))))</f>
        <v/>
      </c>
      <c r="W108" s="18">
        <f>IF(B108="","",IFS(V108="01-미제출",0,V108="02-제출_미검토",0.05,V108="03-검토중",0.1,V108="04-검토중_보완",0.05,V108="05-계획서승인",0.2,V108="06-BIW중단",0.15,V108="07-미인수",0.3,V108="08-단품준비완료",0.4,V108="09-시험준비중",0.55,V108="10-시험완료",0.85,V108="11-결과등록완료",1,V108="12-조건부승인",0.9,TRUE,0))</f>
        <v/>
      </c>
      <c r="X108" s="5">
        <f>IF(B108="","",IF(T108&lt;&gt;"","-",IF(S108="","N/A",S108-TODAY())))</f>
        <v/>
      </c>
      <c r="Y108" s="17">
        <f>IF(B108="","",IF(V108="11-결과등록완료","DONE",IF(U108="06-BIW중단","BLOCKED",IF(AND(K108="",J108&lt;TODAY()),"CRITICAL",IF(AND(ISNUMBER(X108),X108&lt;=0),"OVERDUE",IF(AND(ISNUMBER(X108),X108&lt;=14),"WARNING",IF(U108&lt;&gt;"","ACTION","ON TRACK")))))))</f>
        <v/>
      </c>
      <c r="Z108" s="5">
        <f>IF(B108="","",IF(OR(T108&lt;&gt;"",R108&lt;&gt;"",P108&lt;&gt;"",N108&lt;&gt;"",K108&lt;&gt;""),TODAY()-MAX(T108,R108,P108,N108,K108),"—"))</f>
        <v/>
      </c>
      <c r="AA108" s="19">
        <f>IF(B108="","",IF(V108="11-결과등록완료","— 완료",IF(V108="01-미제출",IF(J108&lt;TODAY(),"계획서 제출 독촉 (OVERDUE)","계획서 제출 대기"),IF(V108="02-제출_미검토","설계자: 계획서 검토 착수",IF(V108="03-검토중","설계자: 승인 처리",IF(V108="04-검토중_보완","보완 요청 → 협력사 재제출 독촉",IF(V108="05-계획서승인","시험편 준비 현황 확인",IF(V108="06-BIW중단","BIW 생산팀 확인 → 일정 재수립",IF(V108="07-미인수","협력사 인수 독촉",IF(V108="08-단품준비완료","시험 일정 확인",IF(V108="09-시험준비중","시험 진행 모니터링",IF(V108="10-시험완료","결과 보고서 전산 등록 독촉",IF(V108="12-조건부승인","조건부 승인 여부 판단 → 관련부서 협의","—")))))))))))))</f>
        <v/>
      </c>
      <c r="AB108" s="15" t="n"/>
    </row>
    <row r="109">
      <c r="A109" s="5">
        <f>IF(B109="","",ROW()-4)</f>
        <v/>
      </c>
      <c r="B109" s="13" t="n"/>
      <c r="C109" s="14">
        <f>IF(B109="","",IFERROR(VLOOKUP(D109,'Reference Data 기준데이터'!$A$30:$D$41,2,FALSE),""))</f>
        <v/>
      </c>
      <c r="D109" s="15" t="n"/>
      <c r="E109" s="14">
        <f>IF(B109="","",IFERROR(VLOOKUP(D109,'Reference Data 기준데이터'!$A$30:$D$41,3,FALSE),""))</f>
        <v/>
      </c>
      <c r="F109" s="15" t="n"/>
      <c r="G109" s="14">
        <f>IF(B109="","",IFERROR(VLOOKUP(F109,'Reference Data 기준데이터'!$A$9:$E$26,2,FALSE),""))</f>
        <v/>
      </c>
      <c r="H109" s="14">
        <f>IF(B109="","",IFERROR(VLOOKUP(F109,'Reference Data 기준데이터'!$A$9:$E$26,5,FALSE),""))</f>
        <v/>
      </c>
      <c r="I109" s="16">
        <f>IF(B109="","",IFERROR(VLOOKUP(B109,'Reference Data 기준데이터'!$A$3:$J$5,3,FALSE),""))</f>
        <v/>
      </c>
      <c r="J109" s="16">
        <f>IF(B109="","",IFERROR(I109+VLOOKUP(B109,'Reference Data 기준데이터'!$A$3:$J$5,7,FALSE),""))</f>
        <v/>
      </c>
      <c r="K109" s="20" t="n"/>
      <c r="L109" s="13" t="n"/>
      <c r="M109" s="16">
        <f>IF(B109="","",IFERROR(I109+VLOOKUP(B109,'Reference Data 기준데이터'!$A$3:$J$5,8,FALSE),""))</f>
        <v/>
      </c>
      <c r="N109" s="20" t="n"/>
      <c r="O109" s="16">
        <f>IF(B109="","",IFERROR(IF(G109="차량장착",MAX(I109+VLOOKUP(B109,'Reference Data 기준데이터'!$A$3:$J$5,9,FALSE),VLOOKUP(B109,'Reference Data 기준데이터'!$A$3:$J$5,4,FALSE)),I109+VLOOKUP(B109,'Reference Data 기준데이터'!$A$3:$J$5,9,FALSE)),""))</f>
        <v/>
      </c>
      <c r="P109" s="20" t="n"/>
      <c r="Q109" s="16">
        <f>IF(B109="","",IFERROR(O109+VLOOKUP(F109,'Reference Data 기준데이터'!$A$9:$E$26,4,FALSE),""))</f>
        <v/>
      </c>
      <c r="R109" s="20" t="n"/>
      <c r="S109" s="16">
        <f>IF(B109="","",IFERROR(MIN(I109+VLOOKUP(B109,'Reference Data 기준데이터'!$A$3:$J$5,10,FALSE),VLOOKUP(B109,'Reference Data 기준데이터'!$A$3:$J$5,6,FALSE)),""))</f>
        <v/>
      </c>
      <c r="T109" s="20" t="n"/>
      <c r="U109" s="13" t="n"/>
      <c r="V109" s="17">
        <f>IF(B109="","",IF(U109&lt;&gt;"",U109,IF(AND(T109&lt;&gt;"",R109&lt;&gt;""),"11-결과등록완료",IF(AND(R109&lt;&gt;"",T109=""),"10-시험완료",IF(AND(P109&lt;&gt;"",R109=""),"09-시험준비중",IF(AND(N109&lt;&gt;"",P109=""),"08-단품준비완료",IF(L109="Approved","05-계획서승인",IF(L109="Revision Needed","04-검토중_보완",IF(L109="Under Review","03-검토중",IF(AND(K109&lt;&gt;"",L109=""),"02-제출_미검토","01-미제출"))))))))))</f>
        <v/>
      </c>
      <c r="W109" s="18">
        <f>IF(B109="","",IFS(V109="01-미제출",0,V109="02-제출_미검토",0.05,V109="03-검토중",0.1,V109="04-검토중_보완",0.05,V109="05-계획서승인",0.2,V109="06-BIW중단",0.15,V109="07-미인수",0.3,V109="08-단품준비완료",0.4,V109="09-시험준비중",0.55,V109="10-시험완료",0.85,V109="11-결과등록완료",1,V109="12-조건부승인",0.9,TRUE,0))</f>
        <v/>
      </c>
      <c r="X109" s="5">
        <f>IF(B109="","",IF(T109&lt;&gt;"","-",IF(S109="","N/A",S109-TODAY())))</f>
        <v/>
      </c>
      <c r="Y109" s="17">
        <f>IF(B109="","",IF(V109="11-결과등록완료","DONE",IF(U109="06-BIW중단","BLOCKED",IF(AND(K109="",J109&lt;TODAY()),"CRITICAL",IF(AND(ISNUMBER(X109),X109&lt;=0),"OVERDUE",IF(AND(ISNUMBER(X109),X109&lt;=14),"WARNING",IF(U109&lt;&gt;"","ACTION","ON TRACK")))))))</f>
        <v/>
      </c>
      <c r="Z109" s="5">
        <f>IF(B109="","",IF(OR(T109&lt;&gt;"",R109&lt;&gt;"",P109&lt;&gt;"",N109&lt;&gt;"",K109&lt;&gt;""),TODAY()-MAX(T109,R109,P109,N109,K109),"—"))</f>
        <v/>
      </c>
      <c r="AA109" s="19">
        <f>IF(B109="","",IF(V109="11-결과등록완료","— 완료",IF(V109="01-미제출",IF(J109&lt;TODAY(),"계획서 제출 독촉 (OVERDUE)","계획서 제출 대기"),IF(V109="02-제출_미검토","설계자: 계획서 검토 착수",IF(V109="03-검토중","설계자: 승인 처리",IF(V109="04-검토중_보완","보완 요청 → 협력사 재제출 독촉",IF(V109="05-계획서승인","시험편 준비 현황 확인",IF(V109="06-BIW중단","BIW 생산팀 확인 → 일정 재수립",IF(V109="07-미인수","협력사 인수 독촉",IF(V109="08-단품준비완료","시험 일정 확인",IF(V109="09-시험준비중","시험 진행 모니터링",IF(V109="10-시험완료","결과 보고서 전산 등록 독촉",IF(V109="12-조건부승인","조건부 승인 여부 판단 → 관련부서 협의","—")))))))))))))</f>
        <v/>
      </c>
      <c r="AB109" s="15" t="n"/>
    </row>
    <row r="110">
      <c r="A110" s="5">
        <f>IF(B110="","",ROW()-4)</f>
        <v/>
      </c>
      <c r="B110" s="13" t="n"/>
      <c r="C110" s="14">
        <f>IF(B110="","",IFERROR(VLOOKUP(D110,'Reference Data 기준데이터'!$A$30:$D$41,2,FALSE),""))</f>
        <v/>
      </c>
      <c r="D110" s="15" t="n"/>
      <c r="E110" s="14">
        <f>IF(B110="","",IFERROR(VLOOKUP(D110,'Reference Data 기준데이터'!$A$30:$D$41,3,FALSE),""))</f>
        <v/>
      </c>
      <c r="F110" s="15" t="n"/>
      <c r="G110" s="14">
        <f>IF(B110="","",IFERROR(VLOOKUP(F110,'Reference Data 기준데이터'!$A$9:$E$26,2,FALSE),""))</f>
        <v/>
      </c>
      <c r="H110" s="14">
        <f>IF(B110="","",IFERROR(VLOOKUP(F110,'Reference Data 기준데이터'!$A$9:$E$26,5,FALSE),""))</f>
        <v/>
      </c>
      <c r="I110" s="16">
        <f>IF(B110="","",IFERROR(VLOOKUP(B110,'Reference Data 기준데이터'!$A$3:$J$5,3,FALSE),""))</f>
        <v/>
      </c>
      <c r="J110" s="16">
        <f>IF(B110="","",IFERROR(I110+VLOOKUP(B110,'Reference Data 기준데이터'!$A$3:$J$5,7,FALSE),""))</f>
        <v/>
      </c>
      <c r="K110" s="20" t="n"/>
      <c r="L110" s="13" t="n"/>
      <c r="M110" s="16">
        <f>IF(B110="","",IFERROR(I110+VLOOKUP(B110,'Reference Data 기준데이터'!$A$3:$J$5,8,FALSE),""))</f>
        <v/>
      </c>
      <c r="N110" s="20" t="n"/>
      <c r="O110" s="16">
        <f>IF(B110="","",IFERROR(IF(G110="차량장착",MAX(I110+VLOOKUP(B110,'Reference Data 기준데이터'!$A$3:$J$5,9,FALSE),VLOOKUP(B110,'Reference Data 기준데이터'!$A$3:$J$5,4,FALSE)),I110+VLOOKUP(B110,'Reference Data 기준데이터'!$A$3:$J$5,9,FALSE)),""))</f>
        <v/>
      </c>
      <c r="P110" s="20" t="n"/>
      <c r="Q110" s="16">
        <f>IF(B110="","",IFERROR(O110+VLOOKUP(F110,'Reference Data 기준데이터'!$A$9:$E$26,4,FALSE),""))</f>
        <v/>
      </c>
      <c r="R110" s="20" t="n"/>
      <c r="S110" s="16">
        <f>IF(B110="","",IFERROR(MIN(I110+VLOOKUP(B110,'Reference Data 기준데이터'!$A$3:$J$5,10,FALSE),VLOOKUP(B110,'Reference Data 기준데이터'!$A$3:$J$5,6,FALSE)),""))</f>
        <v/>
      </c>
      <c r="T110" s="20" t="n"/>
      <c r="U110" s="13" t="n"/>
      <c r="V110" s="17">
        <f>IF(B110="","",IF(U110&lt;&gt;"",U110,IF(AND(T110&lt;&gt;"",R110&lt;&gt;""),"11-결과등록완료",IF(AND(R110&lt;&gt;"",T110=""),"10-시험완료",IF(AND(P110&lt;&gt;"",R110=""),"09-시험준비중",IF(AND(N110&lt;&gt;"",P110=""),"08-단품준비완료",IF(L110="Approved","05-계획서승인",IF(L110="Revision Needed","04-검토중_보완",IF(L110="Under Review","03-검토중",IF(AND(K110&lt;&gt;"",L110=""),"02-제출_미검토","01-미제출"))))))))))</f>
        <v/>
      </c>
      <c r="W110" s="18">
        <f>IF(B110="","",IFS(V110="01-미제출",0,V110="02-제출_미검토",0.05,V110="03-검토중",0.1,V110="04-검토중_보완",0.05,V110="05-계획서승인",0.2,V110="06-BIW중단",0.15,V110="07-미인수",0.3,V110="08-단품준비완료",0.4,V110="09-시험준비중",0.55,V110="10-시험완료",0.85,V110="11-결과등록완료",1,V110="12-조건부승인",0.9,TRUE,0))</f>
        <v/>
      </c>
      <c r="X110" s="5">
        <f>IF(B110="","",IF(T110&lt;&gt;"","-",IF(S110="","N/A",S110-TODAY())))</f>
        <v/>
      </c>
      <c r="Y110" s="17">
        <f>IF(B110="","",IF(V110="11-결과등록완료","DONE",IF(U110="06-BIW중단","BLOCKED",IF(AND(K110="",J110&lt;TODAY()),"CRITICAL",IF(AND(ISNUMBER(X110),X110&lt;=0),"OVERDUE",IF(AND(ISNUMBER(X110),X110&lt;=14),"WARNING",IF(U110&lt;&gt;"","ACTION","ON TRACK")))))))</f>
        <v/>
      </c>
      <c r="Z110" s="5">
        <f>IF(B110="","",IF(OR(T110&lt;&gt;"",R110&lt;&gt;"",P110&lt;&gt;"",N110&lt;&gt;"",K110&lt;&gt;""),TODAY()-MAX(T110,R110,P110,N110,K110),"—"))</f>
        <v/>
      </c>
      <c r="AA110" s="19">
        <f>IF(B110="","",IF(V110="11-결과등록완료","— 완료",IF(V110="01-미제출",IF(J110&lt;TODAY(),"계획서 제출 독촉 (OVERDUE)","계획서 제출 대기"),IF(V110="02-제출_미검토","설계자: 계획서 검토 착수",IF(V110="03-검토중","설계자: 승인 처리",IF(V110="04-검토중_보완","보완 요청 → 협력사 재제출 독촉",IF(V110="05-계획서승인","시험편 준비 현황 확인",IF(V110="06-BIW중단","BIW 생산팀 확인 → 일정 재수립",IF(V110="07-미인수","협력사 인수 독촉",IF(V110="08-단품준비완료","시험 일정 확인",IF(V110="09-시험준비중","시험 진행 모니터링",IF(V110="10-시험완료","결과 보고서 전산 등록 독촉",IF(V110="12-조건부승인","조건부 승인 여부 판단 → 관련부서 협의","—")))))))))))))</f>
        <v/>
      </c>
      <c r="AB110" s="15" t="n"/>
    </row>
    <row r="111">
      <c r="A111" s="5">
        <f>IF(B111="","",ROW()-4)</f>
        <v/>
      </c>
      <c r="B111" s="13" t="n"/>
      <c r="C111" s="14">
        <f>IF(B111="","",IFERROR(VLOOKUP(D111,'Reference Data 기준데이터'!$A$30:$D$41,2,FALSE),""))</f>
        <v/>
      </c>
      <c r="D111" s="15" t="n"/>
      <c r="E111" s="14">
        <f>IF(B111="","",IFERROR(VLOOKUP(D111,'Reference Data 기준데이터'!$A$30:$D$41,3,FALSE),""))</f>
        <v/>
      </c>
      <c r="F111" s="15" t="n"/>
      <c r="G111" s="14">
        <f>IF(B111="","",IFERROR(VLOOKUP(F111,'Reference Data 기준데이터'!$A$9:$E$26,2,FALSE),""))</f>
        <v/>
      </c>
      <c r="H111" s="14">
        <f>IF(B111="","",IFERROR(VLOOKUP(F111,'Reference Data 기준데이터'!$A$9:$E$26,5,FALSE),""))</f>
        <v/>
      </c>
      <c r="I111" s="16">
        <f>IF(B111="","",IFERROR(VLOOKUP(B111,'Reference Data 기준데이터'!$A$3:$J$5,3,FALSE),""))</f>
        <v/>
      </c>
      <c r="J111" s="16">
        <f>IF(B111="","",IFERROR(I111+VLOOKUP(B111,'Reference Data 기준데이터'!$A$3:$J$5,7,FALSE),""))</f>
        <v/>
      </c>
      <c r="K111" s="20" t="n"/>
      <c r="L111" s="13" t="n"/>
      <c r="M111" s="16">
        <f>IF(B111="","",IFERROR(I111+VLOOKUP(B111,'Reference Data 기준데이터'!$A$3:$J$5,8,FALSE),""))</f>
        <v/>
      </c>
      <c r="N111" s="20" t="n"/>
      <c r="O111" s="16">
        <f>IF(B111="","",IFERROR(IF(G111="차량장착",MAX(I111+VLOOKUP(B111,'Reference Data 기준데이터'!$A$3:$J$5,9,FALSE),VLOOKUP(B111,'Reference Data 기준데이터'!$A$3:$J$5,4,FALSE)),I111+VLOOKUP(B111,'Reference Data 기준데이터'!$A$3:$J$5,9,FALSE)),""))</f>
        <v/>
      </c>
      <c r="P111" s="20" t="n"/>
      <c r="Q111" s="16">
        <f>IF(B111="","",IFERROR(O111+VLOOKUP(F111,'Reference Data 기준데이터'!$A$9:$E$26,4,FALSE),""))</f>
        <v/>
      </c>
      <c r="R111" s="20" t="n"/>
      <c r="S111" s="16">
        <f>IF(B111="","",IFERROR(MIN(I111+VLOOKUP(B111,'Reference Data 기준데이터'!$A$3:$J$5,10,FALSE),VLOOKUP(B111,'Reference Data 기준데이터'!$A$3:$J$5,6,FALSE)),""))</f>
        <v/>
      </c>
      <c r="T111" s="20" t="n"/>
      <c r="U111" s="13" t="n"/>
      <c r="V111" s="17">
        <f>IF(B111="","",IF(U111&lt;&gt;"",U111,IF(AND(T111&lt;&gt;"",R111&lt;&gt;""),"11-결과등록완료",IF(AND(R111&lt;&gt;"",T111=""),"10-시험완료",IF(AND(P111&lt;&gt;"",R111=""),"09-시험준비중",IF(AND(N111&lt;&gt;"",P111=""),"08-단품준비완료",IF(L111="Approved","05-계획서승인",IF(L111="Revision Needed","04-검토중_보완",IF(L111="Under Review","03-검토중",IF(AND(K111&lt;&gt;"",L111=""),"02-제출_미검토","01-미제출"))))))))))</f>
        <v/>
      </c>
      <c r="W111" s="18">
        <f>IF(B111="","",IFS(V111="01-미제출",0,V111="02-제출_미검토",0.05,V111="03-검토중",0.1,V111="04-검토중_보완",0.05,V111="05-계획서승인",0.2,V111="06-BIW중단",0.15,V111="07-미인수",0.3,V111="08-단품준비완료",0.4,V111="09-시험준비중",0.55,V111="10-시험완료",0.85,V111="11-결과등록완료",1,V111="12-조건부승인",0.9,TRUE,0))</f>
        <v/>
      </c>
      <c r="X111" s="5">
        <f>IF(B111="","",IF(T111&lt;&gt;"","-",IF(S111="","N/A",S111-TODAY())))</f>
        <v/>
      </c>
      <c r="Y111" s="17">
        <f>IF(B111="","",IF(V111="11-결과등록완료","DONE",IF(U111="06-BIW중단","BLOCKED",IF(AND(K111="",J111&lt;TODAY()),"CRITICAL",IF(AND(ISNUMBER(X111),X111&lt;=0),"OVERDUE",IF(AND(ISNUMBER(X111),X111&lt;=14),"WARNING",IF(U111&lt;&gt;"","ACTION","ON TRACK")))))))</f>
        <v/>
      </c>
      <c r="Z111" s="5">
        <f>IF(B111="","",IF(OR(T111&lt;&gt;"",R111&lt;&gt;"",P111&lt;&gt;"",N111&lt;&gt;"",K111&lt;&gt;""),TODAY()-MAX(T111,R111,P111,N111,K111),"—"))</f>
        <v/>
      </c>
      <c r="AA111" s="19">
        <f>IF(B111="","",IF(V111="11-결과등록완료","— 완료",IF(V111="01-미제출",IF(J111&lt;TODAY(),"계획서 제출 독촉 (OVERDUE)","계획서 제출 대기"),IF(V111="02-제출_미검토","설계자: 계획서 검토 착수",IF(V111="03-검토중","설계자: 승인 처리",IF(V111="04-검토중_보완","보완 요청 → 협력사 재제출 독촉",IF(V111="05-계획서승인","시험편 준비 현황 확인",IF(V111="06-BIW중단","BIW 생산팀 확인 → 일정 재수립",IF(V111="07-미인수","협력사 인수 독촉",IF(V111="08-단품준비완료","시험 일정 확인",IF(V111="09-시험준비중","시험 진행 모니터링",IF(V111="10-시험완료","결과 보고서 전산 등록 독촉",IF(V111="12-조건부승인","조건부 승인 여부 판단 → 관련부서 협의","—")))))))))))))</f>
        <v/>
      </c>
      <c r="AB111" s="15" t="n"/>
    </row>
    <row r="112">
      <c r="A112" s="5">
        <f>IF(B112="","",ROW()-4)</f>
        <v/>
      </c>
      <c r="B112" s="13" t="n"/>
      <c r="C112" s="14">
        <f>IF(B112="","",IFERROR(VLOOKUP(D112,'Reference Data 기준데이터'!$A$30:$D$41,2,FALSE),""))</f>
        <v/>
      </c>
      <c r="D112" s="15" t="n"/>
      <c r="E112" s="14">
        <f>IF(B112="","",IFERROR(VLOOKUP(D112,'Reference Data 기준데이터'!$A$30:$D$41,3,FALSE),""))</f>
        <v/>
      </c>
      <c r="F112" s="15" t="n"/>
      <c r="G112" s="14">
        <f>IF(B112="","",IFERROR(VLOOKUP(F112,'Reference Data 기준데이터'!$A$9:$E$26,2,FALSE),""))</f>
        <v/>
      </c>
      <c r="H112" s="14">
        <f>IF(B112="","",IFERROR(VLOOKUP(F112,'Reference Data 기준데이터'!$A$9:$E$26,5,FALSE),""))</f>
        <v/>
      </c>
      <c r="I112" s="16">
        <f>IF(B112="","",IFERROR(VLOOKUP(B112,'Reference Data 기준데이터'!$A$3:$J$5,3,FALSE),""))</f>
        <v/>
      </c>
      <c r="J112" s="16">
        <f>IF(B112="","",IFERROR(I112+VLOOKUP(B112,'Reference Data 기준데이터'!$A$3:$J$5,7,FALSE),""))</f>
        <v/>
      </c>
      <c r="K112" s="20" t="n"/>
      <c r="L112" s="13" t="n"/>
      <c r="M112" s="16">
        <f>IF(B112="","",IFERROR(I112+VLOOKUP(B112,'Reference Data 기준데이터'!$A$3:$J$5,8,FALSE),""))</f>
        <v/>
      </c>
      <c r="N112" s="20" t="n"/>
      <c r="O112" s="16">
        <f>IF(B112="","",IFERROR(IF(G112="차량장착",MAX(I112+VLOOKUP(B112,'Reference Data 기준데이터'!$A$3:$J$5,9,FALSE),VLOOKUP(B112,'Reference Data 기준데이터'!$A$3:$J$5,4,FALSE)),I112+VLOOKUP(B112,'Reference Data 기준데이터'!$A$3:$J$5,9,FALSE)),""))</f>
        <v/>
      </c>
      <c r="P112" s="20" t="n"/>
      <c r="Q112" s="16">
        <f>IF(B112="","",IFERROR(O112+VLOOKUP(F112,'Reference Data 기준데이터'!$A$9:$E$26,4,FALSE),""))</f>
        <v/>
      </c>
      <c r="R112" s="20" t="n"/>
      <c r="S112" s="16">
        <f>IF(B112="","",IFERROR(MIN(I112+VLOOKUP(B112,'Reference Data 기준데이터'!$A$3:$J$5,10,FALSE),VLOOKUP(B112,'Reference Data 기준데이터'!$A$3:$J$5,6,FALSE)),""))</f>
        <v/>
      </c>
      <c r="T112" s="20" t="n"/>
      <c r="U112" s="13" t="n"/>
      <c r="V112" s="17">
        <f>IF(B112="","",IF(U112&lt;&gt;"",U112,IF(AND(T112&lt;&gt;"",R112&lt;&gt;""),"11-결과등록완료",IF(AND(R112&lt;&gt;"",T112=""),"10-시험완료",IF(AND(P112&lt;&gt;"",R112=""),"09-시험준비중",IF(AND(N112&lt;&gt;"",P112=""),"08-단품준비완료",IF(L112="Approved","05-계획서승인",IF(L112="Revision Needed","04-검토중_보완",IF(L112="Under Review","03-검토중",IF(AND(K112&lt;&gt;"",L112=""),"02-제출_미검토","01-미제출"))))))))))</f>
        <v/>
      </c>
      <c r="W112" s="18">
        <f>IF(B112="","",IFS(V112="01-미제출",0,V112="02-제출_미검토",0.05,V112="03-검토중",0.1,V112="04-검토중_보완",0.05,V112="05-계획서승인",0.2,V112="06-BIW중단",0.15,V112="07-미인수",0.3,V112="08-단품준비완료",0.4,V112="09-시험준비중",0.55,V112="10-시험완료",0.85,V112="11-결과등록완료",1,V112="12-조건부승인",0.9,TRUE,0))</f>
        <v/>
      </c>
      <c r="X112" s="5">
        <f>IF(B112="","",IF(T112&lt;&gt;"","-",IF(S112="","N/A",S112-TODAY())))</f>
        <v/>
      </c>
      <c r="Y112" s="17">
        <f>IF(B112="","",IF(V112="11-결과등록완료","DONE",IF(U112="06-BIW중단","BLOCKED",IF(AND(K112="",J112&lt;TODAY()),"CRITICAL",IF(AND(ISNUMBER(X112),X112&lt;=0),"OVERDUE",IF(AND(ISNUMBER(X112),X112&lt;=14),"WARNING",IF(U112&lt;&gt;"","ACTION","ON TRACK")))))))</f>
        <v/>
      </c>
      <c r="Z112" s="5">
        <f>IF(B112="","",IF(OR(T112&lt;&gt;"",R112&lt;&gt;"",P112&lt;&gt;"",N112&lt;&gt;"",K112&lt;&gt;""),TODAY()-MAX(T112,R112,P112,N112,K112),"—"))</f>
        <v/>
      </c>
      <c r="AA112" s="19">
        <f>IF(B112="","",IF(V112="11-결과등록완료","— 완료",IF(V112="01-미제출",IF(J112&lt;TODAY(),"계획서 제출 독촉 (OVERDUE)","계획서 제출 대기"),IF(V112="02-제출_미검토","설계자: 계획서 검토 착수",IF(V112="03-검토중","설계자: 승인 처리",IF(V112="04-검토중_보완","보완 요청 → 협력사 재제출 독촉",IF(V112="05-계획서승인","시험편 준비 현황 확인",IF(V112="06-BIW중단","BIW 생산팀 확인 → 일정 재수립",IF(V112="07-미인수","협력사 인수 독촉",IF(V112="08-단품준비완료","시험 일정 확인",IF(V112="09-시험준비중","시험 진행 모니터링",IF(V112="10-시험완료","결과 보고서 전산 등록 독촉",IF(V112="12-조건부승인","조건부 승인 여부 판단 → 관련부서 협의","—")))))))))))))</f>
        <v/>
      </c>
      <c r="AB112" s="15" t="n"/>
    </row>
    <row r="113">
      <c r="A113" s="5">
        <f>IF(B113="","",ROW()-4)</f>
        <v/>
      </c>
      <c r="B113" s="13" t="n"/>
      <c r="C113" s="14">
        <f>IF(B113="","",IFERROR(VLOOKUP(D113,'Reference Data 기준데이터'!$A$30:$D$41,2,FALSE),""))</f>
        <v/>
      </c>
      <c r="D113" s="15" t="n"/>
      <c r="E113" s="14">
        <f>IF(B113="","",IFERROR(VLOOKUP(D113,'Reference Data 기준데이터'!$A$30:$D$41,3,FALSE),""))</f>
        <v/>
      </c>
      <c r="F113" s="15" t="n"/>
      <c r="G113" s="14">
        <f>IF(B113="","",IFERROR(VLOOKUP(F113,'Reference Data 기준데이터'!$A$9:$E$26,2,FALSE),""))</f>
        <v/>
      </c>
      <c r="H113" s="14">
        <f>IF(B113="","",IFERROR(VLOOKUP(F113,'Reference Data 기준데이터'!$A$9:$E$26,5,FALSE),""))</f>
        <v/>
      </c>
      <c r="I113" s="16">
        <f>IF(B113="","",IFERROR(VLOOKUP(B113,'Reference Data 기준데이터'!$A$3:$J$5,3,FALSE),""))</f>
        <v/>
      </c>
      <c r="J113" s="16">
        <f>IF(B113="","",IFERROR(I113+VLOOKUP(B113,'Reference Data 기준데이터'!$A$3:$J$5,7,FALSE),""))</f>
        <v/>
      </c>
      <c r="K113" s="20" t="n"/>
      <c r="L113" s="13" t="n"/>
      <c r="M113" s="16">
        <f>IF(B113="","",IFERROR(I113+VLOOKUP(B113,'Reference Data 기준데이터'!$A$3:$J$5,8,FALSE),""))</f>
        <v/>
      </c>
      <c r="N113" s="20" t="n"/>
      <c r="O113" s="16">
        <f>IF(B113="","",IFERROR(IF(G113="차량장착",MAX(I113+VLOOKUP(B113,'Reference Data 기준데이터'!$A$3:$J$5,9,FALSE),VLOOKUP(B113,'Reference Data 기준데이터'!$A$3:$J$5,4,FALSE)),I113+VLOOKUP(B113,'Reference Data 기준데이터'!$A$3:$J$5,9,FALSE)),""))</f>
        <v/>
      </c>
      <c r="P113" s="20" t="n"/>
      <c r="Q113" s="16">
        <f>IF(B113="","",IFERROR(O113+VLOOKUP(F113,'Reference Data 기준데이터'!$A$9:$E$26,4,FALSE),""))</f>
        <v/>
      </c>
      <c r="R113" s="20" t="n"/>
      <c r="S113" s="16">
        <f>IF(B113="","",IFERROR(MIN(I113+VLOOKUP(B113,'Reference Data 기준데이터'!$A$3:$J$5,10,FALSE),VLOOKUP(B113,'Reference Data 기준데이터'!$A$3:$J$5,6,FALSE)),""))</f>
        <v/>
      </c>
      <c r="T113" s="20" t="n"/>
      <c r="U113" s="13" t="n"/>
      <c r="V113" s="17">
        <f>IF(B113="","",IF(U113&lt;&gt;"",U113,IF(AND(T113&lt;&gt;"",R113&lt;&gt;""),"11-결과등록완료",IF(AND(R113&lt;&gt;"",T113=""),"10-시험완료",IF(AND(P113&lt;&gt;"",R113=""),"09-시험준비중",IF(AND(N113&lt;&gt;"",P113=""),"08-단품준비완료",IF(L113="Approved","05-계획서승인",IF(L113="Revision Needed","04-검토중_보완",IF(L113="Under Review","03-검토중",IF(AND(K113&lt;&gt;"",L113=""),"02-제출_미검토","01-미제출"))))))))))</f>
        <v/>
      </c>
      <c r="W113" s="18">
        <f>IF(B113="","",IFS(V113="01-미제출",0,V113="02-제출_미검토",0.05,V113="03-검토중",0.1,V113="04-검토중_보완",0.05,V113="05-계획서승인",0.2,V113="06-BIW중단",0.15,V113="07-미인수",0.3,V113="08-단품준비완료",0.4,V113="09-시험준비중",0.55,V113="10-시험완료",0.85,V113="11-결과등록완료",1,V113="12-조건부승인",0.9,TRUE,0))</f>
        <v/>
      </c>
      <c r="X113" s="5">
        <f>IF(B113="","",IF(T113&lt;&gt;"","-",IF(S113="","N/A",S113-TODAY())))</f>
        <v/>
      </c>
      <c r="Y113" s="17">
        <f>IF(B113="","",IF(V113="11-결과등록완료","DONE",IF(U113="06-BIW중단","BLOCKED",IF(AND(K113="",J113&lt;TODAY()),"CRITICAL",IF(AND(ISNUMBER(X113),X113&lt;=0),"OVERDUE",IF(AND(ISNUMBER(X113),X113&lt;=14),"WARNING",IF(U113&lt;&gt;"","ACTION","ON TRACK")))))))</f>
        <v/>
      </c>
      <c r="Z113" s="5">
        <f>IF(B113="","",IF(OR(T113&lt;&gt;"",R113&lt;&gt;"",P113&lt;&gt;"",N113&lt;&gt;"",K113&lt;&gt;""),TODAY()-MAX(T113,R113,P113,N113,K113),"—"))</f>
        <v/>
      </c>
      <c r="AA113" s="19">
        <f>IF(B113="","",IF(V113="11-결과등록완료","— 완료",IF(V113="01-미제출",IF(J113&lt;TODAY(),"계획서 제출 독촉 (OVERDUE)","계획서 제출 대기"),IF(V113="02-제출_미검토","설계자: 계획서 검토 착수",IF(V113="03-검토중","설계자: 승인 처리",IF(V113="04-검토중_보완","보완 요청 → 협력사 재제출 독촉",IF(V113="05-계획서승인","시험편 준비 현황 확인",IF(V113="06-BIW중단","BIW 생산팀 확인 → 일정 재수립",IF(V113="07-미인수","협력사 인수 독촉",IF(V113="08-단품준비완료","시험 일정 확인",IF(V113="09-시험준비중","시험 진행 모니터링",IF(V113="10-시험완료","결과 보고서 전산 등록 독촉",IF(V113="12-조건부승인","조건부 승인 여부 판단 → 관련부서 협의","—")))))))))))))</f>
        <v/>
      </c>
      <c r="AB113" s="15" t="n"/>
    </row>
    <row r="114">
      <c r="A114" s="5">
        <f>IF(B114="","",ROW()-4)</f>
        <v/>
      </c>
      <c r="B114" s="13" t="n"/>
      <c r="C114" s="14">
        <f>IF(B114="","",IFERROR(VLOOKUP(D114,'Reference Data 기준데이터'!$A$30:$D$41,2,FALSE),""))</f>
        <v/>
      </c>
      <c r="D114" s="15" t="n"/>
      <c r="E114" s="14">
        <f>IF(B114="","",IFERROR(VLOOKUP(D114,'Reference Data 기준데이터'!$A$30:$D$41,3,FALSE),""))</f>
        <v/>
      </c>
      <c r="F114" s="15" t="n"/>
      <c r="G114" s="14">
        <f>IF(B114="","",IFERROR(VLOOKUP(F114,'Reference Data 기준데이터'!$A$9:$E$26,2,FALSE),""))</f>
        <v/>
      </c>
      <c r="H114" s="14">
        <f>IF(B114="","",IFERROR(VLOOKUP(F114,'Reference Data 기준데이터'!$A$9:$E$26,5,FALSE),""))</f>
        <v/>
      </c>
      <c r="I114" s="16">
        <f>IF(B114="","",IFERROR(VLOOKUP(B114,'Reference Data 기준데이터'!$A$3:$J$5,3,FALSE),""))</f>
        <v/>
      </c>
      <c r="J114" s="16">
        <f>IF(B114="","",IFERROR(I114+VLOOKUP(B114,'Reference Data 기준데이터'!$A$3:$J$5,7,FALSE),""))</f>
        <v/>
      </c>
      <c r="K114" s="20" t="n"/>
      <c r="L114" s="13" t="n"/>
      <c r="M114" s="16">
        <f>IF(B114="","",IFERROR(I114+VLOOKUP(B114,'Reference Data 기준데이터'!$A$3:$J$5,8,FALSE),""))</f>
        <v/>
      </c>
      <c r="N114" s="20" t="n"/>
      <c r="O114" s="16">
        <f>IF(B114="","",IFERROR(IF(G114="차량장착",MAX(I114+VLOOKUP(B114,'Reference Data 기준데이터'!$A$3:$J$5,9,FALSE),VLOOKUP(B114,'Reference Data 기준데이터'!$A$3:$J$5,4,FALSE)),I114+VLOOKUP(B114,'Reference Data 기준데이터'!$A$3:$J$5,9,FALSE)),""))</f>
        <v/>
      </c>
      <c r="P114" s="20" t="n"/>
      <c r="Q114" s="16">
        <f>IF(B114="","",IFERROR(O114+VLOOKUP(F114,'Reference Data 기준데이터'!$A$9:$E$26,4,FALSE),""))</f>
        <v/>
      </c>
      <c r="R114" s="20" t="n"/>
      <c r="S114" s="16">
        <f>IF(B114="","",IFERROR(MIN(I114+VLOOKUP(B114,'Reference Data 기준데이터'!$A$3:$J$5,10,FALSE),VLOOKUP(B114,'Reference Data 기준데이터'!$A$3:$J$5,6,FALSE)),""))</f>
        <v/>
      </c>
      <c r="T114" s="20" t="n"/>
      <c r="U114" s="13" t="n"/>
      <c r="V114" s="17">
        <f>IF(B114="","",IF(U114&lt;&gt;"",U114,IF(AND(T114&lt;&gt;"",R114&lt;&gt;""),"11-결과등록완료",IF(AND(R114&lt;&gt;"",T114=""),"10-시험완료",IF(AND(P114&lt;&gt;"",R114=""),"09-시험준비중",IF(AND(N114&lt;&gt;"",P114=""),"08-단품준비완료",IF(L114="Approved","05-계획서승인",IF(L114="Revision Needed","04-검토중_보완",IF(L114="Under Review","03-검토중",IF(AND(K114&lt;&gt;"",L114=""),"02-제출_미검토","01-미제출"))))))))))</f>
        <v/>
      </c>
      <c r="W114" s="18">
        <f>IF(B114="","",IFS(V114="01-미제출",0,V114="02-제출_미검토",0.05,V114="03-검토중",0.1,V114="04-검토중_보완",0.05,V114="05-계획서승인",0.2,V114="06-BIW중단",0.15,V114="07-미인수",0.3,V114="08-단품준비완료",0.4,V114="09-시험준비중",0.55,V114="10-시험완료",0.85,V114="11-결과등록완료",1,V114="12-조건부승인",0.9,TRUE,0))</f>
        <v/>
      </c>
      <c r="X114" s="5">
        <f>IF(B114="","",IF(T114&lt;&gt;"","-",IF(S114="","N/A",S114-TODAY())))</f>
        <v/>
      </c>
      <c r="Y114" s="17">
        <f>IF(B114="","",IF(V114="11-결과등록완료","DONE",IF(U114="06-BIW중단","BLOCKED",IF(AND(K114="",J114&lt;TODAY()),"CRITICAL",IF(AND(ISNUMBER(X114),X114&lt;=0),"OVERDUE",IF(AND(ISNUMBER(X114),X114&lt;=14),"WARNING",IF(U114&lt;&gt;"","ACTION","ON TRACK")))))))</f>
        <v/>
      </c>
      <c r="Z114" s="5">
        <f>IF(B114="","",IF(OR(T114&lt;&gt;"",R114&lt;&gt;"",P114&lt;&gt;"",N114&lt;&gt;"",K114&lt;&gt;""),TODAY()-MAX(T114,R114,P114,N114,K114),"—"))</f>
        <v/>
      </c>
      <c r="AA114" s="19">
        <f>IF(B114="","",IF(V114="11-결과등록완료","— 완료",IF(V114="01-미제출",IF(J114&lt;TODAY(),"계획서 제출 독촉 (OVERDUE)","계획서 제출 대기"),IF(V114="02-제출_미검토","설계자: 계획서 검토 착수",IF(V114="03-검토중","설계자: 승인 처리",IF(V114="04-검토중_보완","보완 요청 → 협력사 재제출 독촉",IF(V114="05-계획서승인","시험편 준비 현황 확인",IF(V114="06-BIW중단","BIW 생산팀 확인 → 일정 재수립",IF(V114="07-미인수","협력사 인수 독촉",IF(V114="08-단품준비완료","시험 일정 확인",IF(V114="09-시험준비중","시험 진행 모니터링",IF(V114="10-시험완료","결과 보고서 전산 등록 독촉",IF(V114="12-조건부승인","조건부 승인 여부 판단 → 관련부서 협의","—")))))))))))))</f>
        <v/>
      </c>
      <c r="AB114" s="15" t="n"/>
    </row>
    <row r="115">
      <c r="A115" s="5">
        <f>IF(B115="","",ROW()-4)</f>
        <v/>
      </c>
      <c r="B115" s="13" t="n"/>
      <c r="C115" s="14">
        <f>IF(B115="","",IFERROR(VLOOKUP(D115,'Reference Data 기준데이터'!$A$30:$D$41,2,FALSE),""))</f>
        <v/>
      </c>
      <c r="D115" s="15" t="n"/>
      <c r="E115" s="14">
        <f>IF(B115="","",IFERROR(VLOOKUP(D115,'Reference Data 기준데이터'!$A$30:$D$41,3,FALSE),""))</f>
        <v/>
      </c>
      <c r="F115" s="15" t="n"/>
      <c r="G115" s="14">
        <f>IF(B115="","",IFERROR(VLOOKUP(F115,'Reference Data 기준데이터'!$A$9:$E$26,2,FALSE),""))</f>
        <v/>
      </c>
      <c r="H115" s="14">
        <f>IF(B115="","",IFERROR(VLOOKUP(F115,'Reference Data 기준데이터'!$A$9:$E$26,5,FALSE),""))</f>
        <v/>
      </c>
      <c r="I115" s="16">
        <f>IF(B115="","",IFERROR(VLOOKUP(B115,'Reference Data 기준데이터'!$A$3:$J$5,3,FALSE),""))</f>
        <v/>
      </c>
      <c r="J115" s="16">
        <f>IF(B115="","",IFERROR(I115+VLOOKUP(B115,'Reference Data 기준데이터'!$A$3:$J$5,7,FALSE),""))</f>
        <v/>
      </c>
      <c r="K115" s="20" t="n"/>
      <c r="L115" s="13" t="n"/>
      <c r="M115" s="16">
        <f>IF(B115="","",IFERROR(I115+VLOOKUP(B115,'Reference Data 기준데이터'!$A$3:$J$5,8,FALSE),""))</f>
        <v/>
      </c>
      <c r="N115" s="20" t="n"/>
      <c r="O115" s="16">
        <f>IF(B115="","",IFERROR(IF(G115="차량장착",MAX(I115+VLOOKUP(B115,'Reference Data 기준데이터'!$A$3:$J$5,9,FALSE),VLOOKUP(B115,'Reference Data 기준데이터'!$A$3:$J$5,4,FALSE)),I115+VLOOKUP(B115,'Reference Data 기준데이터'!$A$3:$J$5,9,FALSE)),""))</f>
        <v/>
      </c>
      <c r="P115" s="20" t="n"/>
      <c r="Q115" s="16">
        <f>IF(B115="","",IFERROR(O115+VLOOKUP(F115,'Reference Data 기준데이터'!$A$9:$E$26,4,FALSE),""))</f>
        <v/>
      </c>
      <c r="R115" s="20" t="n"/>
      <c r="S115" s="16">
        <f>IF(B115="","",IFERROR(MIN(I115+VLOOKUP(B115,'Reference Data 기준데이터'!$A$3:$J$5,10,FALSE),VLOOKUP(B115,'Reference Data 기준데이터'!$A$3:$J$5,6,FALSE)),""))</f>
        <v/>
      </c>
      <c r="T115" s="20" t="n"/>
      <c r="U115" s="13" t="n"/>
      <c r="V115" s="17">
        <f>IF(B115="","",IF(U115&lt;&gt;"",U115,IF(AND(T115&lt;&gt;"",R115&lt;&gt;""),"11-결과등록완료",IF(AND(R115&lt;&gt;"",T115=""),"10-시험완료",IF(AND(P115&lt;&gt;"",R115=""),"09-시험준비중",IF(AND(N115&lt;&gt;"",P115=""),"08-단품준비완료",IF(L115="Approved","05-계획서승인",IF(L115="Revision Needed","04-검토중_보완",IF(L115="Under Review","03-검토중",IF(AND(K115&lt;&gt;"",L115=""),"02-제출_미검토","01-미제출"))))))))))</f>
        <v/>
      </c>
      <c r="W115" s="18">
        <f>IF(B115="","",IFS(V115="01-미제출",0,V115="02-제출_미검토",0.05,V115="03-검토중",0.1,V115="04-검토중_보완",0.05,V115="05-계획서승인",0.2,V115="06-BIW중단",0.15,V115="07-미인수",0.3,V115="08-단품준비완료",0.4,V115="09-시험준비중",0.55,V115="10-시험완료",0.85,V115="11-결과등록완료",1,V115="12-조건부승인",0.9,TRUE,0))</f>
        <v/>
      </c>
      <c r="X115" s="5">
        <f>IF(B115="","",IF(T115&lt;&gt;"","-",IF(S115="","N/A",S115-TODAY())))</f>
        <v/>
      </c>
      <c r="Y115" s="17">
        <f>IF(B115="","",IF(V115="11-결과등록완료","DONE",IF(U115="06-BIW중단","BLOCKED",IF(AND(K115="",J115&lt;TODAY()),"CRITICAL",IF(AND(ISNUMBER(X115),X115&lt;=0),"OVERDUE",IF(AND(ISNUMBER(X115),X115&lt;=14),"WARNING",IF(U115&lt;&gt;"","ACTION","ON TRACK")))))))</f>
        <v/>
      </c>
      <c r="Z115" s="5">
        <f>IF(B115="","",IF(OR(T115&lt;&gt;"",R115&lt;&gt;"",P115&lt;&gt;"",N115&lt;&gt;"",K115&lt;&gt;""),TODAY()-MAX(T115,R115,P115,N115,K115),"—"))</f>
        <v/>
      </c>
      <c r="AA115" s="19">
        <f>IF(B115="","",IF(V115="11-결과등록완료","— 완료",IF(V115="01-미제출",IF(J115&lt;TODAY(),"계획서 제출 독촉 (OVERDUE)","계획서 제출 대기"),IF(V115="02-제출_미검토","설계자: 계획서 검토 착수",IF(V115="03-검토중","설계자: 승인 처리",IF(V115="04-검토중_보완","보완 요청 → 협력사 재제출 독촉",IF(V115="05-계획서승인","시험편 준비 현황 확인",IF(V115="06-BIW중단","BIW 생산팀 확인 → 일정 재수립",IF(V115="07-미인수","협력사 인수 독촉",IF(V115="08-단품준비완료","시험 일정 확인",IF(V115="09-시험준비중","시험 진행 모니터링",IF(V115="10-시험완료","결과 보고서 전산 등록 독촉",IF(V115="12-조건부승인","조건부 승인 여부 판단 → 관련부서 협의","—")))))))))))))</f>
        <v/>
      </c>
      <c r="AB115" s="15" t="n"/>
    </row>
    <row r="116">
      <c r="A116" s="5">
        <f>IF(B116="","",ROW()-4)</f>
        <v/>
      </c>
      <c r="B116" s="13" t="n"/>
      <c r="C116" s="14">
        <f>IF(B116="","",IFERROR(VLOOKUP(D116,'Reference Data 기준데이터'!$A$30:$D$41,2,FALSE),""))</f>
        <v/>
      </c>
      <c r="D116" s="15" t="n"/>
      <c r="E116" s="14">
        <f>IF(B116="","",IFERROR(VLOOKUP(D116,'Reference Data 기준데이터'!$A$30:$D$41,3,FALSE),""))</f>
        <v/>
      </c>
      <c r="F116" s="15" t="n"/>
      <c r="G116" s="14">
        <f>IF(B116="","",IFERROR(VLOOKUP(F116,'Reference Data 기준데이터'!$A$9:$E$26,2,FALSE),""))</f>
        <v/>
      </c>
      <c r="H116" s="14">
        <f>IF(B116="","",IFERROR(VLOOKUP(F116,'Reference Data 기준데이터'!$A$9:$E$26,5,FALSE),""))</f>
        <v/>
      </c>
      <c r="I116" s="16">
        <f>IF(B116="","",IFERROR(VLOOKUP(B116,'Reference Data 기준데이터'!$A$3:$J$5,3,FALSE),""))</f>
        <v/>
      </c>
      <c r="J116" s="16">
        <f>IF(B116="","",IFERROR(I116+VLOOKUP(B116,'Reference Data 기준데이터'!$A$3:$J$5,7,FALSE),""))</f>
        <v/>
      </c>
      <c r="K116" s="20" t="n"/>
      <c r="L116" s="13" t="n"/>
      <c r="M116" s="16">
        <f>IF(B116="","",IFERROR(I116+VLOOKUP(B116,'Reference Data 기준데이터'!$A$3:$J$5,8,FALSE),""))</f>
        <v/>
      </c>
      <c r="N116" s="20" t="n"/>
      <c r="O116" s="16">
        <f>IF(B116="","",IFERROR(IF(G116="차량장착",MAX(I116+VLOOKUP(B116,'Reference Data 기준데이터'!$A$3:$J$5,9,FALSE),VLOOKUP(B116,'Reference Data 기준데이터'!$A$3:$J$5,4,FALSE)),I116+VLOOKUP(B116,'Reference Data 기준데이터'!$A$3:$J$5,9,FALSE)),""))</f>
        <v/>
      </c>
      <c r="P116" s="20" t="n"/>
      <c r="Q116" s="16">
        <f>IF(B116="","",IFERROR(O116+VLOOKUP(F116,'Reference Data 기준데이터'!$A$9:$E$26,4,FALSE),""))</f>
        <v/>
      </c>
      <c r="R116" s="20" t="n"/>
      <c r="S116" s="16">
        <f>IF(B116="","",IFERROR(MIN(I116+VLOOKUP(B116,'Reference Data 기준데이터'!$A$3:$J$5,10,FALSE),VLOOKUP(B116,'Reference Data 기준데이터'!$A$3:$J$5,6,FALSE)),""))</f>
        <v/>
      </c>
      <c r="T116" s="20" t="n"/>
      <c r="U116" s="13" t="n"/>
      <c r="V116" s="17">
        <f>IF(B116="","",IF(U116&lt;&gt;"",U116,IF(AND(T116&lt;&gt;"",R116&lt;&gt;""),"11-결과등록완료",IF(AND(R116&lt;&gt;"",T116=""),"10-시험완료",IF(AND(P116&lt;&gt;"",R116=""),"09-시험준비중",IF(AND(N116&lt;&gt;"",P116=""),"08-단품준비완료",IF(L116="Approved","05-계획서승인",IF(L116="Revision Needed","04-검토중_보완",IF(L116="Under Review","03-검토중",IF(AND(K116&lt;&gt;"",L116=""),"02-제출_미검토","01-미제출"))))))))))</f>
        <v/>
      </c>
      <c r="W116" s="18">
        <f>IF(B116="","",IFS(V116="01-미제출",0,V116="02-제출_미검토",0.05,V116="03-검토중",0.1,V116="04-검토중_보완",0.05,V116="05-계획서승인",0.2,V116="06-BIW중단",0.15,V116="07-미인수",0.3,V116="08-단품준비완료",0.4,V116="09-시험준비중",0.55,V116="10-시험완료",0.85,V116="11-결과등록완료",1,V116="12-조건부승인",0.9,TRUE,0))</f>
        <v/>
      </c>
      <c r="X116" s="5">
        <f>IF(B116="","",IF(T116&lt;&gt;"","-",IF(S116="","N/A",S116-TODAY())))</f>
        <v/>
      </c>
      <c r="Y116" s="17">
        <f>IF(B116="","",IF(V116="11-결과등록완료","DONE",IF(U116="06-BIW중단","BLOCKED",IF(AND(K116="",J116&lt;TODAY()),"CRITICAL",IF(AND(ISNUMBER(X116),X116&lt;=0),"OVERDUE",IF(AND(ISNUMBER(X116),X116&lt;=14),"WARNING",IF(U116&lt;&gt;"","ACTION","ON TRACK")))))))</f>
        <v/>
      </c>
      <c r="Z116" s="5">
        <f>IF(B116="","",IF(OR(T116&lt;&gt;"",R116&lt;&gt;"",P116&lt;&gt;"",N116&lt;&gt;"",K116&lt;&gt;""),TODAY()-MAX(T116,R116,P116,N116,K116),"—"))</f>
        <v/>
      </c>
      <c r="AA116" s="19">
        <f>IF(B116="","",IF(V116="11-결과등록완료","— 완료",IF(V116="01-미제출",IF(J116&lt;TODAY(),"계획서 제출 독촉 (OVERDUE)","계획서 제출 대기"),IF(V116="02-제출_미검토","설계자: 계획서 검토 착수",IF(V116="03-검토중","설계자: 승인 처리",IF(V116="04-검토중_보완","보완 요청 → 협력사 재제출 독촉",IF(V116="05-계획서승인","시험편 준비 현황 확인",IF(V116="06-BIW중단","BIW 생산팀 확인 → 일정 재수립",IF(V116="07-미인수","협력사 인수 독촉",IF(V116="08-단품준비완료","시험 일정 확인",IF(V116="09-시험준비중","시험 진행 모니터링",IF(V116="10-시험완료","결과 보고서 전산 등록 독촉",IF(V116="12-조건부승인","조건부 승인 여부 판단 → 관련부서 협의","—")))))))))))))</f>
        <v/>
      </c>
      <c r="AB116" s="15" t="n"/>
    </row>
    <row r="117">
      <c r="A117" s="5">
        <f>IF(B117="","",ROW()-4)</f>
        <v/>
      </c>
      <c r="B117" s="13" t="n"/>
      <c r="C117" s="14">
        <f>IF(B117="","",IFERROR(VLOOKUP(D117,'Reference Data 기준데이터'!$A$30:$D$41,2,FALSE),""))</f>
        <v/>
      </c>
      <c r="D117" s="15" t="n"/>
      <c r="E117" s="14">
        <f>IF(B117="","",IFERROR(VLOOKUP(D117,'Reference Data 기준데이터'!$A$30:$D$41,3,FALSE),""))</f>
        <v/>
      </c>
      <c r="F117" s="15" t="n"/>
      <c r="G117" s="14">
        <f>IF(B117="","",IFERROR(VLOOKUP(F117,'Reference Data 기준데이터'!$A$9:$E$26,2,FALSE),""))</f>
        <v/>
      </c>
      <c r="H117" s="14">
        <f>IF(B117="","",IFERROR(VLOOKUP(F117,'Reference Data 기준데이터'!$A$9:$E$26,5,FALSE),""))</f>
        <v/>
      </c>
      <c r="I117" s="16">
        <f>IF(B117="","",IFERROR(VLOOKUP(B117,'Reference Data 기준데이터'!$A$3:$J$5,3,FALSE),""))</f>
        <v/>
      </c>
      <c r="J117" s="16">
        <f>IF(B117="","",IFERROR(I117+VLOOKUP(B117,'Reference Data 기준데이터'!$A$3:$J$5,7,FALSE),""))</f>
        <v/>
      </c>
      <c r="K117" s="20" t="n"/>
      <c r="L117" s="13" t="n"/>
      <c r="M117" s="16">
        <f>IF(B117="","",IFERROR(I117+VLOOKUP(B117,'Reference Data 기준데이터'!$A$3:$J$5,8,FALSE),""))</f>
        <v/>
      </c>
      <c r="N117" s="20" t="n"/>
      <c r="O117" s="16">
        <f>IF(B117="","",IFERROR(IF(G117="차량장착",MAX(I117+VLOOKUP(B117,'Reference Data 기준데이터'!$A$3:$J$5,9,FALSE),VLOOKUP(B117,'Reference Data 기준데이터'!$A$3:$J$5,4,FALSE)),I117+VLOOKUP(B117,'Reference Data 기준데이터'!$A$3:$J$5,9,FALSE)),""))</f>
        <v/>
      </c>
      <c r="P117" s="20" t="n"/>
      <c r="Q117" s="16">
        <f>IF(B117="","",IFERROR(O117+VLOOKUP(F117,'Reference Data 기준데이터'!$A$9:$E$26,4,FALSE),""))</f>
        <v/>
      </c>
      <c r="R117" s="20" t="n"/>
      <c r="S117" s="16">
        <f>IF(B117="","",IFERROR(MIN(I117+VLOOKUP(B117,'Reference Data 기준데이터'!$A$3:$J$5,10,FALSE),VLOOKUP(B117,'Reference Data 기준데이터'!$A$3:$J$5,6,FALSE)),""))</f>
        <v/>
      </c>
      <c r="T117" s="20" t="n"/>
      <c r="U117" s="13" t="n"/>
      <c r="V117" s="17">
        <f>IF(B117="","",IF(U117&lt;&gt;"",U117,IF(AND(T117&lt;&gt;"",R117&lt;&gt;""),"11-결과등록완료",IF(AND(R117&lt;&gt;"",T117=""),"10-시험완료",IF(AND(P117&lt;&gt;"",R117=""),"09-시험준비중",IF(AND(N117&lt;&gt;"",P117=""),"08-단품준비완료",IF(L117="Approved","05-계획서승인",IF(L117="Revision Needed","04-검토중_보완",IF(L117="Under Review","03-검토중",IF(AND(K117&lt;&gt;"",L117=""),"02-제출_미검토","01-미제출"))))))))))</f>
        <v/>
      </c>
      <c r="W117" s="18">
        <f>IF(B117="","",IFS(V117="01-미제출",0,V117="02-제출_미검토",0.05,V117="03-검토중",0.1,V117="04-검토중_보완",0.05,V117="05-계획서승인",0.2,V117="06-BIW중단",0.15,V117="07-미인수",0.3,V117="08-단품준비완료",0.4,V117="09-시험준비중",0.55,V117="10-시험완료",0.85,V117="11-결과등록완료",1,V117="12-조건부승인",0.9,TRUE,0))</f>
        <v/>
      </c>
      <c r="X117" s="5">
        <f>IF(B117="","",IF(T117&lt;&gt;"","-",IF(S117="","N/A",S117-TODAY())))</f>
        <v/>
      </c>
      <c r="Y117" s="17">
        <f>IF(B117="","",IF(V117="11-결과등록완료","DONE",IF(U117="06-BIW중단","BLOCKED",IF(AND(K117="",J117&lt;TODAY()),"CRITICAL",IF(AND(ISNUMBER(X117),X117&lt;=0),"OVERDUE",IF(AND(ISNUMBER(X117),X117&lt;=14),"WARNING",IF(U117&lt;&gt;"","ACTION","ON TRACK")))))))</f>
        <v/>
      </c>
      <c r="Z117" s="5">
        <f>IF(B117="","",IF(OR(T117&lt;&gt;"",R117&lt;&gt;"",P117&lt;&gt;"",N117&lt;&gt;"",K117&lt;&gt;""),TODAY()-MAX(T117,R117,P117,N117,K117),"—"))</f>
        <v/>
      </c>
      <c r="AA117" s="19">
        <f>IF(B117="","",IF(V117="11-결과등록완료","— 완료",IF(V117="01-미제출",IF(J117&lt;TODAY(),"계획서 제출 독촉 (OVERDUE)","계획서 제출 대기"),IF(V117="02-제출_미검토","설계자: 계획서 검토 착수",IF(V117="03-검토중","설계자: 승인 처리",IF(V117="04-검토중_보완","보완 요청 → 협력사 재제출 독촉",IF(V117="05-계획서승인","시험편 준비 현황 확인",IF(V117="06-BIW중단","BIW 생산팀 확인 → 일정 재수립",IF(V117="07-미인수","협력사 인수 독촉",IF(V117="08-단품준비완료","시험 일정 확인",IF(V117="09-시험준비중","시험 진행 모니터링",IF(V117="10-시험완료","결과 보고서 전산 등록 독촉",IF(V117="12-조건부승인","조건부 승인 여부 판단 → 관련부서 협의","—")))))))))))))</f>
        <v/>
      </c>
      <c r="AB117" s="15" t="n"/>
    </row>
    <row r="118">
      <c r="A118" s="5">
        <f>IF(B118="","",ROW()-4)</f>
        <v/>
      </c>
      <c r="B118" s="13" t="n"/>
      <c r="C118" s="14">
        <f>IF(B118="","",IFERROR(VLOOKUP(D118,'Reference Data 기준데이터'!$A$30:$D$41,2,FALSE),""))</f>
        <v/>
      </c>
      <c r="D118" s="15" t="n"/>
      <c r="E118" s="14">
        <f>IF(B118="","",IFERROR(VLOOKUP(D118,'Reference Data 기준데이터'!$A$30:$D$41,3,FALSE),""))</f>
        <v/>
      </c>
      <c r="F118" s="15" t="n"/>
      <c r="G118" s="14">
        <f>IF(B118="","",IFERROR(VLOOKUP(F118,'Reference Data 기준데이터'!$A$9:$E$26,2,FALSE),""))</f>
        <v/>
      </c>
      <c r="H118" s="14">
        <f>IF(B118="","",IFERROR(VLOOKUP(F118,'Reference Data 기준데이터'!$A$9:$E$26,5,FALSE),""))</f>
        <v/>
      </c>
      <c r="I118" s="16">
        <f>IF(B118="","",IFERROR(VLOOKUP(B118,'Reference Data 기준데이터'!$A$3:$J$5,3,FALSE),""))</f>
        <v/>
      </c>
      <c r="J118" s="16">
        <f>IF(B118="","",IFERROR(I118+VLOOKUP(B118,'Reference Data 기준데이터'!$A$3:$J$5,7,FALSE),""))</f>
        <v/>
      </c>
      <c r="K118" s="20" t="n"/>
      <c r="L118" s="13" t="n"/>
      <c r="M118" s="16">
        <f>IF(B118="","",IFERROR(I118+VLOOKUP(B118,'Reference Data 기준데이터'!$A$3:$J$5,8,FALSE),""))</f>
        <v/>
      </c>
      <c r="N118" s="20" t="n"/>
      <c r="O118" s="16">
        <f>IF(B118="","",IFERROR(IF(G118="차량장착",MAX(I118+VLOOKUP(B118,'Reference Data 기준데이터'!$A$3:$J$5,9,FALSE),VLOOKUP(B118,'Reference Data 기준데이터'!$A$3:$J$5,4,FALSE)),I118+VLOOKUP(B118,'Reference Data 기준데이터'!$A$3:$J$5,9,FALSE)),""))</f>
        <v/>
      </c>
      <c r="P118" s="20" t="n"/>
      <c r="Q118" s="16">
        <f>IF(B118="","",IFERROR(O118+VLOOKUP(F118,'Reference Data 기준데이터'!$A$9:$E$26,4,FALSE),""))</f>
        <v/>
      </c>
      <c r="R118" s="20" t="n"/>
      <c r="S118" s="16">
        <f>IF(B118="","",IFERROR(MIN(I118+VLOOKUP(B118,'Reference Data 기준데이터'!$A$3:$J$5,10,FALSE),VLOOKUP(B118,'Reference Data 기준데이터'!$A$3:$J$5,6,FALSE)),""))</f>
        <v/>
      </c>
      <c r="T118" s="20" t="n"/>
      <c r="U118" s="13" t="n"/>
      <c r="V118" s="17">
        <f>IF(B118="","",IF(U118&lt;&gt;"",U118,IF(AND(T118&lt;&gt;"",R118&lt;&gt;""),"11-결과등록완료",IF(AND(R118&lt;&gt;"",T118=""),"10-시험완료",IF(AND(P118&lt;&gt;"",R118=""),"09-시험준비중",IF(AND(N118&lt;&gt;"",P118=""),"08-단품준비완료",IF(L118="Approved","05-계획서승인",IF(L118="Revision Needed","04-검토중_보완",IF(L118="Under Review","03-검토중",IF(AND(K118&lt;&gt;"",L118=""),"02-제출_미검토","01-미제출"))))))))))</f>
        <v/>
      </c>
      <c r="W118" s="18">
        <f>IF(B118="","",IFS(V118="01-미제출",0,V118="02-제출_미검토",0.05,V118="03-검토중",0.1,V118="04-검토중_보완",0.05,V118="05-계획서승인",0.2,V118="06-BIW중단",0.15,V118="07-미인수",0.3,V118="08-단품준비완료",0.4,V118="09-시험준비중",0.55,V118="10-시험완료",0.85,V118="11-결과등록완료",1,V118="12-조건부승인",0.9,TRUE,0))</f>
        <v/>
      </c>
      <c r="X118" s="5">
        <f>IF(B118="","",IF(T118&lt;&gt;"","-",IF(S118="","N/A",S118-TODAY())))</f>
        <v/>
      </c>
      <c r="Y118" s="17">
        <f>IF(B118="","",IF(V118="11-결과등록완료","DONE",IF(U118="06-BIW중단","BLOCKED",IF(AND(K118="",J118&lt;TODAY()),"CRITICAL",IF(AND(ISNUMBER(X118),X118&lt;=0),"OVERDUE",IF(AND(ISNUMBER(X118),X118&lt;=14),"WARNING",IF(U118&lt;&gt;"","ACTION","ON TRACK")))))))</f>
        <v/>
      </c>
      <c r="Z118" s="5">
        <f>IF(B118="","",IF(OR(T118&lt;&gt;"",R118&lt;&gt;"",P118&lt;&gt;"",N118&lt;&gt;"",K118&lt;&gt;""),TODAY()-MAX(T118,R118,P118,N118,K118),"—"))</f>
        <v/>
      </c>
      <c r="AA118" s="19">
        <f>IF(B118="","",IF(V118="11-결과등록완료","— 완료",IF(V118="01-미제출",IF(J118&lt;TODAY(),"계획서 제출 독촉 (OVERDUE)","계획서 제출 대기"),IF(V118="02-제출_미검토","설계자: 계획서 검토 착수",IF(V118="03-검토중","설계자: 승인 처리",IF(V118="04-검토중_보완","보완 요청 → 협력사 재제출 독촉",IF(V118="05-계획서승인","시험편 준비 현황 확인",IF(V118="06-BIW중단","BIW 생산팀 확인 → 일정 재수립",IF(V118="07-미인수","협력사 인수 독촉",IF(V118="08-단품준비완료","시험 일정 확인",IF(V118="09-시험준비중","시험 진행 모니터링",IF(V118="10-시험완료","결과 보고서 전산 등록 독촉",IF(V118="12-조건부승인","조건부 승인 여부 판단 → 관련부서 협의","—")))))))))))))</f>
        <v/>
      </c>
      <c r="AB118" s="15" t="n"/>
    </row>
    <row r="119">
      <c r="A119" s="5">
        <f>IF(B119="","",ROW()-4)</f>
        <v/>
      </c>
      <c r="B119" s="13" t="n"/>
      <c r="C119" s="14">
        <f>IF(B119="","",IFERROR(VLOOKUP(D119,'Reference Data 기준데이터'!$A$30:$D$41,2,FALSE),""))</f>
        <v/>
      </c>
      <c r="D119" s="15" t="n"/>
      <c r="E119" s="14">
        <f>IF(B119="","",IFERROR(VLOOKUP(D119,'Reference Data 기준데이터'!$A$30:$D$41,3,FALSE),""))</f>
        <v/>
      </c>
      <c r="F119" s="15" t="n"/>
      <c r="G119" s="14">
        <f>IF(B119="","",IFERROR(VLOOKUP(F119,'Reference Data 기준데이터'!$A$9:$E$26,2,FALSE),""))</f>
        <v/>
      </c>
      <c r="H119" s="14">
        <f>IF(B119="","",IFERROR(VLOOKUP(F119,'Reference Data 기준데이터'!$A$9:$E$26,5,FALSE),""))</f>
        <v/>
      </c>
      <c r="I119" s="16">
        <f>IF(B119="","",IFERROR(VLOOKUP(B119,'Reference Data 기준데이터'!$A$3:$J$5,3,FALSE),""))</f>
        <v/>
      </c>
      <c r="J119" s="16">
        <f>IF(B119="","",IFERROR(I119+VLOOKUP(B119,'Reference Data 기준데이터'!$A$3:$J$5,7,FALSE),""))</f>
        <v/>
      </c>
      <c r="K119" s="20" t="n"/>
      <c r="L119" s="13" t="n"/>
      <c r="M119" s="16">
        <f>IF(B119="","",IFERROR(I119+VLOOKUP(B119,'Reference Data 기준데이터'!$A$3:$J$5,8,FALSE),""))</f>
        <v/>
      </c>
      <c r="N119" s="20" t="n"/>
      <c r="O119" s="16">
        <f>IF(B119="","",IFERROR(IF(G119="차량장착",MAX(I119+VLOOKUP(B119,'Reference Data 기준데이터'!$A$3:$J$5,9,FALSE),VLOOKUP(B119,'Reference Data 기준데이터'!$A$3:$J$5,4,FALSE)),I119+VLOOKUP(B119,'Reference Data 기준데이터'!$A$3:$J$5,9,FALSE)),""))</f>
        <v/>
      </c>
      <c r="P119" s="20" t="n"/>
      <c r="Q119" s="16">
        <f>IF(B119="","",IFERROR(O119+VLOOKUP(F119,'Reference Data 기준데이터'!$A$9:$E$26,4,FALSE),""))</f>
        <v/>
      </c>
      <c r="R119" s="20" t="n"/>
      <c r="S119" s="16">
        <f>IF(B119="","",IFERROR(MIN(I119+VLOOKUP(B119,'Reference Data 기준데이터'!$A$3:$J$5,10,FALSE),VLOOKUP(B119,'Reference Data 기준데이터'!$A$3:$J$5,6,FALSE)),""))</f>
        <v/>
      </c>
      <c r="T119" s="20" t="n"/>
      <c r="U119" s="13" t="n"/>
      <c r="V119" s="17">
        <f>IF(B119="","",IF(U119&lt;&gt;"",U119,IF(AND(T119&lt;&gt;"",R119&lt;&gt;""),"11-결과등록완료",IF(AND(R119&lt;&gt;"",T119=""),"10-시험완료",IF(AND(P119&lt;&gt;"",R119=""),"09-시험준비중",IF(AND(N119&lt;&gt;"",P119=""),"08-단품준비완료",IF(L119="Approved","05-계획서승인",IF(L119="Revision Needed","04-검토중_보완",IF(L119="Under Review","03-검토중",IF(AND(K119&lt;&gt;"",L119=""),"02-제출_미검토","01-미제출"))))))))))</f>
        <v/>
      </c>
      <c r="W119" s="18">
        <f>IF(B119="","",IFS(V119="01-미제출",0,V119="02-제출_미검토",0.05,V119="03-검토중",0.1,V119="04-검토중_보완",0.05,V119="05-계획서승인",0.2,V119="06-BIW중단",0.15,V119="07-미인수",0.3,V119="08-단품준비완료",0.4,V119="09-시험준비중",0.55,V119="10-시험완료",0.85,V119="11-결과등록완료",1,V119="12-조건부승인",0.9,TRUE,0))</f>
        <v/>
      </c>
      <c r="X119" s="5">
        <f>IF(B119="","",IF(T119&lt;&gt;"","-",IF(S119="","N/A",S119-TODAY())))</f>
        <v/>
      </c>
      <c r="Y119" s="17">
        <f>IF(B119="","",IF(V119="11-결과등록완료","DONE",IF(U119="06-BIW중단","BLOCKED",IF(AND(K119="",J119&lt;TODAY()),"CRITICAL",IF(AND(ISNUMBER(X119),X119&lt;=0),"OVERDUE",IF(AND(ISNUMBER(X119),X119&lt;=14),"WARNING",IF(U119&lt;&gt;"","ACTION","ON TRACK")))))))</f>
        <v/>
      </c>
      <c r="Z119" s="5">
        <f>IF(B119="","",IF(OR(T119&lt;&gt;"",R119&lt;&gt;"",P119&lt;&gt;"",N119&lt;&gt;"",K119&lt;&gt;""),TODAY()-MAX(T119,R119,P119,N119,K119),"—"))</f>
        <v/>
      </c>
      <c r="AA119" s="19">
        <f>IF(B119="","",IF(V119="11-결과등록완료","— 완료",IF(V119="01-미제출",IF(J119&lt;TODAY(),"계획서 제출 독촉 (OVERDUE)","계획서 제출 대기"),IF(V119="02-제출_미검토","설계자: 계획서 검토 착수",IF(V119="03-검토중","설계자: 승인 처리",IF(V119="04-검토중_보완","보완 요청 → 협력사 재제출 독촉",IF(V119="05-계획서승인","시험편 준비 현황 확인",IF(V119="06-BIW중단","BIW 생산팀 확인 → 일정 재수립",IF(V119="07-미인수","협력사 인수 독촉",IF(V119="08-단품준비완료","시험 일정 확인",IF(V119="09-시험준비중","시험 진행 모니터링",IF(V119="10-시험완료","결과 보고서 전산 등록 독촉",IF(V119="12-조건부승인","조건부 승인 여부 판단 → 관련부서 협의","—")))))))))))))</f>
        <v/>
      </c>
      <c r="AB119" s="15" t="n"/>
    </row>
    <row r="120">
      <c r="A120" s="5">
        <f>IF(B120="","",ROW()-4)</f>
        <v/>
      </c>
      <c r="B120" s="13" t="n"/>
      <c r="C120" s="14">
        <f>IF(B120="","",IFERROR(VLOOKUP(D120,'Reference Data 기준데이터'!$A$30:$D$41,2,FALSE),""))</f>
        <v/>
      </c>
      <c r="D120" s="15" t="n"/>
      <c r="E120" s="14">
        <f>IF(B120="","",IFERROR(VLOOKUP(D120,'Reference Data 기준데이터'!$A$30:$D$41,3,FALSE),""))</f>
        <v/>
      </c>
      <c r="F120" s="15" t="n"/>
      <c r="G120" s="14">
        <f>IF(B120="","",IFERROR(VLOOKUP(F120,'Reference Data 기준데이터'!$A$9:$E$26,2,FALSE),""))</f>
        <v/>
      </c>
      <c r="H120" s="14">
        <f>IF(B120="","",IFERROR(VLOOKUP(F120,'Reference Data 기준데이터'!$A$9:$E$26,5,FALSE),""))</f>
        <v/>
      </c>
      <c r="I120" s="16">
        <f>IF(B120="","",IFERROR(VLOOKUP(B120,'Reference Data 기준데이터'!$A$3:$J$5,3,FALSE),""))</f>
        <v/>
      </c>
      <c r="J120" s="16">
        <f>IF(B120="","",IFERROR(I120+VLOOKUP(B120,'Reference Data 기준데이터'!$A$3:$J$5,7,FALSE),""))</f>
        <v/>
      </c>
      <c r="K120" s="20" t="n"/>
      <c r="L120" s="13" t="n"/>
      <c r="M120" s="16">
        <f>IF(B120="","",IFERROR(I120+VLOOKUP(B120,'Reference Data 기준데이터'!$A$3:$J$5,8,FALSE),""))</f>
        <v/>
      </c>
      <c r="N120" s="20" t="n"/>
      <c r="O120" s="16">
        <f>IF(B120="","",IFERROR(IF(G120="차량장착",MAX(I120+VLOOKUP(B120,'Reference Data 기준데이터'!$A$3:$J$5,9,FALSE),VLOOKUP(B120,'Reference Data 기준데이터'!$A$3:$J$5,4,FALSE)),I120+VLOOKUP(B120,'Reference Data 기준데이터'!$A$3:$J$5,9,FALSE)),""))</f>
        <v/>
      </c>
      <c r="P120" s="20" t="n"/>
      <c r="Q120" s="16">
        <f>IF(B120="","",IFERROR(O120+VLOOKUP(F120,'Reference Data 기준데이터'!$A$9:$E$26,4,FALSE),""))</f>
        <v/>
      </c>
      <c r="R120" s="20" t="n"/>
      <c r="S120" s="16">
        <f>IF(B120="","",IFERROR(MIN(I120+VLOOKUP(B120,'Reference Data 기준데이터'!$A$3:$J$5,10,FALSE),VLOOKUP(B120,'Reference Data 기준데이터'!$A$3:$J$5,6,FALSE)),""))</f>
        <v/>
      </c>
      <c r="T120" s="20" t="n"/>
      <c r="U120" s="13" t="n"/>
      <c r="V120" s="17">
        <f>IF(B120="","",IF(U120&lt;&gt;"",U120,IF(AND(T120&lt;&gt;"",R120&lt;&gt;""),"11-결과등록완료",IF(AND(R120&lt;&gt;"",T120=""),"10-시험완료",IF(AND(P120&lt;&gt;"",R120=""),"09-시험준비중",IF(AND(N120&lt;&gt;"",P120=""),"08-단품준비완료",IF(L120="Approved","05-계획서승인",IF(L120="Revision Needed","04-검토중_보완",IF(L120="Under Review","03-검토중",IF(AND(K120&lt;&gt;"",L120=""),"02-제출_미검토","01-미제출"))))))))))</f>
        <v/>
      </c>
      <c r="W120" s="18">
        <f>IF(B120="","",IFS(V120="01-미제출",0,V120="02-제출_미검토",0.05,V120="03-검토중",0.1,V120="04-검토중_보완",0.05,V120="05-계획서승인",0.2,V120="06-BIW중단",0.15,V120="07-미인수",0.3,V120="08-단품준비완료",0.4,V120="09-시험준비중",0.55,V120="10-시험완료",0.85,V120="11-결과등록완료",1,V120="12-조건부승인",0.9,TRUE,0))</f>
        <v/>
      </c>
      <c r="X120" s="5">
        <f>IF(B120="","",IF(T120&lt;&gt;"","-",IF(S120="","N/A",S120-TODAY())))</f>
        <v/>
      </c>
      <c r="Y120" s="17">
        <f>IF(B120="","",IF(V120="11-결과등록완료","DONE",IF(U120="06-BIW중단","BLOCKED",IF(AND(K120="",J120&lt;TODAY()),"CRITICAL",IF(AND(ISNUMBER(X120),X120&lt;=0),"OVERDUE",IF(AND(ISNUMBER(X120),X120&lt;=14),"WARNING",IF(U120&lt;&gt;"","ACTION","ON TRACK")))))))</f>
        <v/>
      </c>
      <c r="Z120" s="5">
        <f>IF(B120="","",IF(OR(T120&lt;&gt;"",R120&lt;&gt;"",P120&lt;&gt;"",N120&lt;&gt;"",K120&lt;&gt;""),TODAY()-MAX(T120,R120,P120,N120,K120),"—"))</f>
        <v/>
      </c>
      <c r="AA120" s="19">
        <f>IF(B120="","",IF(V120="11-결과등록완료","— 완료",IF(V120="01-미제출",IF(J120&lt;TODAY(),"계획서 제출 독촉 (OVERDUE)","계획서 제출 대기"),IF(V120="02-제출_미검토","설계자: 계획서 검토 착수",IF(V120="03-검토중","설계자: 승인 처리",IF(V120="04-검토중_보완","보완 요청 → 협력사 재제출 독촉",IF(V120="05-계획서승인","시험편 준비 현황 확인",IF(V120="06-BIW중단","BIW 생산팀 확인 → 일정 재수립",IF(V120="07-미인수","협력사 인수 독촉",IF(V120="08-단품준비완료","시험 일정 확인",IF(V120="09-시험준비중","시험 진행 모니터링",IF(V120="10-시험완료","결과 보고서 전산 등록 독촉",IF(V120="12-조건부승인","조건부 승인 여부 판단 → 관련부서 협의","—")))))))))))))</f>
        <v/>
      </c>
      <c r="AB120" s="15" t="n"/>
    </row>
    <row r="121">
      <c r="A121" s="5">
        <f>IF(B121="","",ROW()-4)</f>
        <v/>
      </c>
      <c r="B121" s="13" t="n"/>
      <c r="C121" s="14">
        <f>IF(B121="","",IFERROR(VLOOKUP(D121,'Reference Data 기준데이터'!$A$30:$D$41,2,FALSE),""))</f>
        <v/>
      </c>
      <c r="D121" s="15" t="n"/>
      <c r="E121" s="14">
        <f>IF(B121="","",IFERROR(VLOOKUP(D121,'Reference Data 기준데이터'!$A$30:$D$41,3,FALSE),""))</f>
        <v/>
      </c>
      <c r="F121" s="15" t="n"/>
      <c r="G121" s="14">
        <f>IF(B121="","",IFERROR(VLOOKUP(F121,'Reference Data 기준데이터'!$A$9:$E$26,2,FALSE),""))</f>
        <v/>
      </c>
      <c r="H121" s="14">
        <f>IF(B121="","",IFERROR(VLOOKUP(F121,'Reference Data 기준데이터'!$A$9:$E$26,5,FALSE),""))</f>
        <v/>
      </c>
      <c r="I121" s="16">
        <f>IF(B121="","",IFERROR(VLOOKUP(B121,'Reference Data 기준데이터'!$A$3:$J$5,3,FALSE),""))</f>
        <v/>
      </c>
      <c r="J121" s="16">
        <f>IF(B121="","",IFERROR(I121+VLOOKUP(B121,'Reference Data 기준데이터'!$A$3:$J$5,7,FALSE),""))</f>
        <v/>
      </c>
      <c r="K121" s="20" t="n"/>
      <c r="L121" s="13" t="n"/>
      <c r="M121" s="16">
        <f>IF(B121="","",IFERROR(I121+VLOOKUP(B121,'Reference Data 기준데이터'!$A$3:$J$5,8,FALSE),""))</f>
        <v/>
      </c>
      <c r="N121" s="20" t="n"/>
      <c r="O121" s="16">
        <f>IF(B121="","",IFERROR(IF(G121="차량장착",MAX(I121+VLOOKUP(B121,'Reference Data 기준데이터'!$A$3:$J$5,9,FALSE),VLOOKUP(B121,'Reference Data 기준데이터'!$A$3:$J$5,4,FALSE)),I121+VLOOKUP(B121,'Reference Data 기준데이터'!$A$3:$J$5,9,FALSE)),""))</f>
        <v/>
      </c>
      <c r="P121" s="20" t="n"/>
      <c r="Q121" s="16">
        <f>IF(B121="","",IFERROR(O121+VLOOKUP(F121,'Reference Data 기준데이터'!$A$9:$E$26,4,FALSE),""))</f>
        <v/>
      </c>
      <c r="R121" s="20" t="n"/>
      <c r="S121" s="16">
        <f>IF(B121="","",IFERROR(MIN(I121+VLOOKUP(B121,'Reference Data 기준데이터'!$A$3:$J$5,10,FALSE),VLOOKUP(B121,'Reference Data 기준데이터'!$A$3:$J$5,6,FALSE)),""))</f>
        <v/>
      </c>
      <c r="T121" s="20" t="n"/>
      <c r="U121" s="13" t="n"/>
      <c r="V121" s="17">
        <f>IF(B121="","",IF(U121&lt;&gt;"",U121,IF(AND(T121&lt;&gt;"",R121&lt;&gt;""),"11-결과등록완료",IF(AND(R121&lt;&gt;"",T121=""),"10-시험완료",IF(AND(P121&lt;&gt;"",R121=""),"09-시험준비중",IF(AND(N121&lt;&gt;"",P121=""),"08-단품준비완료",IF(L121="Approved","05-계획서승인",IF(L121="Revision Needed","04-검토중_보완",IF(L121="Under Review","03-검토중",IF(AND(K121&lt;&gt;"",L121=""),"02-제출_미검토","01-미제출"))))))))))</f>
        <v/>
      </c>
      <c r="W121" s="18">
        <f>IF(B121="","",IFS(V121="01-미제출",0,V121="02-제출_미검토",0.05,V121="03-검토중",0.1,V121="04-검토중_보완",0.05,V121="05-계획서승인",0.2,V121="06-BIW중단",0.15,V121="07-미인수",0.3,V121="08-단품준비완료",0.4,V121="09-시험준비중",0.55,V121="10-시험완료",0.85,V121="11-결과등록완료",1,V121="12-조건부승인",0.9,TRUE,0))</f>
        <v/>
      </c>
      <c r="X121" s="5">
        <f>IF(B121="","",IF(T121&lt;&gt;"","-",IF(S121="","N/A",S121-TODAY())))</f>
        <v/>
      </c>
      <c r="Y121" s="17">
        <f>IF(B121="","",IF(V121="11-결과등록완료","DONE",IF(U121="06-BIW중단","BLOCKED",IF(AND(K121="",J121&lt;TODAY()),"CRITICAL",IF(AND(ISNUMBER(X121),X121&lt;=0),"OVERDUE",IF(AND(ISNUMBER(X121),X121&lt;=14),"WARNING",IF(U121&lt;&gt;"","ACTION","ON TRACK")))))))</f>
        <v/>
      </c>
      <c r="Z121" s="5">
        <f>IF(B121="","",IF(OR(T121&lt;&gt;"",R121&lt;&gt;"",P121&lt;&gt;"",N121&lt;&gt;"",K121&lt;&gt;""),TODAY()-MAX(T121,R121,P121,N121,K121),"—"))</f>
        <v/>
      </c>
      <c r="AA121" s="19">
        <f>IF(B121="","",IF(V121="11-결과등록완료","— 완료",IF(V121="01-미제출",IF(J121&lt;TODAY(),"계획서 제출 독촉 (OVERDUE)","계획서 제출 대기"),IF(V121="02-제출_미검토","설계자: 계획서 검토 착수",IF(V121="03-검토중","설계자: 승인 처리",IF(V121="04-검토중_보완","보완 요청 → 협력사 재제출 독촉",IF(V121="05-계획서승인","시험편 준비 현황 확인",IF(V121="06-BIW중단","BIW 생산팀 확인 → 일정 재수립",IF(V121="07-미인수","협력사 인수 독촉",IF(V121="08-단품준비완료","시험 일정 확인",IF(V121="09-시험준비중","시험 진행 모니터링",IF(V121="10-시험완료","결과 보고서 전산 등록 독촉",IF(V121="12-조건부승인","조건부 승인 여부 판단 → 관련부서 협의","—")))))))))))))</f>
        <v/>
      </c>
      <c r="AB121" s="15" t="n"/>
    </row>
    <row r="122">
      <c r="A122" s="5">
        <f>IF(B122="","",ROW()-4)</f>
        <v/>
      </c>
      <c r="B122" s="13" t="n"/>
      <c r="C122" s="14">
        <f>IF(B122="","",IFERROR(VLOOKUP(D122,'Reference Data 기준데이터'!$A$30:$D$41,2,FALSE),""))</f>
        <v/>
      </c>
      <c r="D122" s="15" t="n"/>
      <c r="E122" s="14">
        <f>IF(B122="","",IFERROR(VLOOKUP(D122,'Reference Data 기준데이터'!$A$30:$D$41,3,FALSE),""))</f>
        <v/>
      </c>
      <c r="F122" s="15" t="n"/>
      <c r="G122" s="14">
        <f>IF(B122="","",IFERROR(VLOOKUP(F122,'Reference Data 기준데이터'!$A$9:$E$26,2,FALSE),""))</f>
        <v/>
      </c>
      <c r="H122" s="14">
        <f>IF(B122="","",IFERROR(VLOOKUP(F122,'Reference Data 기준데이터'!$A$9:$E$26,5,FALSE),""))</f>
        <v/>
      </c>
      <c r="I122" s="16">
        <f>IF(B122="","",IFERROR(VLOOKUP(B122,'Reference Data 기준데이터'!$A$3:$J$5,3,FALSE),""))</f>
        <v/>
      </c>
      <c r="J122" s="16">
        <f>IF(B122="","",IFERROR(I122+VLOOKUP(B122,'Reference Data 기준데이터'!$A$3:$J$5,7,FALSE),""))</f>
        <v/>
      </c>
      <c r="K122" s="20" t="n"/>
      <c r="L122" s="13" t="n"/>
      <c r="M122" s="16">
        <f>IF(B122="","",IFERROR(I122+VLOOKUP(B122,'Reference Data 기준데이터'!$A$3:$J$5,8,FALSE),""))</f>
        <v/>
      </c>
      <c r="N122" s="20" t="n"/>
      <c r="O122" s="16">
        <f>IF(B122="","",IFERROR(IF(G122="차량장착",MAX(I122+VLOOKUP(B122,'Reference Data 기준데이터'!$A$3:$J$5,9,FALSE),VLOOKUP(B122,'Reference Data 기준데이터'!$A$3:$J$5,4,FALSE)),I122+VLOOKUP(B122,'Reference Data 기준데이터'!$A$3:$J$5,9,FALSE)),""))</f>
        <v/>
      </c>
      <c r="P122" s="20" t="n"/>
      <c r="Q122" s="16">
        <f>IF(B122="","",IFERROR(O122+VLOOKUP(F122,'Reference Data 기준데이터'!$A$9:$E$26,4,FALSE),""))</f>
        <v/>
      </c>
      <c r="R122" s="20" t="n"/>
      <c r="S122" s="16">
        <f>IF(B122="","",IFERROR(MIN(I122+VLOOKUP(B122,'Reference Data 기준데이터'!$A$3:$J$5,10,FALSE),VLOOKUP(B122,'Reference Data 기준데이터'!$A$3:$J$5,6,FALSE)),""))</f>
        <v/>
      </c>
      <c r="T122" s="20" t="n"/>
      <c r="U122" s="13" t="n"/>
      <c r="V122" s="17">
        <f>IF(B122="","",IF(U122&lt;&gt;"",U122,IF(AND(T122&lt;&gt;"",R122&lt;&gt;""),"11-결과등록완료",IF(AND(R122&lt;&gt;"",T122=""),"10-시험완료",IF(AND(P122&lt;&gt;"",R122=""),"09-시험준비중",IF(AND(N122&lt;&gt;"",P122=""),"08-단품준비완료",IF(L122="Approved","05-계획서승인",IF(L122="Revision Needed","04-검토중_보완",IF(L122="Under Review","03-검토중",IF(AND(K122&lt;&gt;"",L122=""),"02-제출_미검토","01-미제출"))))))))))</f>
        <v/>
      </c>
      <c r="W122" s="18">
        <f>IF(B122="","",IFS(V122="01-미제출",0,V122="02-제출_미검토",0.05,V122="03-검토중",0.1,V122="04-검토중_보완",0.05,V122="05-계획서승인",0.2,V122="06-BIW중단",0.15,V122="07-미인수",0.3,V122="08-단품준비완료",0.4,V122="09-시험준비중",0.55,V122="10-시험완료",0.85,V122="11-결과등록완료",1,V122="12-조건부승인",0.9,TRUE,0))</f>
        <v/>
      </c>
      <c r="X122" s="5">
        <f>IF(B122="","",IF(T122&lt;&gt;"","-",IF(S122="","N/A",S122-TODAY())))</f>
        <v/>
      </c>
      <c r="Y122" s="17">
        <f>IF(B122="","",IF(V122="11-결과등록완료","DONE",IF(U122="06-BIW중단","BLOCKED",IF(AND(K122="",J122&lt;TODAY()),"CRITICAL",IF(AND(ISNUMBER(X122),X122&lt;=0),"OVERDUE",IF(AND(ISNUMBER(X122),X122&lt;=14),"WARNING",IF(U122&lt;&gt;"","ACTION","ON TRACK")))))))</f>
        <v/>
      </c>
      <c r="Z122" s="5">
        <f>IF(B122="","",IF(OR(T122&lt;&gt;"",R122&lt;&gt;"",P122&lt;&gt;"",N122&lt;&gt;"",K122&lt;&gt;""),TODAY()-MAX(T122,R122,P122,N122,K122),"—"))</f>
        <v/>
      </c>
      <c r="AA122" s="19">
        <f>IF(B122="","",IF(V122="11-결과등록완료","— 완료",IF(V122="01-미제출",IF(J122&lt;TODAY(),"계획서 제출 독촉 (OVERDUE)","계획서 제출 대기"),IF(V122="02-제출_미검토","설계자: 계획서 검토 착수",IF(V122="03-검토중","설계자: 승인 처리",IF(V122="04-검토중_보완","보완 요청 → 협력사 재제출 독촉",IF(V122="05-계획서승인","시험편 준비 현황 확인",IF(V122="06-BIW중단","BIW 생산팀 확인 → 일정 재수립",IF(V122="07-미인수","협력사 인수 독촉",IF(V122="08-단품준비완료","시험 일정 확인",IF(V122="09-시험준비중","시험 진행 모니터링",IF(V122="10-시험완료","결과 보고서 전산 등록 독촉",IF(V122="12-조건부승인","조건부 승인 여부 판단 → 관련부서 협의","—")))))))))))))</f>
        <v/>
      </c>
      <c r="AB122" s="15" t="n"/>
    </row>
    <row r="123">
      <c r="A123" s="5">
        <f>IF(B123="","",ROW()-4)</f>
        <v/>
      </c>
      <c r="B123" s="13" t="n"/>
      <c r="C123" s="14">
        <f>IF(B123="","",IFERROR(VLOOKUP(D123,'Reference Data 기준데이터'!$A$30:$D$41,2,FALSE),""))</f>
        <v/>
      </c>
      <c r="D123" s="15" t="n"/>
      <c r="E123" s="14">
        <f>IF(B123="","",IFERROR(VLOOKUP(D123,'Reference Data 기준데이터'!$A$30:$D$41,3,FALSE),""))</f>
        <v/>
      </c>
      <c r="F123" s="15" t="n"/>
      <c r="G123" s="14">
        <f>IF(B123="","",IFERROR(VLOOKUP(F123,'Reference Data 기준데이터'!$A$9:$E$26,2,FALSE),""))</f>
        <v/>
      </c>
      <c r="H123" s="14">
        <f>IF(B123="","",IFERROR(VLOOKUP(F123,'Reference Data 기준데이터'!$A$9:$E$26,5,FALSE),""))</f>
        <v/>
      </c>
      <c r="I123" s="16">
        <f>IF(B123="","",IFERROR(VLOOKUP(B123,'Reference Data 기준데이터'!$A$3:$J$5,3,FALSE),""))</f>
        <v/>
      </c>
      <c r="J123" s="16">
        <f>IF(B123="","",IFERROR(I123+VLOOKUP(B123,'Reference Data 기준데이터'!$A$3:$J$5,7,FALSE),""))</f>
        <v/>
      </c>
      <c r="K123" s="20" t="n"/>
      <c r="L123" s="13" t="n"/>
      <c r="M123" s="16">
        <f>IF(B123="","",IFERROR(I123+VLOOKUP(B123,'Reference Data 기준데이터'!$A$3:$J$5,8,FALSE),""))</f>
        <v/>
      </c>
      <c r="N123" s="20" t="n"/>
      <c r="O123" s="16">
        <f>IF(B123="","",IFERROR(IF(G123="차량장착",MAX(I123+VLOOKUP(B123,'Reference Data 기준데이터'!$A$3:$J$5,9,FALSE),VLOOKUP(B123,'Reference Data 기준데이터'!$A$3:$J$5,4,FALSE)),I123+VLOOKUP(B123,'Reference Data 기준데이터'!$A$3:$J$5,9,FALSE)),""))</f>
        <v/>
      </c>
      <c r="P123" s="20" t="n"/>
      <c r="Q123" s="16">
        <f>IF(B123="","",IFERROR(O123+VLOOKUP(F123,'Reference Data 기준데이터'!$A$9:$E$26,4,FALSE),""))</f>
        <v/>
      </c>
      <c r="R123" s="20" t="n"/>
      <c r="S123" s="16">
        <f>IF(B123="","",IFERROR(MIN(I123+VLOOKUP(B123,'Reference Data 기준데이터'!$A$3:$J$5,10,FALSE),VLOOKUP(B123,'Reference Data 기준데이터'!$A$3:$J$5,6,FALSE)),""))</f>
        <v/>
      </c>
      <c r="T123" s="20" t="n"/>
      <c r="U123" s="13" t="n"/>
      <c r="V123" s="17">
        <f>IF(B123="","",IF(U123&lt;&gt;"",U123,IF(AND(T123&lt;&gt;"",R123&lt;&gt;""),"11-결과등록완료",IF(AND(R123&lt;&gt;"",T123=""),"10-시험완료",IF(AND(P123&lt;&gt;"",R123=""),"09-시험준비중",IF(AND(N123&lt;&gt;"",P123=""),"08-단품준비완료",IF(L123="Approved","05-계획서승인",IF(L123="Revision Needed","04-검토중_보완",IF(L123="Under Review","03-검토중",IF(AND(K123&lt;&gt;"",L123=""),"02-제출_미검토","01-미제출"))))))))))</f>
        <v/>
      </c>
      <c r="W123" s="18">
        <f>IF(B123="","",IFS(V123="01-미제출",0,V123="02-제출_미검토",0.05,V123="03-검토중",0.1,V123="04-검토중_보완",0.05,V123="05-계획서승인",0.2,V123="06-BIW중단",0.15,V123="07-미인수",0.3,V123="08-단품준비완료",0.4,V123="09-시험준비중",0.55,V123="10-시험완료",0.85,V123="11-결과등록완료",1,V123="12-조건부승인",0.9,TRUE,0))</f>
        <v/>
      </c>
      <c r="X123" s="5">
        <f>IF(B123="","",IF(T123&lt;&gt;"","-",IF(S123="","N/A",S123-TODAY())))</f>
        <v/>
      </c>
      <c r="Y123" s="17">
        <f>IF(B123="","",IF(V123="11-결과등록완료","DONE",IF(U123="06-BIW중단","BLOCKED",IF(AND(K123="",J123&lt;TODAY()),"CRITICAL",IF(AND(ISNUMBER(X123),X123&lt;=0),"OVERDUE",IF(AND(ISNUMBER(X123),X123&lt;=14),"WARNING",IF(U123&lt;&gt;"","ACTION","ON TRACK")))))))</f>
        <v/>
      </c>
      <c r="Z123" s="5">
        <f>IF(B123="","",IF(OR(T123&lt;&gt;"",R123&lt;&gt;"",P123&lt;&gt;"",N123&lt;&gt;"",K123&lt;&gt;""),TODAY()-MAX(T123,R123,P123,N123,K123),"—"))</f>
        <v/>
      </c>
      <c r="AA123" s="19">
        <f>IF(B123="","",IF(V123="11-결과등록완료","— 완료",IF(V123="01-미제출",IF(J123&lt;TODAY(),"계획서 제출 독촉 (OVERDUE)","계획서 제출 대기"),IF(V123="02-제출_미검토","설계자: 계획서 검토 착수",IF(V123="03-검토중","설계자: 승인 처리",IF(V123="04-검토중_보완","보완 요청 → 협력사 재제출 독촉",IF(V123="05-계획서승인","시험편 준비 현황 확인",IF(V123="06-BIW중단","BIW 생산팀 확인 → 일정 재수립",IF(V123="07-미인수","협력사 인수 독촉",IF(V123="08-단품준비완료","시험 일정 확인",IF(V123="09-시험준비중","시험 진행 모니터링",IF(V123="10-시험완료","결과 보고서 전산 등록 독촉",IF(V123="12-조건부승인","조건부 승인 여부 판단 → 관련부서 협의","—")))))))))))))</f>
        <v/>
      </c>
      <c r="AB123" s="15" t="n"/>
    </row>
    <row r="124">
      <c r="A124" s="5">
        <f>IF(B124="","",ROW()-4)</f>
        <v/>
      </c>
      <c r="B124" s="13" t="n"/>
      <c r="C124" s="14">
        <f>IF(B124="","",IFERROR(VLOOKUP(D124,'Reference Data 기준데이터'!$A$30:$D$41,2,FALSE),""))</f>
        <v/>
      </c>
      <c r="D124" s="15" t="n"/>
      <c r="E124" s="14">
        <f>IF(B124="","",IFERROR(VLOOKUP(D124,'Reference Data 기준데이터'!$A$30:$D$41,3,FALSE),""))</f>
        <v/>
      </c>
      <c r="F124" s="15" t="n"/>
      <c r="G124" s="14">
        <f>IF(B124="","",IFERROR(VLOOKUP(F124,'Reference Data 기준데이터'!$A$9:$E$26,2,FALSE),""))</f>
        <v/>
      </c>
      <c r="H124" s="14">
        <f>IF(B124="","",IFERROR(VLOOKUP(F124,'Reference Data 기준데이터'!$A$9:$E$26,5,FALSE),""))</f>
        <v/>
      </c>
      <c r="I124" s="16">
        <f>IF(B124="","",IFERROR(VLOOKUP(B124,'Reference Data 기준데이터'!$A$3:$J$5,3,FALSE),""))</f>
        <v/>
      </c>
      <c r="J124" s="16">
        <f>IF(B124="","",IFERROR(I124+VLOOKUP(B124,'Reference Data 기준데이터'!$A$3:$J$5,7,FALSE),""))</f>
        <v/>
      </c>
      <c r="K124" s="20" t="n"/>
      <c r="L124" s="13" t="n"/>
      <c r="M124" s="16">
        <f>IF(B124="","",IFERROR(I124+VLOOKUP(B124,'Reference Data 기준데이터'!$A$3:$J$5,8,FALSE),""))</f>
        <v/>
      </c>
      <c r="N124" s="20" t="n"/>
      <c r="O124" s="16">
        <f>IF(B124="","",IFERROR(IF(G124="차량장착",MAX(I124+VLOOKUP(B124,'Reference Data 기준데이터'!$A$3:$J$5,9,FALSE),VLOOKUP(B124,'Reference Data 기준데이터'!$A$3:$J$5,4,FALSE)),I124+VLOOKUP(B124,'Reference Data 기준데이터'!$A$3:$J$5,9,FALSE)),""))</f>
        <v/>
      </c>
      <c r="P124" s="20" t="n"/>
      <c r="Q124" s="16">
        <f>IF(B124="","",IFERROR(O124+VLOOKUP(F124,'Reference Data 기준데이터'!$A$9:$E$26,4,FALSE),""))</f>
        <v/>
      </c>
      <c r="R124" s="20" t="n"/>
      <c r="S124" s="16">
        <f>IF(B124="","",IFERROR(MIN(I124+VLOOKUP(B124,'Reference Data 기준데이터'!$A$3:$J$5,10,FALSE),VLOOKUP(B124,'Reference Data 기준데이터'!$A$3:$J$5,6,FALSE)),""))</f>
        <v/>
      </c>
      <c r="T124" s="20" t="n"/>
      <c r="U124" s="13" t="n"/>
      <c r="V124" s="17">
        <f>IF(B124="","",IF(U124&lt;&gt;"",U124,IF(AND(T124&lt;&gt;"",R124&lt;&gt;""),"11-결과등록완료",IF(AND(R124&lt;&gt;"",T124=""),"10-시험완료",IF(AND(P124&lt;&gt;"",R124=""),"09-시험준비중",IF(AND(N124&lt;&gt;"",P124=""),"08-단품준비완료",IF(L124="Approved","05-계획서승인",IF(L124="Revision Needed","04-검토중_보완",IF(L124="Under Review","03-검토중",IF(AND(K124&lt;&gt;"",L124=""),"02-제출_미검토","01-미제출"))))))))))</f>
        <v/>
      </c>
      <c r="W124" s="18">
        <f>IF(B124="","",IFS(V124="01-미제출",0,V124="02-제출_미검토",0.05,V124="03-검토중",0.1,V124="04-검토중_보완",0.05,V124="05-계획서승인",0.2,V124="06-BIW중단",0.15,V124="07-미인수",0.3,V124="08-단품준비완료",0.4,V124="09-시험준비중",0.55,V124="10-시험완료",0.85,V124="11-결과등록완료",1,V124="12-조건부승인",0.9,TRUE,0))</f>
        <v/>
      </c>
      <c r="X124" s="5">
        <f>IF(B124="","",IF(T124&lt;&gt;"","-",IF(S124="","N/A",S124-TODAY())))</f>
        <v/>
      </c>
      <c r="Y124" s="17">
        <f>IF(B124="","",IF(V124="11-결과등록완료","DONE",IF(U124="06-BIW중단","BLOCKED",IF(AND(K124="",J124&lt;TODAY()),"CRITICAL",IF(AND(ISNUMBER(X124),X124&lt;=0),"OVERDUE",IF(AND(ISNUMBER(X124),X124&lt;=14),"WARNING",IF(U124&lt;&gt;"","ACTION","ON TRACK")))))))</f>
        <v/>
      </c>
      <c r="Z124" s="5">
        <f>IF(B124="","",IF(OR(T124&lt;&gt;"",R124&lt;&gt;"",P124&lt;&gt;"",N124&lt;&gt;"",K124&lt;&gt;""),TODAY()-MAX(T124,R124,P124,N124,K124),"—"))</f>
        <v/>
      </c>
      <c r="AA124" s="19">
        <f>IF(B124="","",IF(V124="11-결과등록완료","— 완료",IF(V124="01-미제출",IF(J124&lt;TODAY(),"계획서 제출 독촉 (OVERDUE)","계획서 제출 대기"),IF(V124="02-제출_미검토","설계자: 계획서 검토 착수",IF(V124="03-검토중","설계자: 승인 처리",IF(V124="04-검토중_보완","보완 요청 → 협력사 재제출 독촉",IF(V124="05-계획서승인","시험편 준비 현황 확인",IF(V124="06-BIW중단","BIW 생산팀 확인 → 일정 재수립",IF(V124="07-미인수","협력사 인수 독촉",IF(V124="08-단품준비완료","시험 일정 확인",IF(V124="09-시험준비중","시험 진행 모니터링",IF(V124="10-시험완료","결과 보고서 전산 등록 독촉",IF(V124="12-조건부승인","조건부 승인 여부 판단 → 관련부서 협의","—")))))))))))))</f>
        <v/>
      </c>
      <c r="AB124" s="15" t="n"/>
    </row>
    <row r="125">
      <c r="A125" s="5">
        <f>IF(B125="","",ROW()-4)</f>
        <v/>
      </c>
      <c r="B125" s="13" t="n"/>
      <c r="C125" s="14">
        <f>IF(B125="","",IFERROR(VLOOKUP(D125,'Reference Data 기준데이터'!$A$30:$D$41,2,FALSE),""))</f>
        <v/>
      </c>
      <c r="D125" s="15" t="n"/>
      <c r="E125" s="14">
        <f>IF(B125="","",IFERROR(VLOOKUP(D125,'Reference Data 기준데이터'!$A$30:$D$41,3,FALSE),""))</f>
        <v/>
      </c>
      <c r="F125" s="15" t="n"/>
      <c r="G125" s="14">
        <f>IF(B125="","",IFERROR(VLOOKUP(F125,'Reference Data 기준데이터'!$A$9:$E$26,2,FALSE),""))</f>
        <v/>
      </c>
      <c r="H125" s="14">
        <f>IF(B125="","",IFERROR(VLOOKUP(F125,'Reference Data 기준데이터'!$A$9:$E$26,5,FALSE),""))</f>
        <v/>
      </c>
      <c r="I125" s="16">
        <f>IF(B125="","",IFERROR(VLOOKUP(B125,'Reference Data 기준데이터'!$A$3:$J$5,3,FALSE),""))</f>
        <v/>
      </c>
      <c r="J125" s="16">
        <f>IF(B125="","",IFERROR(I125+VLOOKUP(B125,'Reference Data 기준데이터'!$A$3:$J$5,7,FALSE),""))</f>
        <v/>
      </c>
      <c r="K125" s="20" t="n"/>
      <c r="L125" s="13" t="n"/>
      <c r="M125" s="16">
        <f>IF(B125="","",IFERROR(I125+VLOOKUP(B125,'Reference Data 기준데이터'!$A$3:$J$5,8,FALSE),""))</f>
        <v/>
      </c>
      <c r="N125" s="20" t="n"/>
      <c r="O125" s="16">
        <f>IF(B125="","",IFERROR(IF(G125="차량장착",MAX(I125+VLOOKUP(B125,'Reference Data 기준데이터'!$A$3:$J$5,9,FALSE),VLOOKUP(B125,'Reference Data 기준데이터'!$A$3:$J$5,4,FALSE)),I125+VLOOKUP(B125,'Reference Data 기준데이터'!$A$3:$J$5,9,FALSE)),""))</f>
        <v/>
      </c>
      <c r="P125" s="20" t="n"/>
      <c r="Q125" s="16">
        <f>IF(B125="","",IFERROR(O125+VLOOKUP(F125,'Reference Data 기준데이터'!$A$9:$E$26,4,FALSE),""))</f>
        <v/>
      </c>
      <c r="R125" s="20" t="n"/>
      <c r="S125" s="16">
        <f>IF(B125="","",IFERROR(MIN(I125+VLOOKUP(B125,'Reference Data 기준데이터'!$A$3:$J$5,10,FALSE),VLOOKUP(B125,'Reference Data 기준데이터'!$A$3:$J$5,6,FALSE)),""))</f>
        <v/>
      </c>
      <c r="T125" s="20" t="n"/>
      <c r="U125" s="13" t="n"/>
      <c r="V125" s="17">
        <f>IF(B125="","",IF(U125&lt;&gt;"",U125,IF(AND(T125&lt;&gt;"",R125&lt;&gt;""),"11-결과등록완료",IF(AND(R125&lt;&gt;"",T125=""),"10-시험완료",IF(AND(P125&lt;&gt;"",R125=""),"09-시험준비중",IF(AND(N125&lt;&gt;"",P125=""),"08-단품준비완료",IF(L125="Approved","05-계획서승인",IF(L125="Revision Needed","04-검토중_보완",IF(L125="Under Review","03-검토중",IF(AND(K125&lt;&gt;"",L125=""),"02-제출_미검토","01-미제출"))))))))))</f>
        <v/>
      </c>
      <c r="W125" s="18">
        <f>IF(B125="","",IFS(V125="01-미제출",0,V125="02-제출_미검토",0.05,V125="03-검토중",0.1,V125="04-검토중_보완",0.05,V125="05-계획서승인",0.2,V125="06-BIW중단",0.15,V125="07-미인수",0.3,V125="08-단품준비완료",0.4,V125="09-시험준비중",0.55,V125="10-시험완료",0.85,V125="11-결과등록완료",1,V125="12-조건부승인",0.9,TRUE,0))</f>
        <v/>
      </c>
      <c r="X125" s="5">
        <f>IF(B125="","",IF(T125&lt;&gt;"","-",IF(S125="","N/A",S125-TODAY())))</f>
        <v/>
      </c>
      <c r="Y125" s="17">
        <f>IF(B125="","",IF(V125="11-결과등록완료","DONE",IF(U125="06-BIW중단","BLOCKED",IF(AND(K125="",J125&lt;TODAY()),"CRITICAL",IF(AND(ISNUMBER(X125),X125&lt;=0),"OVERDUE",IF(AND(ISNUMBER(X125),X125&lt;=14),"WARNING",IF(U125&lt;&gt;"","ACTION","ON TRACK")))))))</f>
        <v/>
      </c>
      <c r="Z125" s="5">
        <f>IF(B125="","",IF(OR(T125&lt;&gt;"",R125&lt;&gt;"",P125&lt;&gt;"",N125&lt;&gt;"",K125&lt;&gt;""),TODAY()-MAX(T125,R125,P125,N125,K125),"—"))</f>
        <v/>
      </c>
      <c r="AA125" s="19">
        <f>IF(B125="","",IF(V125="11-결과등록완료","— 완료",IF(V125="01-미제출",IF(J125&lt;TODAY(),"계획서 제출 독촉 (OVERDUE)","계획서 제출 대기"),IF(V125="02-제출_미검토","설계자: 계획서 검토 착수",IF(V125="03-검토중","설계자: 승인 처리",IF(V125="04-검토중_보완","보완 요청 → 협력사 재제출 독촉",IF(V125="05-계획서승인","시험편 준비 현황 확인",IF(V125="06-BIW중단","BIW 생산팀 확인 → 일정 재수립",IF(V125="07-미인수","협력사 인수 독촉",IF(V125="08-단품준비완료","시험 일정 확인",IF(V125="09-시험준비중","시험 진행 모니터링",IF(V125="10-시험완료","결과 보고서 전산 등록 독촉",IF(V125="12-조건부승인","조건부 승인 여부 판단 → 관련부서 협의","—")))))))))))))</f>
        <v/>
      </c>
      <c r="AB125" s="15" t="n"/>
    </row>
    <row r="126">
      <c r="A126" s="5">
        <f>IF(B126="","",ROW()-4)</f>
        <v/>
      </c>
      <c r="B126" s="13" t="n"/>
      <c r="C126" s="14">
        <f>IF(B126="","",IFERROR(VLOOKUP(D126,'Reference Data 기준데이터'!$A$30:$D$41,2,FALSE),""))</f>
        <v/>
      </c>
      <c r="D126" s="15" t="n"/>
      <c r="E126" s="14">
        <f>IF(B126="","",IFERROR(VLOOKUP(D126,'Reference Data 기준데이터'!$A$30:$D$41,3,FALSE),""))</f>
        <v/>
      </c>
      <c r="F126" s="15" t="n"/>
      <c r="G126" s="14">
        <f>IF(B126="","",IFERROR(VLOOKUP(F126,'Reference Data 기준데이터'!$A$9:$E$26,2,FALSE),""))</f>
        <v/>
      </c>
      <c r="H126" s="14">
        <f>IF(B126="","",IFERROR(VLOOKUP(F126,'Reference Data 기준데이터'!$A$9:$E$26,5,FALSE),""))</f>
        <v/>
      </c>
      <c r="I126" s="16">
        <f>IF(B126="","",IFERROR(VLOOKUP(B126,'Reference Data 기준데이터'!$A$3:$J$5,3,FALSE),""))</f>
        <v/>
      </c>
      <c r="J126" s="16">
        <f>IF(B126="","",IFERROR(I126+VLOOKUP(B126,'Reference Data 기준데이터'!$A$3:$J$5,7,FALSE),""))</f>
        <v/>
      </c>
      <c r="K126" s="20" t="n"/>
      <c r="L126" s="13" t="n"/>
      <c r="M126" s="16">
        <f>IF(B126="","",IFERROR(I126+VLOOKUP(B126,'Reference Data 기준데이터'!$A$3:$J$5,8,FALSE),""))</f>
        <v/>
      </c>
      <c r="N126" s="20" t="n"/>
      <c r="O126" s="16">
        <f>IF(B126="","",IFERROR(IF(G126="차량장착",MAX(I126+VLOOKUP(B126,'Reference Data 기준데이터'!$A$3:$J$5,9,FALSE),VLOOKUP(B126,'Reference Data 기준데이터'!$A$3:$J$5,4,FALSE)),I126+VLOOKUP(B126,'Reference Data 기준데이터'!$A$3:$J$5,9,FALSE)),""))</f>
        <v/>
      </c>
      <c r="P126" s="20" t="n"/>
      <c r="Q126" s="16">
        <f>IF(B126="","",IFERROR(O126+VLOOKUP(F126,'Reference Data 기준데이터'!$A$9:$E$26,4,FALSE),""))</f>
        <v/>
      </c>
      <c r="R126" s="20" t="n"/>
      <c r="S126" s="16">
        <f>IF(B126="","",IFERROR(MIN(I126+VLOOKUP(B126,'Reference Data 기준데이터'!$A$3:$J$5,10,FALSE),VLOOKUP(B126,'Reference Data 기준데이터'!$A$3:$J$5,6,FALSE)),""))</f>
        <v/>
      </c>
      <c r="T126" s="20" t="n"/>
      <c r="U126" s="13" t="n"/>
      <c r="V126" s="17">
        <f>IF(B126="","",IF(U126&lt;&gt;"",U126,IF(AND(T126&lt;&gt;"",R126&lt;&gt;""),"11-결과등록완료",IF(AND(R126&lt;&gt;"",T126=""),"10-시험완료",IF(AND(P126&lt;&gt;"",R126=""),"09-시험준비중",IF(AND(N126&lt;&gt;"",P126=""),"08-단품준비완료",IF(L126="Approved","05-계획서승인",IF(L126="Revision Needed","04-검토중_보완",IF(L126="Under Review","03-검토중",IF(AND(K126&lt;&gt;"",L126=""),"02-제출_미검토","01-미제출"))))))))))</f>
        <v/>
      </c>
      <c r="W126" s="18">
        <f>IF(B126="","",IFS(V126="01-미제출",0,V126="02-제출_미검토",0.05,V126="03-검토중",0.1,V126="04-검토중_보완",0.05,V126="05-계획서승인",0.2,V126="06-BIW중단",0.15,V126="07-미인수",0.3,V126="08-단품준비완료",0.4,V126="09-시험준비중",0.55,V126="10-시험완료",0.85,V126="11-결과등록완료",1,V126="12-조건부승인",0.9,TRUE,0))</f>
        <v/>
      </c>
      <c r="X126" s="5">
        <f>IF(B126="","",IF(T126&lt;&gt;"","-",IF(S126="","N/A",S126-TODAY())))</f>
        <v/>
      </c>
      <c r="Y126" s="17">
        <f>IF(B126="","",IF(V126="11-결과등록완료","DONE",IF(U126="06-BIW중단","BLOCKED",IF(AND(K126="",J126&lt;TODAY()),"CRITICAL",IF(AND(ISNUMBER(X126),X126&lt;=0),"OVERDUE",IF(AND(ISNUMBER(X126),X126&lt;=14),"WARNING",IF(U126&lt;&gt;"","ACTION","ON TRACK")))))))</f>
        <v/>
      </c>
      <c r="Z126" s="5">
        <f>IF(B126="","",IF(OR(T126&lt;&gt;"",R126&lt;&gt;"",P126&lt;&gt;"",N126&lt;&gt;"",K126&lt;&gt;""),TODAY()-MAX(T126,R126,P126,N126,K126),"—"))</f>
        <v/>
      </c>
      <c r="AA126" s="19">
        <f>IF(B126="","",IF(V126="11-결과등록완료","— 완료",IF(V126="01-미제출",IF(J126&lt;TODAY(),"계획서 제출 독촉 (OVERDUE)","계획서 제출 대기"),IF(V126="02-제출_미검토","설계자: 계획서 검토 착수",IF(V126="03-검토중","설계자: 승인 처리",IF(V126="04-검토중_보완","보완 요청 → 협력사 재제출 독촉",IF(V126="05-계획서승인","시험편 준비 현황 확인",IF(V126="06-BIW중단","BIW 생산팀 확인 → 일정 재수립",IF(V126="07-미인수","협력사 인수 독촉",IF(V126="08-단품준비완료","시험 일정 확인",IF(V126="09-시험준비중","시험 진행 모니터링",IF(V126="10-시험완료","결과 보고서 전산 등록 독촉",IF(V126="12-조건부승인","조건부 승인 여부 판단 → 관련부서 협의","—")))))))))))))</f>
        <v/>
      </c>
      <c r="AB126" s="15" t="n"/>
    </row>
    <row r="127">
      <c r="A127" s="5">
        <f>IF(B127="","",ROW()-4)</f>
        <v/>
      </c>
      <c r="B127" s="13" t="n"/>
      <c r="C127" s="14">
        <f>IF(B127="","",IFERROR(VLOOKUP(D127,'Reference Data 기준데이터'!$A$30:$D$41,2,FALSE),""))</f>
        <v/>
      </c>
      <c r="D127" s="15" t="n"/>
      <c r="E127" s="14">
        <f>IF(B127="","",IFERROR(VLOOKUP(D127,'Reference Data 기준데이터'!$A$30:$D$41,3,FALSE),""))</f>
        <v/>
      </c>
      <c r="F127" s="15" t="n"/>
      <c r="G127" s="14">
        <f>IF(B127="","",IFERROR(VLOOKUP(F127,'Reference Data 기준데이터'!$A$9:$E$26,2,FALSE),""))</f>
        <v/>
      </c>
      <c r="H127" s="14">
        <f>IF(B127="","",IFERROR(VLOOKUP(F127,'Reference Data 기준데이터'!$A$9:$E$26,5,FALSE),""))</f>
        <v/>
      </c>
      <c r="I127" s="16">
        <f>IF(B127="","",IFERROR(VLOOKUP(B127,'Reference Data 기준데이터'!$A$3:$J$5,3,FALSE),""))</f>
        <v/>
      </c>
      <c r="J127" s="16">
        <f>IF(B127="","",IFERROR(I127+VLOOKUP(B127,'Reference Data 기준데이터'!$A$3:$J$5,7,FALSE),""))</f>
        <v/>
      </c>
      <c r="K127" s="20" t="n"/>
      <c r="L127" s="13" t="n"/>
      <c r="M127" s="16">
        <f>IF(B127="","",IFERROR(I127+VLOOKUP(B127,'Reference Data 기준데이터'!$A$3:$J$5,8,FALSE),""))</f>
        <v/>
      </c>
      <c r="N127" s="20" t="n"/>
      <c r="O127" s="16">
        <f>IF(B127="","",IFERROR(IF(G127="차량장착",MAX(I127+VLOOKUP(B127,'Reference Data 기준데이터'!$A$3:$J$5,9,FALSE),VLOOKUP(B127,'Reference Data 기준데이터'!$A$3:$J$5,4,FALSE)),I127+VLOOKUP(B127,'Reference Data 기준데이터'!$A$3:$J$5,9,FALSE)),""))</f>
        <v/>
      </c>
      <c r="P127" s="20" t="n"/>
      <c r="Q127" s="16">
        <f>IF(B127="","",IFERROR(O127+VLOOKUP(F127,'Reference Data 기준데이터'!$A$9:$E$26,4,FALSE),""))</f>
        <v/>
      </c>
      <c r="R127" s="20" t="n"/>
      <c r="S127" s="16">
        <f>IF(B127="","",IFERROR(MIN(I127+VLOOKUP(B127,'Reference Data 기준데이터'!$A$3:$J$5,10,FALSE),VLOOKUP(B127,'Reference Data 기준데이터'!$A$3:$J$5,6,FALSE)),""))</f>
        <v/>
      </c>
      <c r="T127" s="20" t="n"/>
      <c r="U127" s="13" t="n"/>
      <c r="V127" s="17">
        <f>IF(B127="","",IF(U127&lt;&gt;"",U127,IF(AND(T127&lt;&gt;"",R127&lt;&gt;""),"11-결과등록완료",IF(AND(R127&lt;&gt;"",T127=""),"10-시험완료",IF(AND(P127&lt;&gt;"",R127=""),"09-시험준비중",IF(AND(N127&lt;&gt;"",P127=""),"08-단품준비완료",IF(L127="Approved","05-계획서승인",IF(L127="Revision Needed","04-검토중_보완",IF(L127="Under Review","03-검토중",IF(AND(K127&lt;&gt;"",L127=""),"02-제출_미검토","01-미제출"))))))))))</f>
        <v/>
      </c>
      <c r="W127" s="18">
        <f>IF(B127="","",IFS(V127="01-미제출",0,V127="02-제출_미검토",0.05,V127="03-검토중",0.1,V127="04-검토중_보완",0.05,V127="05-계획서승인",0.2,V127="06-BIW중단",0.15,V127="07-미인수",0.3,V127="08-단품준비완료",0.4,V127="09-시험준비중",0.55,V127="10-시험완료",0.85,V127="11-결과등록완료",1,V127="12-조건부승인",0.9,TRUE,0))</f>
        <v/>
      </c>
      <c r="X127" s="5">
        <f>IF(B127="","",IF(T127&lt;&gt;"","-",IF(S127="","N/A",S127-TODAY())))</f>
        <v/>
      </c>
      <c r="Y127" s="17">
        <f>IF(B127="","",IF(V127="11-결과등록완료","DONE",IF(U127="06-BIW중단","BLOCKED",IF(AND(K127="",J127&lt;TODAY()),"CRITICAL",IF(AND(ISNUMBER(X127),X127&lt;=0),"OVERDUE",IF(AND(ISNUMBER(X127),X127&lt;=14),"WARNING",IF(U127&lt;&gt;"","ACTION","ON TRACK")))))))</f>
        <v/>
      </c>
      <c r="Z127" s="5">
        <f>IF(B127="","",IF(OR(T127&lt;&gt;"",R127&lt;&gt;"",P127&lt;&gt;"",N127&lt;&gt;"",K127&lt;&gt;""),TODAY()-MAX(T127,R127,P127,N127,K127),"—"))</f>
        <v/>
      </c>
      <c r="AA127" s="19">
        <f>IF(B127="","",IF(V127="11-결과등록완료","— 완료",IF(V127="01-미제출",IF(J127&lt;TODAY(),"계획서 제출 독촉 (OVERDUE)","계획서 제출 대기"),IF(V127="02-제출_미검토","설계자: 계획서 검토 착수",IF(V127="03-검토중","설계자: 승인 처리",IF(V127="04-검토중_보완","보완 요청 → 협력사 재제출 독촉",IF(V127="05-계획서승인","시험편 준비 현황 확인",IF(V127="06-BIW중단","BIW 생산팀 확인 → 일정 재수립",IF(V127="07-미인수","협력사 인수 독촉",IF(V127="08-단품준비완료","시험 일정 확인",IF(V127="09-시험준비중","시험 진행 모니터링",IF(V127="10-시험완료","결과 보고서 전산 등록 독촉",IF(V127="12-조건부승인","조건부 승인 여부 판단 → 관련부서 협의","—")))))))))))))</f>
        <v/>
      </c>
      <c r="AB127" s="15" t="n"/>
    </row>
    <row r="128">
      <c r="A128" s="5">
        <f>IF(B128="","",ROW()-4)</f>
        <v/>
      </c>
      <c r="B128" s="13" t="n"/>
      <c r="C128" s="14">
        <f>IF(B128="","",IFERROR(VLOOKUP(D128,'Reference Data 기준데이터'!$A$30:$D$41,2,FALSE),""))</f>
        <v/>
      </c>
      <c r="D128" s="15" t="n"/>
      <c r="E128" s="14">
        <f>IF(B128="","",IFERROR(VLOOKUP(D128,'Reference Data 기준데이터'!$A$30:$D$41,3,FALSE),""))</f>
        <v/>
      </c>
      <c r="F128" s="15" t="n"/>
      <c r="G128" s="14">
        <f>IF(B128="","",IFERROR(VLOOKUP(F128,'Reference Data 기준데이터'!$A$9:$E$26,2,FALSE),""))</f>
        <v/>
      </c>
      <c r="H128" s="14">
        <f>IF(B128="","",IFERROR(VLOOKUP(F128,'Reference Data 기준데이터'!$A$9:$E$26,5,FALSE),""))</f>
        <v/>
      </c>
      <c r="I128" s="16">
        <f>IF(B128="","",IFERROR(VLOOKUP(B128,'Reference Data 기준데이터'!$A$3:$J$5,3,FALSE),""))</f>
        <v/>
      </c>
      <c r="J128" s="16">
        <f>IF(B128="","",IFERROR(I128+VLOOKUP(B128,'Reference Data 기준데이터'!$A$3:$J$5,7,FALSE),""))</f>
        <v/>
      </c>
      <c r="K128" s="20" t="n"/>
      <c r="L128" s="13" t="n"/>
      <c r="M128" s="16">
        <f>IF(B128="","",IFERROR(I128+VLOOKUP(B128,'Reference Data 기준데이터'!$A$3:$J$5,8,FALSE),""))</f>
        <v/>
      </c>
      <c r="N128" s="20" t="n"/>
      <c r="O128" s="16">
        <f>IF(B128="","",IFERROR(IF(G128="차량장착",MAX(I128+VLOOKUP(B128,'Reference Data 기준데이터'!$A$3:$J$5,9,FALSE),VLOOKUP(B128,'Reference Data 기준데이터'!$A$3:$J$5,4,FALSE)),I128+VLOOKUP(B128,'Reference Data 기준데이터'!$A$3:$J$5,9,FALSE)),""))</f>
        <v/>
      </c>
      <c r="P128" s="20" t="n"/>
      <c r="Q128" s="16">
        <f>IF(B128="","",IFERROR(O128+VLOOKUP(F128,'Reference Data 기준데이터'!$A$9:$E$26,4,FALSE),""))</f>
        <v/>
      </c>
      <c r="R128" s="20" t="n"/>
      <c r="S128" s="16">
        <f>IF(B128="","",IFERROR(MIN(I128+VLOOKUP(B128,'Reference Data 기준데이터'!$A$3:$J$5,10,FALSE),VLOOKUP(B128,'Reference Data 기준데이터'!$A$3:$J$5,6,FALSE)),""))</f>
        <v/>
      </c>
      <c r="T128" s="20" t="n"/>
      <c r="U128" s="13" t="n"/>
      <c r="V128" s="17">
        <f>IF(B128="","",IF(U128&lt;&gt;"",U128,IF(AND(T128&lt;&gt;"",R128&lt;&gt;""),"11-결과등록완료",IF(AND(R128&lt;&gt;"",T128=""),"10-시험완료",IF(AND(P128&lt;&gt;"",R128=""),"09-시험준비중",IF(AND(N128&lt;&gt;"",P128=""),"08-단품준비완료",IF(L128="Approved","05-계획서승인",IF(L128="Revision Needed","04-검토중_보완",IF(L128="Under Review","03-검토중",IF(AND(K128&lt;&gt;"",L128=""),"02-제출_미검토","01-미제출"))))))))))</f>
        <v/>
      </c>
      <c r="W128" s="18">
        <f>IF(B128="","",IFS(V128="01-미제출",0,V128="02-제출_미검토",0.05,V128="03-검토중",0.1,V128="04-검토중_보완",0.05,V128="05-계획서승인",0.2,V128="06-BIW중단",0.15,V128="07-미인수",0.3,V128="08-단품준비완료",0.4,V128="09-시험준비중",0.55,V128="10-시험완료",0.85,V128="11-결과등록완료",1,V128="12-조건부승인",0.9,TRUE,0))</f>
        <v/>
      </c>
      <c r="X128" s="5">
        <f>IF(B128="","",IF(T128&lt;&gt;"","-",IF(S128="","N/A",S128-TODAY())))</f>
        <v/>
      </c>
      <c r="Y128" s="17">
        <f>IF(B128="","",IF(V128="11-결과등록완료","DONE",IF(U128="06-BIW중단","BLOCKED",IF(AND(K128="",J128&lt;TODAY()),"CRITICAL",IF(AND(ISNUMBER(X128),X128&lt;=0),"OVERDUE",IF(AND(ISNUMBER(X128),X128&lt;=14),"WARNING",IF(U128&lt;&gt;"","ACTION","ON TRACK")))))))</f>
        <v/>
      </c>
      <c r="Z128" s="5">
        <f>IF(B128="","",IF(OR(T128&lt;&gt;"",R128&lt;&gt;"",P128&lt;&gt;"",N128&lt;&gt;"",K128&lt;&gt;""),TODAY()-MAX(T128,R128,P128,N128,K128),"—"))</f>
        <v/>
      </c>
      <c r="AA128" s="19">
        <f>IF(B128="","",IF(V128="11-결과등록완료","— 완료",IF(V128="01-미제출",IF(J128&lt;TODAY(),"계획서 제출 독촉 (OVERDUE)","계획서 제출 대기"),IF(V128="02-제출_미검토","설계자: 계획서 검토 착수",IF(V128="03-검토중","설계자: 승인 처리",IF(V128="04-검토중_보완","보완 요청 → 협력사 재제출 독촉",IF(V128="05-계획서승인","시험편 준비 현황 확인",IF(V128="06-BIW중단","BIW 생산팀 확인 → 일정 재수립",IF(V128="07-미인수","협력사 인수 독촉",IF(V128="08-단품준비완료","시험 일정 확인",IF(V128="09-시험준비중","시험 진행 모니터링",IF(V128="10-시험완료","결과 보고서 전산 등록 독촉",IF(V128="12-조건부승인","조건부 승인 여부 판단 → 관련부서 협의","—")))))))))))))</f>
        <v/>
      </c>
      <c r="AB128" s="15" t="n"/>
    </row>
    <row r="129">
      <c r="A129" s="5">
        <f>IF(B129="","",ROW()-4)</f>
        <v/>
      </c>
      <c r="B129" s="13" t="n"/>
      <c r="C129" s="14">
        <f>IF(B129="","",IFERROR(VLOOKUP(D129,'Reference Data 기준데이터'!$A$30:$D$41,2,FALSE),""))</f>
        <v/>
      </c>
      <c r="D129" s="15" t="n"/>
      <c r="E129" s="14">
        <f>IF(B129="","",IFERROR(VLOOKUP(D129,'Reference Data 기준데이터'!$A$30:$D$41,3,FALSE),""))</f>
        <v/>
      </c>
      <c r="F129" s="15" t="n"/>
      <c r="G129" s="14">
        <f>IF(B129="","",IFERROR(VLOOKUP(F129,'Reference Data 기준데이터'!$A$9:$E$26,2,FALSE),""))</f>
        <v/>
      </c>
      <c r="H129" s="14">
        <f>IF(B129="","",IFERROR(VLOOKUP(F129,'Reference Data 기준데이터'!$A$9:$E$26,5,FALSE),""))</f>
        <v/>
      </c>
      <c r="I129" s="16">
        <f>IF(B129="","",IFERROR(VLOOKUP(B129,'Reference Data 기준데이터'!$A$3:$J$5,3,FALSE),""))</f>
        <v/>
      </c>
      <c r="J129" s="16">
        <f>IF(B129="","",IFERROR(I129+VLOOKUP(B129,'Reference Data 기준데이터'!$A$3:$J$5,7,FALSE),""))</f>
        <v/>
      </c>
      <c r="K129" s="20" t="n"/>
      <c r="L129" s="13" t="n"/>
      <c r="M129" s="16">
        <f>IF(B129="","",IFERROR(I129+VLOOKUP(B129,'Reference Data 기준데이터'!$A$3:$J$5,8,FALSE),""))</f>
        <v/>
      </c>
      <c r="N129" s="20" t="n"/>
      <c r="O129" s="16">
        <f>IF(B129="","",IFERROR(IF(G129="차량장착",MAX(I129+VLOOKUP(B129,'Reference Data 기준데이터'!$A$3:$J$5,9,FALSE),VLOOKUP(B129,'Reference Data 기준데이터'!$A$3:$J$5,4,FALSE)),I129+VLOOKUP(B129,'Reference Data 기준데이터'!$A$3:$J$5,9,FALSE)),""))</f>
        <v/>
      </c>
      <c r="P129" s="20" t="n"/>
      <c r="Q129" s="16">
        <f>IF(B129="","",IFERROR(O129+VLOOKUP(F129,'Reference Data 기준데이터'!$A$9:$E$26,4,FALSE),""))</f>
        <v/>
      </c>
      <c r="R129" s="20" t="n"/>
      <c r="S129" s="16">
        <f>IF(B129="","",IFERROR(MIN(I129+VLOOKUP(B129,'Reference Data 기준데이터'!$A$3:$J$5,10,FALSE),VLOOKUP(B129,'Reference Data 기준데이터'!$A$3:$J$5,6,FALSE)),""))</f>
        <v/>
      </c>
      <c r="T129" s="20" t="n"/>
      <c r="U129" s="13" t="n"/>
      <c r="V129" s="17">
        <f>IF(B129="","",IF(U129&lt;&gt;"",U129,IF(AND(T129&lt;&gt;"",R129&lt;&gt;""),"11-결과등록완료",IF(AND(R129&lt;&gt;"",T129=""),"10-시험완료",IF(AND(P129&lt;&gt;"",R129=""),"09-시험준비중",IF(AND(N129&lt;&gt;"",P129=""),"08-단품준비완료",IF(L129="Approved","05-계획서승인",IF(L129="Revision Needed","04-검토중_보완",IF(L129="Under Review","03-검토중",IF(AND(K129&lt;&gt;"",L129=""),"02-제출_미검토","01-미제출"))))))))))</f>
        <v/>
      </c>
      <c r="W129" s="18">
        <f>IF(B129="","",IFS(V129="01-미제출",0,V129="02-제출_미검토",0.05,V129="03-검토중",0.1,V129="04-검토중_보완",0.05,V129="05-계획서승인",0.2,V129="06-BIW중단",0.15,V129="07-미인수",0.3,V129="08-단품준비완료",0.4,V129="09-시험준비중",0.55,V129="10-시험완료",0.85,V129="11-결과등록완료",1,V129="12-조건부승인",0.9,TRUE,0))</f>
        <v/>
      </c>
      <c r="X129" s="5">
        <f>IF(B129="","",IF(T129&lt;&gt;"","-",IF(S129="","N/A",S129-TODAY())))</f>
        <v/>
      </c>
      <c r="Y129" s="17">
        <f>IF(B129="","",IF(V129="11-결과등록완료","DONE",IF(U129="06-BIW중단","BLOCKED",IF(AND(K129="",J129&lt;TODAY()),"CRITICAL",IF(AND(ISNUMBER(X129),X129&lt;=0),"OVERDUE",IF(AND(ISNUMBER(X129),X129&lt;=14),"WARNING",IF(U129&lt;&gt;"","ACTION","ON TRACK")))))))</f>
        <v/>
      </c>
      <c r="Z129" s="5">
        <f>IF(B129="","",IF(OR(T129&lt;&gt;"",R129&lt;&gt;"",P129&lt;&gt;"",N129&lt;&gt;"",K129&lt;&gt;""),TODAY()-MAX(T129,R129,P129,N129,K129),"—"))</f>
        <v/>
      </c>
      <c r="AA129" s="19">
        <f>IF(B129="","",IF(V129="11-결과등록완료","— 완료",IF(V129="01-미제출",IF(J129&lt;TODAY(),"계획서 제출 독촉 (OVERDUE)","계획서 제출 대기"),IF(V129="02-제출_미검토","설계자: 계획서 검토 착수",IF(V129="03-검토중","설계자: 승인 처리",IF(V129="04-검토중_보완","보완 요청 → 협력사 재제출 독촉",IF(V129="05-계획서승인","시험편 준비 현황 확인",IF(V129="06-BIW중단","BIW 생산팀 확인 → 일정 재수립",IF(V129="07-미인수","협력사 인수 독촉",IF(V129="08-단품준비완료","시험 일정 확인",IF(V129="09-시험준비중","시험 진행 모니터링",IF(V129="10-시험완료","결과 보고서 전산 등록 독촉",IF(V129="12-조건부승인","조건부 승인 여부 판단 → 관련부서 협의","—")))))))))))))</f>
        <v/>
      </c>
      <c r="AB129" s="15" t="n"/>
    </row>
    <row r="130">
      <c r="A130" s="5">
        <f>IF(B130="","",ROW()-4)</f>
        <v/>
      </c>
      <c r="B130" s="13" t="n"/>
      <c r="C130" s="14">
        <f>IF(B130="","",IFERROR(VLOOKUP(D130,'Reference Data 기준데이터'!$A$30:$D$41,2,FALSE),""))</f>
        <v/>
      </c>
      <c r="D130" s="15" t="n"/>
      <c r="E130" s="14">
        <f>IF(B130="","",IFERROR(VLOOKUP(D130,'Reference Data 기준데이터'!$A$30:$D$41,3,FALSE),""))</f>
        <v/>
      </c>
      <c r="F130" s="15" t="n"/>
      <c r="G130" s="14">
        <f>IF(B130="","",IFERROR(VLOOKUP(F130,'Reference Data 기준데이터'!$A$9:$E$26,2,FALSE),""))</f>
        <v/>
      </c>
      <c r="H130" s="14">
        <f>IF(B130="","",IFERROR(VLOOKUP(F130,'Reference Data 기준데이터'!$A$9:$E$26,5,FALSE),""))</f>
        <v/>
      </c>
      <c r="I130" s="16">
        <f>IF(B130="","",IFERROR(VLOOKUP(B130,'Reference Data 기준데이터'!$A$3:$J$5,3,FALSE),""))</f>
        <v/>
      </c>
      <c r="J130" s="16">
        <f>IF(B130="","",IFERROR(I130+VLOOKUP(B130,'Reference Data 기준데이터'!$A$3:$J$5,7,FALSE),""))</f>
        <v/>
      </c>
      <c r="K130" s="20" t="n"/>
      <c r="L130" s="13" t="n"/>
      <c r="M130" s="16">
        <f>IF(B130="","",IFERROR(I130+VLOOKUP(B130,'Reference Data 기준데이터'!$A$3:$J$5,8,FALSE),""))</f>
        <v/>
      </c>
      <c r="N130" s="20" t="n"/>
      <c r="O130" s="16">
        <f>IF(B130="","",IFERROR(IF(G130="차량장착",MAX(I130+VLOOKUP(B130,'Reference Data 기준데이터'!$A$3:$J$5,9,FALSE),VLOOKUP(B130,'Reference Data 기준데이터'!$A$3:$J$5,4,FALSE)),I130+VLOOKUP(B130,'Reference Data 기준데이터'!$A$3:$J$5,9,FALSE)),""))</f>
        <v/>
      </c>
      <c r="P130" s="20" t="n"/>
      <c r="Q130" s="16">
        <f>IF(B130="","",IFERROR(O130+VLOOKUP(F130,'Reference Data 기준데이터'!$A$9:$E$26,4,FALSE),""))</f>
        <v/>
      </c>
      <c r="R130" s="20" t="n"/>
      <c r="S130" s="16">
        <f>IF(B130="","",IFERROR(MIN(I130+VLOOKUP(B130,'Reference Data 기준데이터'!$A$3:$J$5,10,FALSE),VLOOKUP(B130,'Reference Data 기준데이터'!$A$3:$J$5,6,FALSE)),""))</f>
        <v/>
      </c>
      <c r="T130" s="20" t="n"/>
      <c r="U130" s="13" t="n"/>
      <c r="V130" s="17">
        <f>IF(B130="","",IF(U130&lt;&gt;"",U130,IF(AND(T130&lt;&gt;"",R130&lt;&gt;""),"11-결과등록완료",IF(AND(R130&lt;&gt;"",T130=""),"10-시험완료",IF(AND(P130&lt;&gt;"",R130=""),"09-시험준비중",IF(AND(N130&lt;&gt;"",P130=""),"08-단품준비완료",IF(L130="Approved","05-계획서승인",IF(L130="Revision Needed","04-검토중_보완",IF(L130="Under Review","03-검토중",IF(AND(K130&lt;&gt;"",L130=""),"02-제출_미검토","01-미제출"))))))))))</f>
        <v/>
      </c>
      <c r="W130" s="18">
        <f>IF(B130="","",IFS(V130="01-미제출",0,V130="02-제출_미검토",0.05,V130="03-검토중",0.1,V130="04-검토중_보완",0.05,V130="05-계획서승인",0.2,V130="06-BIW중단",0.15,V130="07-미인수",0.3,V130="08-단품준비완료",0.4,V130="09-시험준비중",0.55,V130="10-시험완료",0.85,V130="11-결과등록완료",1,V130="12-조건부승인",0.9,TRUE,0))</f>
        <v/>
      </c>
      <c r="X130" s="5">
        <f>IF(B130="","",IF(T130&lt;&gt;"","-",IF(S130="","N/A",S130-TODAY())))</f>
        <v/>
      </c>
      <c r="Y130" s="17">
        <f>IF(B130="","",IF(V130="11-결과등록완료","DONE",IF(U130="06-BIW중단","BLOCKED",IF(AND(K130="",J130&lt;TODAY()),"CRITICAL",IF(AND(ISNUMBER(X130),X130&lt;=0),"OVERDUE",IF(AND(ISNUMBER(X130),X130&lt;=14),"WARNING",IF(U130&lt;&gt;"","ACTION","ON TRACK")))))))</f>
        <v/>
      </c>
      <c r="Z130" s="5">
        <f>IF(B130="","",IF(OR(T130&lt;&gt;"",R130&lt;&gt;"",P130&lt;&gt;"",N130&lt;&gt;"",K130&lt;&gt;""),TODAY()-MAX(T130,R130,P130,N130,K130),"—"))</f>
        <v/>
      </c>
      <c r="AA130" s="19">
        <f>IF(B130="","",IF(V130="11-결과등록완료","— 완료",IF(V130="01-미제출",IF(J130&lt;TODAY(),"계획서 제출 독촉 (OVERDUE)","계획서 제출 대기"),IF(V130="02-제출_미검토","설계자: 계획서 검토 착수",IF(V130="03-검토중","설계자: 승인 처리",IF(V130="04-검토중_보완","보완 요청 → 협력사 재제출 독촉",IF(V130="05-계획서승인","시험편 준비 현황 확인",IF(V130="06-BIW중단","BIW 생산팀 확인 → 일정 재수립",IF(V130="07-미인수","협력사 인수 독촉",IF(V130="08-단품준비완료","시험 일정 확인",IF(V130="09-시험준비중","시험 진행 모니터링",IF(V130="10-시험완료","결과 보고서 전산 등록 독촉",IF(V130="12-조건부승인","조건부 승인 여부 판단 → 관련부서 협의","—")))))))))))))</f>
        <v/>
      </c>
      <c r="AB130" s="15" t="n"/>
    </row>
    <row r="131">
      <c r="A131" s="5">
        <f>IF(B131="","",ROW()-4)</f>
        <v/>
      </c>
      <c r="B131" s="13" t="n"/>
      <c r="C131" s="14">
        <f>IF(B131="","",IFERROR(VLOOKUP(D131,'Reference Data 기준데이터'!$A$30:$D$41,2,FALSE),""))</f>
        <v/>
      </c>
      <c r="D131" s="15" t="n"/>
      <c r="E131" s="14">
        <f>IF(B131="","",IFERROR(VLOOKUP(D131,'Reference Data 기준데이터'!$A$30:$D$41,3,FALSE),""))</f>
        <v/>
      </c>
      <c r="F131" s="15" t="n"/>
      <c r="G131" s="14">
        <f>IF(B131="","",IFERROR(VLOOKUP(F131,'Reference Data 기준데이터'!$A$9:$E$26,2,FALSE),""))</f>
        <v/>
      </c>
      <c r="H131" s="14">
        <f>IF(B131="","",IFERROR(VLOOKUP(F131,'Reference Data 기준데이터'!$A$9:$E$26,5,FALSE),""))</f>
        <v/>
      </c>
      <c r="I131" s="16">
        <f>IF(B131="","",IFERROR(VLOOKUP(B131,'Reference Data 기준데이터'!$A$3:$J$5,3,FALSE),""))</f>
        <v/>
      </c>
      <c r="J131" s="16">
        <f>IF(B131="","",IFERROR(I131+VLOOKUP(B131,'Reference Data 기준데이터'!$A$3:$J$5,7,FALSE),""))</f>
        <v/>
      </c>
      <c r="K131" s="20" t="n"/>
      <c r="L131" s="13" t="n"/>
      <c r="M131" s="16">
        <f>IF(B131="","",IFERROR(I131+VLOOKUP(B131,'Reference Data 기준데이터'!$A$3:$J$5,8,FALSE),""))</f>
        <v/>
      </c>
      <c r="N131" s="20" t="n"/>
      <c r="O131" s="16">
        <f>IF(B131="","",IFERROR(IF(G131="차량장착",MAX(I131+VLOOKUP(B131,'Reference Data 기준데이터'!$A$3:$J$5,9,FALSE),VLOOKUP(B131,'Reference Data 기준데이터'!$A$3:$J$5,4,FALSE)),I131+VLOOKUP(B131,'Reference Data 기준데이터'!$A$3:$J$5,9,FALSE)),""))</f>
        <v/>
      </c>
      <c r="P131" s="20" t="n"/>
      <c r="Q131" s="16">
        <f>IF(B131="","",IFERROR(O131+VLOOKUP(F131,'Reference Data 기준데이터'!$A$9:$E$26,4,FALSE),""))</f>
        <v/>
      </c>
      <c r="R131" s="20" t="n"/>
      <c r="S131" s="16">
        <f>IF(B131="","",IFERROR(MIN(I131+VLOOKUP(B131,'Reference Data 기준데이터'!$A$3:$J$5,10,FALSE),VLOOKUP(B131,'Reference Data 기준데이터'!$A$3:$J$5,6,FALSE)),""))</f>
        <v/>
      </c>
      <c r="T131" s="20" t="n"/>
      <c r="U131" s="13" t="n"/>
      <c r="V131" s="17">
        <f>IF(B131="","",IF(U131&lt;&gt;"",U131,IF(AND(T131&lt;&gt;"",R131&lt;&gt;""),"11-결과등록완료",IF(AND(R131&lt;&gt;"",T131=""),"10-시험완료",IF(AND(P131&lt;&gt;"",R131=""),"09-시험준비중",IF(AND(N131&lt;&gt;"",P131=""),"08-단품준비완료",IF(L131="Approved","05-계획서승인",IF(L131="Revision Needed","04-검토중_보완",IF(L131="Under Review","03-검토중",IF(AND(K131&lt;&gt;"",L131=""),"02-제출_미검토","01-미제출"))))))))))</f>
        <v/>
      </c>
      <c r="W131" s="18">
        <f>IF(B131="","",IFS(V131="01-미제출",0,V131="02-제출_미검토",0.05,V131="03-검토중",0.1,V131="04-검토중_보완",0.05,V131="05-계획서승인",0.2,V131="06-BIW중단",0.15,V131="07-미인수",0.3,V131="08-단품준비완료",0.4,V131="09-시험준비중",0.55,V131="10-시험완료",0.85,V131="11-결과등록완료",1,V131="12-조건부승인",0.9,TRUE,0))</f>
        <v/>
      </c>
      <c r="X131" s="5">
        <f>IF(B131="","",IF(T131&lt;&gt;"","-",IF(S131="","N/A",S131-TODAY())))</f>
        <v/>
      </c>
      <c r="Y131" s="17">
        <f>IF(B131="","",IF(V131="11-결과등록완료","DONE",IF(U131="06-BIW중단","BLOCKED",IF(AND(K131="",J131&lt;TODAY()),"CRITICAL",IF(AND(ISNUMBER(X131),X131&lt;=0),"OVERDUE",IF(AND(ISNUMBER(X131),X131&lt;=14),"WARNING",IF(U131&lt;&gt;"","ACTION","ON TRACK")))))))</f>
        <v/>
      </c>
      <c r="Z131" s="5">
        <f>IF(B131="","",IF(OR(T131&lt;&gt;"",R131&lt;&gt;"",P131&lt;&gt;"",N131&lt;&gt;"",K131&lt;&gt;""),TODAY()-MAX(T131,R131,P131,N131,K131),"—"))</f>
        <v/>
      </c>
      <c r="AA131" s="19">
        <f>IF(B131="","",IF(V131="11-결과등록완료","— 완료",IF(V131="01-미제출",IF(J131&lt;TODAY(),"계획서 제출 독촉 (OVERDUE)","계획서 제출 대기"),IF(V131="02-제출_미검토","설계자: 계획서 검토 착수",IF(V131="03-검토중","설계자: 승인 처리",IF(V131="04-검토중_보완","보완 요청 → 협력사 재제출 독촉",IF(V131="05-계획서승인","시험편 준비 현황 확인",IF(V131="06-BIW중단","BIW 생산팀 확인 → 일정 재수립",IF(V131="07-미인수","협력사 인수 독촉",IF(V131="08-단품준비완료","시험 일정 확인",IF(V131="09-시험준비중","시험 진행 모니터링",IF(V131="10-시험완료","결과 보고서 전산 등록 독촉",IF(V131="12-조건부승인","조건부 승인 여부 판단 → 관련부서 협의","—")))))))))))))</f>
        <v/>
      </c>
      <c r="AB131" s="15" t="n"/>
    </row>
    <row r="132">
      <c r="A132" s="5">
        <f>IF(B132="","",ROW()-4)</f>
        <v/>
      </c>
      <c r="B132" s="13" t="n"/>
      <c r="C132" s="14">
        <f>IF(B132="","",IFERROR(VLOOKUP(D132,'Reference Data 기준데이터'!$A$30:$D$41,2,FALSE),""))</f>
        <v/>
      </c>
      <c r="D132" s="15" t="n"/>
      <c r="E132" s="14">
        <f>IF(B132="","",IFERROR(VLOOKUP(D132,'Reference Data 기준데이터'!$A$30:$D$41,3,FALSE),""))</f>
        <v/>
      </c>
      <c r="F132" s="15" t="n"/>
      <c r="G132" s="14">
        <f>IF(B132="","",IFERROR(VLOOKUP(F132,'Reference Data 기준데이터'!$A$9:$E$26,2,FALSE),""))</f>
        <v/>
      </c>
      <c r="H132" s="14">
        <f>IF(B132="","",IFERROR(VLOOKUP(F132,'Reference Data 기준데이터'!$A$9:$E$26,5,FALSE),""))</f>
        <v/>
      </c>
      <c r="I132" s="16">
        <f>IF(B132="","",IFERROR(VLOOKUP(B132,'Reference Data 기준데이터'!$A$3:$J$5,3,FALSE),""))</f>
        <v/>
      </c>
      <c r="J132" s="16">
        <f>IF(B132="","",IFERROR(I132+VLOOKUP(B132,'Reference Data 기준데이터'!$A$3:$J$5,7,FALSE),""))</f>
        <v/>
      </c>
      <c r="K132" s="20" t="n"/>
      <c r="L132" s="13" t="n"/>
      <c r="M132" s="16">
        <f>IF(B132="","",IFERROR(I132+VLOOKUP(B132,'Reference Data 기준데이터'!$A$3:$J$5,8,FALSE),""))</f>
        <v/>
      </c>
      <c r="N132" s="20" t="n"/>
      <c r="O132" s="16">
        <f>IF(B132="","",IFERROR(IF(G132="차량장착",MAX(I132+VLOOKUP(B132,'Reference Data 기준데이터'!$A$3:$J$5,9,FALSE),VLOOKUP(B132,'Reference Data 기준데이터'!$A$3:$J$5,4,FALSE)),I132+VLOOKUP(B132,'Reference Data 기준데이터'!$A$3:$J$5,9,FALSE)),""))</f>
        <v/>
      </c>
      <c r="P132" s="20" t="n"/>
      <c r="Q132" s="16">
        <f>IF(B132="","",IFERROR(O132+VLOOKUP(F132,'Reference Data 기준데이터'!$A$9:$E$26,4,FALSE),""))</f>
        <v/>
      </c>
      <c r="R132" s="20" t="n"/>
      <c r="S132" s="16">
        <f>IF(B132="","",IFERROR(MIN(I132+VLOOKUP(B132,'Reference Data 기준데이터'!$A$3:$J$5,10,FALSE),VLOOKUP(B132,'Reference Data 기준데이터'!$A$3:$J$5,6,FALSE)),""))</f>
        <v/>
      </c>
      <c r="T132" s="20" t="n"/>
      <c r="U132" s="13" t="n"/>
      <c r="V132" s="17">
        <f>IF(B132="","",IF(U132&lt;&gt;"",U132,IF(AND(T132&lt;&gt;"",R132&lt;&gt;""),"11-결과등록완료",IF(AND(R132&lt;&gt;"",T132=""),"10-시험완료",IF(AND(P132&lt;&gt;"",R132=""),"09-시험준비중",IF(AND(N132&lt;&gt;"",P132=""),"08-단품준비완료",IF(L132="Approved","05-계획서승인",IF(L132="Revision Needed","04-검토중_보완",IF(L132="Under Review","03-검토중",IF(AND(K132&lt;&gt;"",L132=""),"02-제출_미검토","01-미제출"))))))))))</f>
        <v/>
      </c>
      <c r="W132" s="18">
        <f>IF(B132="","",IFS(V132="01-미제출",0,V132="02-제출_미검토",0.05,V132="03-검토중",0.1,V132="04-검토중_보완",0.05,V132="05-계획서승인",0.2,V132="06-BIW중단",0.15,V132="07-미인수",0.3,V132="08-단품준비완료",0.4,V132="09-시험준비중",0.55,V132="10-시험완료",0.85,V132="11-결과등록완료",1,V132="12-조건부승인",0.9,TRUE,0))</f>
        <v/>
      </c>
      <c r="X132" s="5">
        <f>IF(B132="","",IF(T132&lt;&gt;"","-",IF(S132="","N/A",S132-TODAY())))</f>
        <v/>
      </c>
      <c r="Y132" s="17">
        <f>IF(B132="","",IF(V132="11-결과등록완료","DONE",IF(U132="06-BIW중단","BLOCKED",IF(AND(K132="",J132&lt;TODAY()),"CRITICAL",IF(AND(ISNUMBER(X132),X132&lt;=0),"OVERDUE",IF(AND(ISNUMBER(X132),X132&lt;=14),"WARNING",IF(U132&lt;&gt;"","ACTION","ON TRACK")))))))</f>
        <v/>
      </c>
      <c r="Z132" s="5">
        <f>IF(B132="","",IF(OR(T132&lt;&gt;"",R132&lt;&gt;"",P132&lt;&gt;"",N132&lt;&gt;"",K132&lt;&gt;""),TODAY()-MAX(T132,R132,P132,N132,K132),"—"))</f>
        <v/>
      </c>
      <c r="AA132" s="19">
        <f>IF(B132="","",IF(V132="11-결과등록완료","— 완료",IF(V132="01-미제출",IF(J132&lt;TODAY(),"계획서 제출 독촉 (OVERDUE)","계획서 제출 대기"),IF(V132="02-제출_미검토","설계자: 계획서 검토 착수",IF(V132="03-검토중","설계자: 승인 처리",IF(V132="04-검토중_보완","보완 요청 → 협력사 재제출 독촉",IF(V132="05-계획서승인","시험편 준비 현황 확인",IF(V132="06-BIW중단","BIW 생산팀 확인 → 일정 재수립",IF(V132="07-미인수","협력사 인수 독촉",IF(V132="08-단품준비완료","시험 일정 확인",IF(V132="09-시험준비중","시험 진행 모니터링",IF(V132="10-시험완료","결과 보고서 전산 등록 독촉",IF(V132="12-조건부승인","조건부 승인 여부 판단 → 관련부서 협의","—")))))))))))))</f>
        <v/>
      </c>
      <c r="AB132" s="15" t="n"/>
    </row>
    <row r="133">
      <c r="A133" s="5">
        <f>IF(B133="","",ROW()-4)</f>
        <v/>
      </c>
      <c r="B133" s="13" t="n"/>
      <c r="C133" s="14">
        <f>IF(B133="","",IFERROR(VLOOKUP(D133,'Reference Data 기준데이터'!$A$30:$D$41,2,FALSE),""))</f>
        <v/>
      </c>
      <c r="D133" s="15" t="n"/>
      <c r="E133" s="14">
        <f>IF(B133="","",IFERROR(VLOOKUP(D133,'Reference Data 기준데이터'!$A$30:$D$41,3,FALSE),""))</f>
        <v/>
      </c>
      <c r="F133" s="15" t="n"/>
      <c r="G133" s="14">
        <f>IF(B133="","",IFERROR(VLOOKUP(F133,'Reference Data 기준데이터'!$A$9:$E$26,2,FALSE),""))</f>
        <v/>
      </c>
      <c r="H133" s="14">
        <f>IF(B133="","",IFERROR(VLOOKUP(F133,'Reference Data 기준데이터'!$A$9:$E$26,5,FALSE),""))</f>
        <v/>
      </c>
      <c r="I133" s="16">
        <f>IF(B133="","",IFERROR(VLOOKUP(B133,'Reference Data 기준데이터'!$A$3:$J$5,3,FALSE),""))</f>
        <v/>
      </c>
      <c r="J133" s="16">
        <f>IF(B133="","",IFERROR(I133+VLOOKUP(B133,'Reference Data 기준데이터'!$A$3:$J$5,7,FALSE),""))</f>
        <v/>
      </c>
      <c r="K133" s="20" t="n"/>
      <c r="L133" s="13" t="n"/>
      <c r="M133" s="16">
        <f>IF(B133="","",IFERROR(I133+VLOOKUP(B133,'Reference Data 기준데이터'!$A$3:$J$5,8,FALSE),""))</f>
        <v/>
      </c>
      <c r="N133" s="20" t="n"/>
      <c r="O133" s="16">
        <f>IF(B133="","",IFERROR(IF(G133="차량장착",MAX(I133+VLOOKUP(B133,'Reference Data 기준데이터'!$A$3:$J$5,9,FALSE),VLOOKUP(B133,'Reference Data 기준데이터'!$A$3:$J$5,4,FALSE)),I133+VLOOKUP(B133,'Reference Data 기준데이터'!$A$3:$J$5,9,FALSE)),""))</f>
        <v/>
      </c>
      <c r="P133" s="20" t="n"/>
      <c r="Q133" s="16">
        <f>IF(B133="","",IFERROR(O133+VLOOKUP(F133,'Reference Data 기준데이터'!$A$9:$E$26,4,FALSE),""))</f>
        <v/>
      </c>
      <c r="R133" s="20" t="n"/>
      <c r="S133" s="16">
        <f>IF(B133="","",IFERROR(MIN(I133+VLOOKUP(B133,'Reference Data 기준데이터'!$A$3:$J$5,10,FALSE),VLOOKUP(B133,'Reference Data 기준데이터'!$A$3:$J$5,6,FALSE)),""))</f>
        <v/>
      </c>
      <c r="T133" s="20" t="n"/>
      <c r="U133" s="13" t="n"/>
      <c r="V133" s="17">
        <f>IF(B133="","",IF(U133&lt;&gt;"",U133,IF(AND(T133&lt;&gt;"",R133&lt;&gt;""),"11-결과등록완료",IF(AND(R133&lt;&gt;"",T133=""),"10-시험완료",IF(AND(P133&lt;&gt;"",R133=""),"09-시험준비중",IF(AND(N133&lt;&gt;"",P133=""),"08-단품준비완료",IF(L133="Approved","05-계획서승인",IF(L133="Revision Needed","04-검토중_보완",IF(L133="Under Review","03-검토중",IF(AND(K133&lt;&gt;"",L133=""),"02-제출_미검토","01-미제출"))))))))))</f>
        <v/>
      </c>
      <c r="W133" s="18">
        <f>IF(B133="","",IFS(V133="01-미제출",0,V133="02-제출_미검토",0.05,V133="03-검토중",0.1,V133="04-검토중_보완",0.05,V133="05-계획서승인",0.2,V133="06-BIW중단",0.15,V133="07-미인수",0.3,V133="08-단품준비완료",0.4,V133="09-시험준비중",0.55,V133="10-시험완료",0.85,V133="11-결과등록완료",1,V133="12-조건부승인",0.9,TRUE,0))</f>
        <v/>
      </c>
      <c r="X133" s="5">
        <f>IF(B133="","",IF(T133&lt;&gt;"","-",IF(S133="","N/A",S133-TODAY())))</f>
        <v/>
      </c>
      <c r="Y133" s="17">
        <f>IF(B133="","",IF(V133="11-결과등록완료","DONE",IF(U133="06-BIW중단","BLOCKED",IF(AND(K133="",J133&lt;TODAY()),"CRITICAL",IF(AND(ISNUMBER(X133),X133&lt;=0),"OVERDUE",IF(AND(ISNUMBER(X133),X133&lt;=14),"WARNING",IF(U133&lt;&gt;"","ACTION","ON TRACK")))))))</f>
        <v/>
      </c>
      <c r="Z133" s="5">
        <f>IF(B133="","",IF(OR(T133&lt;&gt;"",R133&lt;&gt;"",P133&lt;&gt;"",N133&lt;&gt;"",K133&lt;&gt;""),TODAY()-MAX(T133,R133,P133,N133,K133),"—"))</f>
        <v/>
      </c>
      <c r="AA133" s="19">
        <f>IF(B133="","",IF(V133="11-결과등록완료","— 완료",IF(V133="01-미제출",IF(J133&lt;TODAY(),"계획서 제출 독촉 (OVERDUE)","계획서 제출 대기"),IF(V133="02-제출_미검토","설계자: 계획서 검토 착수",IF(V133="03-검토중","설계자: 승인 처리",IF(V133="04-검토중_보완","보완 요청 → 협력사 재제출 독촉",IF(V133="05-계획서승인","시험편 준비 현황 확인",IF(V133="06-BIW중단","BIW 생산팀 확인 → 일정 재수립",IF(V133="07-미인수","협력사 인수 독촉",IF(V133="08-단품준비완료","시험 일정 확인",IF(V133="09-시험준비중","시험 진행 모니터링",IF(V133="10-시험완료","결과 보고서 전산 등록 독촉",IF(V133="12-조건부승인","조건부 승인 여부 판단 → 관련부서 협의","—")))))))))))))</f>
        <v/>
      </c>
      <c r="AB133" s="15" t="n"/>
    </row>
    <row r="134">
      <c r="A134" s="5">
        <f>IF(B134="","",ROW()-4)</f>
        <v/>
      </c>
      <c r="B134" s="13" t="n"/>
      <c r="C134" s="14">
        <f>IF(B134="","",IFERROR(VLOOKUP(D134,'Reference Data 기준데이터'!$A$30:$D$41,2,FALSE),""))</f>
        <v/>
      </c>
      <c r="D134" s="15" t="n"/>
      <c r="E134" s="14">
        <f>IF(B134="","",IFERROR(VLOOKUP(D134,'Reference Data 기준데이터'!$A$30:$D$41,3,FALSE),""))</f>
        <v/>
      </c>
      <c r="F134" s="15" t="n"/>
      <c r="G134" s="14">
        <f>IF(B134="","",IFERROR(VLOOKUP(F134,'Reference Data 기준데이터'!$A$9:$E$26,2,FALSE),""))</f>
        <v/>
      </c>
      <c r="H134" s="14">
        <f>IF(B134="","",IFERROR(VLOOKUP(F134,'Reference Data 기준데이터'!$A$9:$E$26,5,FALSE),""))</f>
        <v/>
      </c>
      <c r="I134" s="16">
        <f>IF(B134="","",IFERROR(VLOOKUP(B134,'Reference Data 기준데이터'!$A$3:$J$5,3,FALSE),""))</f>
        <v/>
      </c>
      <c r="J134" s="16">
        <f>IF(B134="","",IFERROR(I134+VLOOKUP(B134,'Reference Data 기준데이터'!$A$3:$J$5,7,FALSE),""))</f>
        <v/>
      </c>
      <c r="K134" s="20" t="n"/>
      <c r="L134" s="13" t="n"/>
      <c r="M134" s="16">
        <f>IF(B134="","",IFERROR(I134+VLOOKUP(B134,'Reference Data 기준데이터'!$A$3:$J$5,8,FALSE),""))</f>
        <v/>
      </c>
      <c r="N134" s="20" t="n"/>
      <c r="O134" s="16">
        <f>IF(B134="","",IFERROR(IF(G134="차량장착",MAX(I134+VLOOKUP(B134,'Reference Data 기준데이터'!$A$3:$J$5,9,FALSE),VLOOKUP(B134,'Reference Data 기준데이터'!$A$3:$J$5,4,FALSE)),I134+VLOOKUP(B134,'Reference Data 기준데이터'!$A$3:$J$5,9,FALSE)),""))</f>
        <v/>
      </c>
      <c r="P134" s="20" t="n"/>
      <c r="Q134" s="16">
        <f>IF(B134="","",IFERROR(O134+VLOOKUP(F134,'Reference Data 기준데이터'!$A$9:$E$26,4,FALSE),""))</f>
        <v/>
      </c>
      <c r="R134" s="20" t="n"/>
      <c r="S134" s="16">
        <f>IF(B134="","",IFERROR(MIN(I134+VLOOKUP(B134,'Reference Data 기준데이터'!$A$3:$J$5,10,FALSE),VLOOKUP(B134,'Reference Data 기준데이터'!$A$3:$J$5,6,FALSE)),""))</f>
        <v/>
      </c>
      <c r="T134" s="20" t="n"/>
      <c r="U134" s="13" t="n"/>
      <c r="V134" s="17">
        <f>IF(B134="","",IF(U134&lt;&gt;"",U134,IF(AND(T134&lt;&gt;"",R134&lt;&gt;""),"11-결과등록완료",IF(AND(R134&lt;&gt;"",T134=""),"10-시험완료",IF(AND(P134&lt;&gt;"",R134=""),"09-시험준비중",IF(AND(N134&lt;&gt;"",P134=""),"08-단품준비완료",IF(L134="Approved","05-계획서승인",IF(L134="Revision Needed","04-검토중_보완",IF(L134="Under Review","03-검토중",IF(AND(K134&lt;&gt;"",L134=""),"02-제출_미검토","01-미제출"))))))))))</f>
        <v/>
      </c>
      <c r="W134" s="18">
        <f>IF(B134="","",IFS(V134="01-미제출",0,V134="02-제출_미검토",0.05,V134="03-검토중",0.1,V134="04-검토중_보완",0.05,V134="05-계획서승인",0.2,V134="06-BIW중단",0.15,V134="07-미인수",0.3,V134="08-단품준비완료",0.4,V134="09-시험준비중",0.55,V134="10-시험완료",0.85,V134="11-결과등록완료",1,V134="12-조건부승인",0.9,TRUE,0))</f>
        <v/>
      </c>
      <c r="X134" s="5">
        <f>IF(B134="","",IF(T134&lt;&gt;"","-",IF(S134="","N/A",S134-TODAY())))</f>
        <v/>
      </c>
      <c r="Y134" s="17">
        <f>IF(B134="","",IF(V134="11-결과등록완료","DONE",IF(U134="06-BIW중단","BLOCKED",IF(AND(K134="",J134&lt;TODAY()),"CRITICAL",IF(AND(ISNUMBER(X134),X134&lt;=0),"OVERDUE",IF(AND(ISNUMBER(X134),X134&lt;=14),"WARNING",IF(U134&lt;&gt;"","ACTION","ON TRACK")))))))</f>
        <v/>
      </c>
      <c r="Z134" s="5">
        <f>IF(B134="","",IF(OR(T134&lt;&gt;"",R134&lt;&gt;"",P134&lt;&gt;"",N134&lt;&gt;"",K134&lt;&gt;""),TODAY()-MAX(T134,R134,P134,N134,K134),"—"))</f>
        <v/>
      </c>
      <c r="AA134" s="19">
        <f>IF(B134="","",IF(V134="11-결과등록완료","— 완료",IF(V134="01-미제출",IF(J134&lt;TODAY(),"계획서 제출 독촉 (OVERDUE)","계획서 제출 대기"),IF(V134="02-제출_미검토","설계자: 계획서 검토 착수",IF(V134="03-검토중","설계자: 승인 처리",IF(V134="04-검토중_보완","보완 요청 → 협력사 재제출 독촉",IF(V134="05-계획서승인","시험편 준비 현황 확인",IF(V134="06-BIW중단","BIW 생산팀 확인 → 일정 재수립",IF(V134="07-미인수","협력사 인수 독촉",IF(V134="08-단품준비완료","시험 일정 확인",IF(V134="09-시험준비중","시험 진행 모니터링",IF(V134="10-시험완료","결과 보고서 전산 등록 독촉",IF(V134="12-조건부승인","조건부 승인 여부 판단 → 관련부서 협의","—")))))))))))))</f>
        <v/>
      </c>
      <c r="AB134" s="15" t="n"/>
    </row>
    <row r="135">
      <c r="A135" s="5">
        <f>IF(B135="","",ROW()-4)</f>
        <v/>
      </c>
      <c r="B135" s="13" t="n"/>
      <c r="C135" s="14">
        <f>IF(B135="","",IFERROR(VLOOKUP(D135,'Reference Data 기준데이터'!$A$30:$D$41,2,FALSE),""))</f>
        <v/>
      </c>
      <c r="D135" s="15" t="n"/>
      <c r="E135" s="14">
        <f>IF(B135="","",IFERROR(VLOOKUP(D135,'Reference Data 기준데이터'!$A$30:$D$41,3,FALSE),""))</f>
        <v/>
      </c>
      <c r="F135" s="15" t="n"/>
      <c r="G135" s="14">
        <f>IF(B135="","",IFERROR(VLOOKUP(F135,'Reference Data 기준데이터'!$A$9:$E$26,2,FALSE),""))</f>
        <v/>
      </c>
      <c r="H135" s="14">
        <f>IF(B135="","",IFERROR(VLOOKUP(F135,'Reference Data 기준데이터'!$A$9:$E$26,5,FALSE),""))</f>
        <v/>
      </c>
      <c r="I135" s="16">
        <f>IF(B135="","",IFERROR(VLOOKUP(B135,'Reference Data 기준데이터'!$A$3:$J$5,3,FALSE),""))</f>
        <v/>
      </c>
      <c r="J135" s="16">
        <f>IF(B135="","",IFERROR(I135+VLOOKUP(B135,'Reference Data 기준데이터'!$A$3:$J$5,7,FALSE),""))</f>
        <v/>
      </c>
      <c r="K135" s="20" t="n"/>
      <c r="L135" s="13" t="n"/>
      <c r="M135" s="16">
        <f>IF(B135="","",IFERROR(I135+VLOOKUP(B135,'Reference Data 기준데이터'!$A$3:$J$5,8,FALSE),""))</f>
        <v/>
      </c>
      <c r="N135" s="20" t="n"/>
      <c r="O135" s="16">
        <f>IF(B135="","",IFERROR(IF(G135="차량장착",MAX(I135+VLOOKUP(B135,'Reference Data 기준데이터'!$A$3:$J$5,9,FALSE),VLOOKUP(B135,'Reference Data 기준데이터'!$A$3:$J$5,4,FALSE)),I135+VLOOKUP(B135,'Reference Data 기준데이터'!$A$3:$J$5,9,FALSE)),""))</f>
        <v/>
      </c>
      <c r="P135" s="20" t="n"/>
      <c r="Q135" s="16">
        <f>IF(B135="","",IFERROR(O135+VLOOKUP(F135,'Reference Data 기준데이터'!$A$9:$E$26,4,FALSE),""))</f>
        <v/>
      </c>
      <c r="R135" s="20" t="n"/>
      <c r="S135" s="16">
        <f>IF(B135="","",IFERROR(MIN(I135+VLOOKUP(B135,'Reference Data 기준데이터'!$A$3:$J$5,10,FALSE),VLOOKUP(B135,'Reference Data 기준데이터'!$A$3:$J$5,6,FALSE)),""))</f>
        <v/>
      </c>
      <c r="T135" s="20" t="n"/>
      <c r="U135" s="13" t="n"/>
      <c r="V135" s="17">
        <f>IF(B135="","",IF(U135&lt;&gt;"",U135,IF(AND(T135&lt;&gt;"",R135&lt;&gt;""),"11-결과등록완료",IF(AND(R135&lt;&gt;"",T135=""),"10-시험완료",IF(AND(P135&lt;&gt;"",R135=""),"09-시험준비중",IF(AND(N135&lt;&gt;"",P135=""),"08-단품준비완료",IF(L135="Approved","05-계획서승인",IF(L135="Revision Needed","04-검토중_보완",IF(L135="Under Review","03-검토중",IF(AND(K135&lt;&gt;"",L135=""),"02-제출_미검토","01-미제출"))))))))))</f>
        <v/>
      </c>
      <c r="W135" s="18">
        <f>IF(B135="","",IFS(V135="01-미제출",0,V135="02-제출_미검토",0.05,V135="03-검토중",0.1,V135="04-검토중_보완",0.05,V135="05-계획서승인",0.2,V135="06-BIW중단",0.15,V135="07-미인수",0.3,V135="08-단품준비완료",0.4,V135="09-시험준비중",0.55,V135="10-시험완료",0.85,V135="11-결과등록완료",1,V135="12-조건부승인",0.9,TRUE,0))</f>
        <v/>
      </c>
      <c r="X135" s="5">
        <f>IF(B135="","",IF(T135&lt;&gt;"","-",IF(S135="","N/A",S135-TODAY())))</f>
        <v/>
      </c>
      <c r="Y135" s="17">
        <f>IF(B135="","",IF(V135="11-결과등록완료","DONE",IF(U135="06-BIW중단","BLOCKED",IF(AND(K135="",J135&lt;TODAY()),"CRITICAL",IF(AND(ISNUMBER(X135),X135&lt;=0),"OVERDUE",IF(AND(ISNUMBER(X135),X135&lt;=14),"WARNING",IF(U135&lt;&gt;"","ACTION","ON TRACK")))))))</f>
        <v/>
      </c>
      <c r="Z135" s="5">
        <f>IF(B135="","",IF(OR(T135&lt;&gt;"",R135&lt;&gt;"",P135&lt;&gt;"",N135&lt;&gt;"",K135&lt;&gt;""),TODAY()-MAX(T135,R135,P135,N135,K135),"—"))</f>
        <v/>
      </c>
      <c r="AA135" s="19">
        <f>IF(B135="","",IF(V135="11-결과등록완료","— 완료",IF(V135="01-미제출",IF(J135&lt;TODAY(),"계획서 제출 독촉 (OVERDUE)","계획서 제출 대기"),IF(V135="02-제출_미검토","설계자: 계획서 검토 착수",IF(V135="03-검토중","설계자: 승인 처리",IF(V135="04-검토중_보완","보완 요청 → 협력사 재제출 독촉",IF(V135="05-계획서승인","시험편 준비 현황 확인",IF(V135="06-BIW중단","BIW 생산팀 확인 → 일정 재수립",IF(V135="07-미인수","협력사 인수 독촉",IF(V135="08-단품준비완료","시험 일정 확인",IF(V135="09-시험준비중","시험 진행 모니터링",IF(V135="10-시험완료","결과 보고서 전산 등록 독촉",IF(V135="12-조건부승인","조건부 승인 여부 판단 → 관련부서 협의","—")))))))))))))</f>
        <v/>
      </c>
      <c r="AB135" s="15" t="n"/>
    </row>
    <row r="136">
      <c r="A136" s="5">
        <f>IF(B136="","",ROW()-4)</f>
        <v/>
      </c>
      <c r="B136" s="13" t="n"/>
      <c r="C136" s="14">
        <f>IF(B136="","",IFERROR(VLOOKUP(D136,'Reference Data 기준데이터'!$A$30:$D$41,2,FALSE),""))</f>
        <v/>
      </c>
      <c r="D136" s="15" t="n"/>
      <c r="E136" s="14">
        <f>IF(B136="","",IFERROR(VLOOKUP(D136,'Reference Data 기준데이터'!$A$30:$D$41,3,FALSE),""))</f>
        <v/>
      </c>
      <c r="F136" s="15" t="n"/>
      <c r="G136" s="14">
        <f>IF(B136="","",IFERROR(VLOOKUP(F136,'Reference Data 기준데이터'!$A$9:$E$26,2,FALSE),""))</f>
        <v/>
      </c>
      <c r="H136" s="14">
        <f>IF(B136="","",IFERROR(VLOOKUP(F136,'Reference Data 기준데이터'!$A$9:$E$26,5,FALSE),""))</f>
        <v/>
      </c>
      <c r="I136" s="16">
        <f>IF(B136="","",IFERROR(VLOOKUP(B136,'Reference Data 기준데이터'!$A$3:$J$5,3,FALSE),""))</f>
        <v/>
      </c>
      <c r="J136" s="16">
        <f>IF(B136="","",IFERROR(I136+VLOOKUP(B136,'Reference Data 기준데이터'!$A$3:$J$5,7,FALSE),""))</f>
        <v/>
      </c>
      <c r="K136" s="20" t="n"/>
      <c r="L136" s="13" t="n"/>
      <c r="M136" s="16">
        <f>IF(B136="","",IFERROR(I136+VLOOKUP(B136,'Reference Data 기준데이터'!$A$3:$J$5,8,FALSE),""))</f>
        <v/>
      </c>
      <c r="N136" s="20" t="n"/>
      <c r="O136" s="16">
        <f>IF(B136="","",IFERROR(IF(G136="차량장착",MAX(I136+VLOOKUP(B136,'Reference Data 기준데이터'!$A$3:$J$5,9,FALSE),VLOOKUP(B136,'Reference Data 기준데이터'!$A$3:$J$5,4,FALSE)),I136+VLOOKUP(B136,'Reference Data 기준데이터'!$A$3:$J$5,9,FALSE)),""))</f>
        <v/>
      </c>
      <c r="P136" s="20" t="n"/>
      <c r="Q136" s="16">
        <f>IF(B136="","",IFERROR(O136+VLOOKUP(F136,'Reference Data 기준데이터'!$A$9:$E$26,4,FALSE),""))</f>
        <v/>
      </c>
      <c r="R136" s="20" t="n"/>
      <c r="S136" s="16">
        <f>IF(B136="","",IFERROR(MIN(I136+VLOOKUP(B136,'Reference Data 기준데이터'!$A$3:$J$5,10,FALSE),VLOOKUP(B136,'Reference Data 기준데이터'!$A$3:$J$5,6,FALSE)),""))</f>
        <v/>
      </c>
      <c r="T136" s="20" t="n"/>
      <c r="U136" s="13" t="n"/>
      <c r="V136" s="17">
        <f>IF(B136="","",IF(U136&lt;&gt;"",U136,IF(AND(T136&lt;&gt;"",R136&lt;&gt;""),"11-결과등록완료",IF(AND(R136&lt;&gt;"",T136=""),"10-시험완료",IF(AND(P136&lt;&gt;"",R136=""),"09-시험준비중",IF(AND(N136&lt;&gt;"",P136=""),"08-단품준비완료",IF(L136="Approved","05-계획서승인",IF(L136="Revision Needed","04-검토중_보완",IF(L136="Under Review","03-검토중",IF(AND(K136&lt;&gt;"",L136=""),"02-제출_미검토","01-미제출"))))))))))</f>
        <v/>
      </c>
      <c r="W136" s="18">
        <f>IF(B136="","",IFS(V136="01-미제출",0,V136="02-제출_미검토",0.05,V136="03-검토중",0.1,V136="04-검토중_보완",0.05,V136="05-계획서승인",0.2,V136="06-BIW중단",0.15,V136="07-미인수",0.3,V136="08-단품준비완료",0.4,V136="09-시험준비중",0.55,V136="10-시험완료",0.85,V136="11-결과등록완료",1,V136="12-조건부승인",0.9,TRUE,0))</f>
        <v/>
      </c>
      <c r="X136" s="5">
        <f>IF(B136="","",IF(T136&lt;&gt;"","-",IF(S136="","N/A",S136-TODAY())))</f>
        <v/>
      </c>
      <c r="Y136" s="17">
        <f>IF(B136="","",IF(V136="11-결과등록완료","DONE",IF(U136="06-BIW중단","BLOCKED",IF(AND(K136="",J136&lt;TODAY()),"CRITICAL",IF(AND(ISNUMBER(X136),X136&lt;=0),"OVERDUE",IF(AND(ISNUMBER(X136),X136&lt;=14),"WARNING",IF(U136&lt;&gt;"","ACTION","ON TRACK")))))))</f>
        <v/>
      </c>
      <c r="Z136" s="5">
        <f>IF(B136="","",IF(OR(T136&lt;&gt;"",R136&lt;&gt;"",P136&lt;&gt;"",N136&lt;&gt;"",K136&lt;&gt;""),TODAY()-MAX(T136,R136,P136,N136,K136),"—"))</f>
        <v/>
      </c>
      <c r="AA136" s="19">
        <f>IF(B136="","",IF(V136="11-결과등록완료","— 완료",IF(V136="01-미제출",IF(J136&lt;TODAY(),"계획서 제출 독촉 (OVERDUE)","계획서 제출 대기"),IF(V136="02-제출_미검토","설계자: 계획서 검토 착수",IF(V136="03-검토중","설계자: 승인 처리",IF(V136="04-검토중_보완","보완 요청 → 협력사 재제출 독촉",IF(V136="05-계획서승인","시험편 준비 현황 확인",IF(V136="06-BIW중단","BIW 생산팀 확인 → 일정 재수립",IF(V136="07-미인수","협력사 인수 독촉",IF(V136="08-단품준비완료","시험 일정 확인",IF(V136="09-시험준비중","시험 진행 모니터링",IF(V136="10-시험완료","결과 보고서 전산 등록 독촉",IF(V136="12-조건부승인","조건부 승인 여부 판단 → 관련부서 협의","—")))))))))))))</f>
        <v/>
      </c>
      <c r="AB136" s="15" t="n"/>
    </row>
    <row r="137">
      <c r="A137" s="5">
        <f>IF(B137="","",ROW()-4)</f>
        <v/>
      </c>
      <c r="B137" s="13" t="n"/>
      <c r="C137" s="14">
        <f>IF(B137="","",IFERROR(VLOOKUP(D137,'Reference Data 기준데이터'!$A$30:$D$41,2,FALSE),""))</f>
        <v/>
      </c>
      <c r="D137" s="15" t="n"/>
      <c r="E137" s="14">
        <f>IF(B137="","",IFERROR(VLOOKUP(D137,'Reference Data 기준데이터'!$A$30:$D$41,3,FALSE),""))</f>
        <v/>
      </c>
      <c r="F137" s="15" t="n"/>
      <c r="G137" s="14">
        <f>IF(B137="","",IFERROR(VLOOKUP(F137,'Reference Data 기준데이터'!$A$9:$E$26,2,FALSE),""))</f>
        <v/>
      </c>
      <c r="H137" s="14">
        <f>IF(B137="","",IFERROR(VLOOKUP(F137,'Reference Data 기준데이터'!$A$9:$E$26,5,FALSE),""))</f>
        <v/>
      </c>
      <c r="I137" s="16">
        <f>IF(B137="","",IFERROR(VLOOKUP(B137,'Reference Data 기준데이터'!$A$3:$J$5,3,FALSE),""))</f>
        <v/>
      </c>
      <c r="J137" s="16">
        <f>IF(B137="","",IFERROR(I137+VLOOKUP(B137,'Reference Data 기준데이터'!$A$3:$J$5,7,FALSE),""))</f>
        <v/>
      </c>
      <c r="K137" s="20" t="n"/>
      <c r="L137" s="13" t="n"/>
      <c r="M137" s="16">
        <f>IF(B137="","",IFERROR(I137+VLOOKUP(B137,'Reference Data 기준데이터'!$A$3:$J$5,8,FALSE),""))</f>
        <v/>
      </c>
      <c r="N137" s="20" t="n"/>
      <c r="O137" s="16">
        <f>IF(B137="","",IFERROR(IF(G137="차량장착",MAX(I137+VLOOKUP(B137,'Reference Data 기준데이터'!$A$3:$J$5,9,FALSE),VLOOKUP(B137,'Reference Data 기준데이터'!$A$3:$J$5,4,FALSE)),I137+VLOOKUP(B137,'Reference Data 기준데이터'!$A$3:$J$5,9,FALSE)),""))</f>
        <v/>
      </c>
      <c r="P137" s="20" t="n"/>
      <c r="Q137" s="16">
        <f>IF(B137="","",IFERROR(O137+VLOOKUP(F137,'Reference Data 기준데이터'!$A$9:$E$26,4,FALSE),""))</f>
        <v/>
      </c>
      <c r="R137" s="20" t="n"/>
      <c r="S137" s="16">
        <f>IF(B137="","",IFERROR(MIN(I137+VLOOKUP(B137,'Reference Data 기준데이터'!$A$3:$J$5,10,FALSE),VLOOKUP(B137,'Reference Data 기준데이터'!$A$3:$J$5,6,FALSE)),""))</f>
        <v/>
      </c>
      <c r="T137" s="20" t="n"/>
      <c r="U137" s="13" t="n"/>
      <c r="V137" s="17">
        <f>IF(B137="","",IF(U137&lt;&gt;"",U137,IF(AND(T137&lt;&gt;"",R137&lt;&gt;""),"11-결과등록완료",IF(AND(R137&lt;&gt;"",T137=""),"10-시험완료",IF(AND(P137&lt;&gt;"",R137=""),"09-시험준비중",IF(AND(N137&lt;&gt;"",P137=""),"08-단품준비완료",IF(L137="Approved","05-계획서승인",IF(L137="Revision Needed","04-검토중_보완",IF(L137="Under Review","03-검토중",IF(AND(K137&lt;&gt;"",L137=""),"02-제출_미검토","01-미제출"))))))))))</f>
        <v/>
      </c>
      <c r="W137" s="18">
        <f>IF(B137="","",IFS(V137="01-미제출",0,V137="02-제출_미검토",0.05,V137="03-검토중",0.1,V137="04-검토중_보완",0.05,V137="05-계획서승인",0.2,V137="06-BIW중단",0.15,V137="07-미인수",0.3,V137="08-단품준비완료",0.4,V137="09-시험준비중",0.55,V137="10-시험완료",0.85,V137="11-결과등록완료",1,V137="12-조건부승인",0.9,TRUE,0))</f>
        <v/>
      </c>
      <c r="X137" s="5">
        <f>IF(B137="","",IF(T137&lt;&gt;"","-",IF(S137="","N/A",S137-TODAY())))</f>
        <v/>
      </c>
      <c r="Y137" s="17">
        <f>IF(B137="","",IF(V137="11-결과등록완료","DONE",IF(U137="06-BIW중단","BLOCKED",IF(AND(K137="",J137&lt;TODAY()),"CRITICAL",IF(AND(ISNUMBER(X137),X137&lt;=0),"OVERDUE",IF(AND(ISNUMBER(X137),X137&lt;=14),"WARNING",IF(U137&lt;&gt;"","ACTION","ON TRACK")))))))</f>
        <v/>
      </c>
      <c r="Z137" s="5">
        <f>IF(B137="","",IF(OR(T137&lt;&gt;"",R137&lt;&gt;"",P137&lt;&gt;"",N137&lt;&gt;"",K137&lt;&gt;""),TODAY()-MAX(T137,R137,P137,N137,K137),"—"))</f>
        <v/>
      </c>
      <c r="AA137" s="19">
        <f>IF(B137="","",IF(V137="11-결과등록완료","— 완료",IF(V137="01-미제출",IF(J137&lt;TODAY(),"계획서 제출 독촉 (OVERDUE)","계획서 제출 대기"),IF(V137="02-제출_미검토","설계자: 계획서 검토 착수",IF(V137="03-검토중","설계자: 승인 처리",IF(V137="04-검토중_보완","보완 요청 → 협력사 재제출 독촉",IF(V137="05-계획서승인","시험편 준비 현황 확인",IF(V137="06-BIW중단","BIW 생산팀 확인 → 일정 재수립",IF(V137="07-미인수","협력사 인수 독촉",IF(V137="08-단품준비완료","시험 일정 확인",IF(V137="09-시험준비중","시험 진행 모니터링",IF(V137="10-시험완료","결과 보고서 전산 등록 독촉",IF(V137="12-조건부승인","조건부 승인 여부 판단 → 관련부서 협의","—")))))))))))))</f>
        <v/>
      </c>
      <c r="AB137" s="15" t="n"/>
    </row>
    <row r="138">
      <c r="A138" s="5">
        <f>IF(B138="","",ROW()-4)</f>
        <v/>
      </c>
      <c r="B138" s="13" t="n"/>
      <c r="C138" s="14">
        <f>IF(B138="","",IFERROR(VLOOKUP(D138,'Reference Data 기준데이터'!$A$30:$D$41,2,FALSE),""))</f>
        <v/>
      </c>
      <c r="D138" s="15" t="n"/>
      <c r="E138" s="14">
        <f>IF(B138="","",IFERROR(VLOOKUP(D138,'Reference Data 기준데이터'!$A$30:$D$41,3,FALSE),""))</f>
        <v/>
      </c>
      <c r="F138" s="15" t="n"/>
      <c r="G138" s="14">
        <f>IF(B138="","",IFERROR(VLOOKUP(F138,'Reference Data 기준데이터'!$A$9:$E$26,2,FALSE),""))</f>
        <v/>
      </c>
      <c r="H138" s="14">
        <f>IF(B138="","",IFERROR(VLOOKUP(F138,'Reference Data 기준데이터'!$A$9:$E$26,5,FALSE),""))</f>
        <v/>
      </c>
      <c r="I138" s="16">
        <f>IF(B138="","",IFERROR(VLOOKUP(B138,'Reference Data 기준데이터'!$A$3:$J$5,3,FALSE),""))</f>
        <v/>
      </c>
      <c r="J138" s="16">
        <f>IF(B138="","",IFERROR(I138+VLOOKUP(B138,'Reference Data 기준데이터'!$A$3:$J$5,7,FALSE),""))</f>
        <v/>
      </c>
      <c r="K138" s="20" t="n"/>
      <c r="L138" s="13" t="n"/>
      <c r="M138" s="16">
        <f>IF(B138="","",IFERROR(I138+VLOOKUP(B138,'Reference Data 기준데이터'!$A$3:$J$5,8,FALSE),""))</f>
        <v/>
      </c>
      <c r="N138" s="20" t="n"/>
      <c r="O138" s="16">
        <f>IF(B138="","",IFERROR(IF(G138="차량장착",MAX(I138+VLOOKUP(B138,'Reference Data 기준데이터'!$A$3:$J$5,9,FALSE),VLOOKUP(B138,'Reference Data 기준데이터'!$A$3:$J$5,4,FALSE)),I138+VLOOKUP(B138,'Reference Data 기준데이터'!$A$3:$J$5,9,FALSE)),""))</f>
        <v/>
      </c>
      <c r="P138" s="20" t="n"/>
      <c r="Q138" s="16">
        <f>IF(B138="","",IFERROR(O138+VLOOKUP(F138,'Reference Data 기준데이터'!$A$9:$E$26,4,FALSE),""))</f>
        <v/>
      </c>
      <c r="R138" s="20" t="n"/>
      <c r="S138" s="16">
        <f>IF(B138="","",IFERROR(MIN(I138+VLOOKUP(B138,'Reference Data 기준데이터'!$A$3:$J$5,10,FALSE),VLOOKUP(B138,'Reference Data 기준데이터'!$A$3:$J$5,6,FALSE)),""))</f>
        <v/>
      </c>
      <c r="T138" s="20" t="n"/>
      <c r="U138" s="13" t="n"/>
      <c r="V138" s="17">
        <f>IF(B138="","",IF(U138&lt;&gt;"",U138,IF(AND(T138&lt;&gt;"",R138&lt;&gt;""),"11-결과등록완료",IF(AND(R138&lt;&gt;"",T138=""),"10-시험완료",IF(AND(P138&lt;&gt;"",R138=""),"09-시험준비중",IF(AND(N138&lt;&gt;"",P138=""),"08-단품준비완료",IF(L138="Approved","05-계획서승인",IF(L138="Revision Needed","04-검토중_보완",IF(L138="Under Review","03-검토중",IF(AND(K138&lt;&gt;"",L138=""),"02-제출_미검토","01-미제출"))))))))))</f>
        <v/>
      </c>
      <c r="W138" s="18">
        <f>IF(B138="","",IFS(V138="01-미제출",0,V138="02-제출_미검토",0.05,V138="03-검토중",0.1,V138="04-검토중_보완",0.05,V138="05-계획서승인",0.2,V138="06-BIW중단",0.15,V138="07-미인수",0.3,V138="08-단품준비완료",0.4,V138="09-시험준비중",0.55,V138="10-시험완료",0.85,V138="11-결과등록완료",1,V138="12-조건부승인",0.9,TRUE,0))</f>
        <v/>
      </c>
      <c r="X138" s="5">
        <f>IF(B138="","",IF(T138&lt;&gt;"","-",IF(S138="","N/A",S138-TODAY())))</f>
        <v/>
      </c>
      <c r="Y138" s="17">
        <f>IF(B138="","",IF(V138="11-결과등록완료","DONE",IF(U138="06-BIW중단","BLOCKED",IF(AND(K138="",J138&lt;TODAY()),"CRITICAL",IF(AND(ISNUMBER(X138),X138&lt;=0),"OVERDUE",IF(AND(ISNUMBER(X138),X138&lt;=14),"WARNING",IF(U138&lt;&gt;"","ACTION","ON TRACK")))))))</f>
        <v/>
      </c>
      <c r="Z138" s="5">
        <f>IF(B138="","",IF(OR(T138&lt;&gt;"",R138&lt;&gt;"",P138&lt;&gt;"",N138&lt;&gt;"",K138&lt;&gt;""),TODAY()-MAX(T138,R138,P138,N138,K138),"—"))</f>
        <v/>
      </c>
      <c r="AA138" s="19">
        <f>IF(B138="","",IF(V138="11-결과등록완료","— 완료",IF(V138="01-미제출",IF(J138&lt;TODAY(),"계획서 제출 독촉 (OVERDUE)","계획서 제출 대기"),IF(V138="02-제출_미검토","설계자: 계획서 검토 착수",IF(V138="03-검토중","설계자: 승인 처리",IF(V138="04-검토중_보완","보완 요청 → 협력사 재제출 독촉",IF(V138="05-계획서승인","시험편 준비 현황 확인",IF(V138="06-BIW중단","BIW 생산팀 확인 → 일정 재수립",IF(V138="07-미인수","협력사 인수 독촉",IF(V138="08-단품준비완료","시험 일정 확인",IF(V138="09-시험준비중","시험 진행 모니터링",IF(V138="10-시험완료","결과 보고서 전산 등록 독촉",IF(V138="12-조건부승인","조건부 승인 여부 판단 → 관련부서 협의","—")))))))))))))</f>
        <v/>
      </c>
      <c r="AB138" s="15" t="n"/>
    </row>
    <row r="139">
      <c r="A139" s="5">
        <f>IF(B139="","",ROW()-4)</f>
        <v/>
      </c>
      <c r="B139" s="13" t="n"/>
      <c r="C139" s="14">
        <f>IF(B139="","",IFERROR(VLOOKUP(D139,'Reference Data 기준데이터'!$A$30:$D$41,2,FALSE),""))</f>
        <v/>
      </c>
      <c r="D139" s="15" t="n"/>
      <c r="E139" s="14">
        <f>IF(B139="","",IFERROR(VLOOKUP(D139,'Reference Data 기준데이터'!$A$30:$D$41,3,FALSE),""))</f>
        <v/>
      </c>
      <c r="F139" s="15" t="n"/>
      <c r="G139" s="14">
        <f>IF(B139="","",IFERROR(VLOOKUP(F139,'Reference Data 기준데이터'!$A$9:$E$26,2,FALSE),""))</f>
        <v/>
      </c>
      <c r="H139" s="14">
        <f>IF(B139="","",IFERROR(VLOOKUP(F139,'Reference Data 기준데이터'!$A$9:$E$26,5,FALSE),""))</f>
        <v/>
      </c>
      <c r="I139" s="16">
        <f>IF(B139="","",IFERROR(VLOOKUP(B139,'Reference Data 기준데이터'!$A$3:$J$5,3,FALSE),""))</f>
        <v/>
      </c>
      <c r="J139" s="16">
        <f>IF(B139="","",IFERROR(I139+VLOOKUP(B139,'Reference Data 기준데이터'!$A$3:$J$5,7,FALSE),""))</f>
        <v/>
      </c>
      <c r="K139" s="20" t="n"/>
      <c r="L139" s="13" t="n"/>
      <c r="M139" s="16">
        <f>IF(B139="","",IFERROR(I139+VLOOKUP(B139,'Reference Data 기준데이터'!$A$3:$J$5,8,FALSE),""))</f>
        <v/>
      </c>
      <c r="N139" s="20" t="n"/>
      <c r="O139" s="16">
        <f>IF(B139="","",IFERROR(IF(G139="차량장착",MAX(I139+VLOOKUP(B139,'Reference Data 기준데이터'!$A$3:$J$5,9,FALSE),VLOOKUP(B139,'Reference Data 기준데이터'!$A$3:$J$5,4,FALSE)),I139+VLOOKUP(B139,'Reference Data 기준데이터'!$A$3:$J$5,9,FALSE)),""))</f>
        <v/>
      </c>
      <c r="P139" s="20" t="n"/>
      <c r="Q139" s="16">
        <f>IF(B139="","",IFERROR(O139+VLOOKUP(F139,'Reference Data 기준데이터'!$A$9:$E$26,4,FALSE),""))</f>
        <v/>
      </c>
      <c r="R139" s="20" t="n"/>
      <c r="S139" s="16">
        <f>IF(B139="","",IFERROR(MIN(I139+VLOOKUP(B139,'Reference Data 기준데이터'!$A$3:$J$5,10,FALSE),VLOOKUP(B139,'Reference Data 기준데이터'!$A$3:$J$5,6,FALSE)),""))</f>
        <v/>
      </c>
      <c r="T139" s="20" t="n"/>
      <c r="U139" s="13" t="n"/>
      <c r="V139" s="17">
        <f>IF(B139="","",IF(U139&lt;&gt;"",U139,IF(AND(T139&lt;&gt;"",R139&lt;&gt;""),"11-결과등록완료",IF(AND(R139&lt;&gt;"",T139=""),"10-시험완료",IF(AND(P139&lt;&gt;"",R139=""),"09-시험준비중",IF(AND(N139&lt;&gt;"",P139=""),"08-단품준비완료",IF(L139="Approved","05-계획서승인",IF(L139="Revision Needed","04-검토중_보완",IF(L139="Under Review","03-검토중",IF(AND(K139&lt;&gt;"",L139=""),"02-제출_미검토","01-미제출"))))))))))</f>
        <v/>
      </c>
      <c r="W139" s="18">
        <f>IF(B139="","",IFS(V139="01-미제출",0,V139="02-제출_미검토",0.05,V139="03-검토중",0.1,V139="04-검토중_보완",0.05,V139="05-계획서승인",0.2,V139="06-BIW중단",0.15,V139="07-미인수",0.3,V139="08-단품준비완료",0.4,V139="09-시험준비중",0.55,V139="10-시험완료",0.85,V139="11-결과등록완료",1,V139="12-조건부승인",0.9,TRUE,0))</f>
        <v/>
      </c>
      <c r="X139" s="5">
        <f>IF(B139="","",IF(T139&lt;&gt;"","-",IF(S139="","N/A",S139-TODAY())))</f>
        <v/>
      </c>
      <c r="Y139" s="17">
        <f>IF(B139="","",IF(V139="11-결과등록완료","DONE",IF(U139="06-BIW중단","BLOCKED",IF(AND(K139="",J139&lt;TODAY()),"CRITICAL",IF(AND(ISNUMBER(X139),X139&lt;=0),"OVERDUE",IF(AND(ISNUMBER(X139),X139&lt;=14),"WARNING",IF(U139&lt;&gt;"","ACTION","ON TRACK")))))))</f>
        <v/>
      </c>
      <c r="Z139" s="5">
        <f>IF(B139="","",IF(OR(T139&lt;&gt;"",R139&lt;&gt;"",P139&lt;&gt;"",N139&lt;&gt;"",K139&lt;&gt;""),TODAY()-MAX(T139,R139,P139,N139,K139),"—"))</f>
        <v/>
      </c>
      <c r="AA139" s="19">
        <f>IF(B139="","",IF(V139="11-결과등록완료","— 완료",IF(V139="01-미제출",IF(J139&lt;TODAY(),"계획서 제출 독촉 (OVERDUE)","계획서 제출 대기"),IF(V139="02-제출_미검토","설계자: 계획서 검토 착수",IF(V139="03-검토중","설계자: 승인 처리",IF(V139="04-검토중_보완","보완 요청 → 협력사 재제출 독촉",IF(V139="05-계획서승인","시험편 준비 현황 확인",IF(V139="06-BIW중단","BIW 생산팀 확인 → 일정 재수립",IF(V139="07-미인수","협력사 인수 독촉",IF(V139="08-단품준비완료","시험 일정 확인",IF(V139="09-시험준비중","시험 진행 모니터링",IF(V139="10-시험완료","결과 보고서 전산 등록 독촉",IF(V139="12-조건부승인","조건부 승인 여부 판단 → 관련부서 협의","—")))))))))))))</f>
        <v/>
      </c>
      <c r="AB139" s="15" t="n"/>
    </row>
    <row r="140">
      <c r="A140" s="5">
        <f>IF(B140="","",ROW()-4)</f>
        <v/>
      </c>
      <c r="B140" s="13" t="n"/>
      <c r="C140" s="14">
        <f>IF(B140="","",IFERROR(VLOOKUP(D140,'Reference Data 기준데이터'!$A$30:$D$41,2,FALSE),""))</f>
        <v/>
      </c>
      <c r="D140" s="15" t="n"/>
      <c r="E140" s="14">
        <f>IF(B140="","",IFERROR(VLOOKUP(D140,'Reference Data 기준데이터'!$A$30:$D$41,3,FALSE),""))</f>
        <v/>
      </c>
      <c r="F140" s="15" t="n"/>
      <c r="G140" s="14">
        <f>IF(B140="","",IFERROR(VLOOKUP(F140,'Reference Data 기준데이터'!$A$9:$E$26,2,FALSE),""))</f>
        <v/>
      </c>
      <c r="H140" s="14">
        <f>IF(B140="","",IFERROR(VLOOKUP(F140,'Reference Data 기준데이터'!$A$9:$E$26,5,FALSE),""))</f>
        <v/>
      </c>
      <c r="I140" s="16">
        <f>IF(B140="","",IFERROR(VLOOKUP(B140,'Reference Data 기준데이터'!$A$3:$J$5,3,FALSE),""))</f>
        <v/>
      </c>
      <c r="J140" s="16">
        <f>IF(B140="","",IFERROR(I140+VLOOKUP(B140,'Reference Data 기준데이터'!$A$3:$J$5,7,FALSE),""))</f>
        <v/>
      </c>
      <c r="K140" s="20" t="n"/>
      <c r="L140" s="13" t="n"/>
      <c r="M140" s="16">
        <f>IF(B140="","",IFERROR(I140+VLOOKUP(B140,'Reference Data 기준데이터'!$A$3:$J$5,8,FALSE),""))</f>
        <v/>
      </c>
      <c r="N140" s="20" t="n"/>
      <c r="O140" s="16">
        <f>IF(B140="","",IFERROR(IF(G140="차량장착",MAX(I140+VLOOKUP(B140,'Reference Data 기준데이터'!$A$3:$J$5,9,FALSE),VLOOKUP(B140,'Reference Data 기준데이터'!$A$3:$J$5,4,FALSE)),I140+VLOOKUP(B140,'Reference Data 기준데이터'!$A$3:$J$5,9,FALSE)),""))</f>
        <v/>
      </c>
      <c r="P140" s="20" t="n"/>
      <c r="Q140" s="16">
        <f>IF(B140="","",IFERROR(O140+VLOOKUP(F140,'Reference Data 기준데이터'!$A$9:$E$26,4,FALSE),""))</f>
        <v/>
      </c>
      <c r="R140" s="20" t="n"/>
      <c r="S140" s="16">
        <f>IF(B140="","",IFERROR(MIN(I140+VLOOKUP(B140,'Reference Data 기준데이터'!$A$3:$J$5,10,FALSE),VLOOKUP(B140,'Reference Data 기준데이터'!$A$3:$J$5,6,FALSE)),""))</f>
        <v/>
      </c>
      <c r="T140" s="20" t="n"/>
      <c r="U140" s="13" t="n"/>
      <c r="V140" s="17">
        <f>IF(B140="","",IF(U140&lt;&gt;"",U140,IF(AND(T140&lt;&gt;"",R140&lt;&gt;""),"11-결과등록완료",IF(AND(R140&lt;&gt;"",T140=""),"10-시험완료",IF(AND(P140&lt;&gt;"",R140=""),"09-시험준비중",IF(AND(N140&lt;&gt;"",P140=""),"08-단품준비완료",IF(L140="Approved","05-계획서승인",IF(L140="Revision Needed","04-검토중_보완",IF(L140="Under Review","03-검토중",IF(AND(K140&lt;&gt;"",L140=""),"02-제출_미검토","01-미제출"))))))))))</f>
        <v/>
      </c>
      <c r="W140" s="18">
        <f>IF(B140="","",IFS(V140="01-미제출",0,V140="02-제출_미검토",0.05,V140="03-검토중",0.1,V140="04-검토중_보완",0.05,V140="05-계획서승인",0.2,V140="06-BIW중단",0.15,V140="07-미인수",0.3,V140="08-단품준비완료",0.4,V140="09-시험준비중",0.55,V140="10-시험완료",0.85,V140="11-결과등록완료",1,V140="12-조건부승인",0.9,TRUE,0))</f>
        <v/>
      </c>
      <c r="X140" s="5">
        <f>IF(B140="","",IF(T140&lt;&gt;"","-",IF(S140="","N/A",S140-TODAY())))</f>
        <v/>
      </c>
      <c r="Y140" s="17">
        <f>IF(B140="","",IF(V140="11-결과등록완료","DONE",IF(U140="06-BIW중단","BLOCKED",IF(AND(K140="",J140&lt;TODAY()),"CRITICAL",IF(AND(ISNUMBER(X140),X140&lt;=0),"OVERDUE",IF(AND(ISNUMBER(X140),X140&lt;=14),"WARNING",IF(U140&lt;&gt;"","ACTION","ON TRACK")))))))</f>
        <v/>
      </c>
      <c r="Z140" s="5">
        <f>IF(B140="","",IF(OR(T140&lt;&gt;"",R140&lt;&gt;"",P140&lt;&gt;"",N140&lt;&gt;"",K140&lt;&gt;""),TODAY()-MAX(T140,R140,P140,N140,K140),"—"))</f>
        <v/>
      </c>
      <c r="AA140" s="19">
        <f>IF(B140="","",IF(V140="11-결과등록완료","— 완료",IF(V140="01-미제출",IF(J140&lt;TODAY(),"계획서 제출 독촉 (OVERDUE)","계획서 제출 대기"),IF(V140="02-제출_미검토","설계자: 계획서 검토 착수",IF(V140="03-검토중","설계자: 승인 처리",IF(V140="04-검토중_보완","보완 요청 → 협력사 재제출 독촉",IF(V140="05-계획서승인","시험편 준비 현황 확인",IF(V140="06-BIW중단","BIW 생산팀 확인 → 일정 재수립",IF(V140="07-미인수","협력사 인수 독촉",IF(V140="08-단품준비완료","시험 일정 확인",IF(V140="09-시험준비중","시험 진행 모니터링",IF(V140="10-시험완료","결과 보고서 전산 등록 독촉",IF(V140="12-조건부승인","조건부 승인 여부 판단 → 관련부서 협의","—")))))))))))))</f>
        <v/>
      </c>
      <c r="AB140" s="15" t="n"/>
    </row>
    <row r="141">
      <c r="A141" s="5">
        <f>IF(B141="","",ROW()-4)</f>
        <v/>
      </c>
      <c r="B141" s="13" t="n"/>
      <c r="C141" s="14">
        <f>IF(B141="","",IFERROR(VLOOKUP(D141,'Reference Data 기준데이터'!$A$30:$D$41,2,FALSE),""))</f>
        <v/>
      </c>
      <c r="D141" s="15" t="n"/>
      <c r="E141" s="14">
        <f>IF(B141="","",IFERROR(VLOOKUP(D141,'Reference Data 기준데이터'!$A$30:$D$41,3,FALSE),""))</f>
        <v/>
      </c>
      <c r="F141" s="15" t="n"/>
      <c r="G141" s="14">
        <f>IF(B141="","",IFERROR(VLOOKUP(F141,'Reference Data 기준데이터'!$A$9:$E$26,2,FALSE),""))</f>
        <v/>
      </c>
      <c r="H141" s="14">
        <f>IF(B141="","",IFERROR(VLOOKUP(F141,'Reference Data 기준데이터'!$A$9:$E$26,5,FALSE),""))</f>
        <v/>
      </c>
      <c r="I141" s="16">
        <f>IF(B141="","",IFERROR(VLOOKUP(B141,'Reference Data 기준데이터'!$A$3:$J$5,3,FALSE),""))</f>
        <v/>
      </c>
      <c r="J141" s="16">
        <f>IF(B141="","",IFERROR(I141+VLOOKUP(B141,'Reference Data 기준데이터'!$A$3:$J$5,7,FALSE),""))</f>
        <v/>
      </c>
      <c r="K141" s="20" t="n"/>
      <c r="L141" s="13" t="n"/>
      <c r="M141" s="16">
        <f>IF(B141="","",IFERROR(I141+VLOOKUP(B141,'Reference Data 기준데이터'!$A$3:$J$5,8,FALSE),""))</f>
        <v/>
      </c>
      <c r="N141" s="20" t="n"/>
      <c r="O141" s="16">
        <f>IF(B141="","",IFERROR(IF(G141="차량장착",MAX(I141+VLOOKUP(B141,'Reference Data 기준데이터'!$A$3:$J$5,9,FALSE),VLOOKUP(B141,'Reference Data 기준데이터'!$A$3:$J$5,4,FALSE)),I141+VLOOKUP(B141,'Reference Data 기준데이터'!$A$3:$J$5,9,FALSE)),""))</f>
        <v/>
      </c>
      <c r="P141" s="20" t="n"/>
      <c r="Q141" s="16">
        <f>IF(B141="","",IFERROR(O141+VLOOKUP(F141,'Reference Data 기준데이터'!$A$9:$E$26,4,FALSE),""))</f>
        <v/>
      </c>
      <c r="R141" s="20" t="n"/>
      <c r="S141" s="16">
        <f>IF(B141="","",IFERROR(MIN(I141+VLOOKUP(B141,'Reference Data 기준데이터'!$A$3:$J$5,10,FALSE),VLOOKUP(B141,'Reference Data 기준데이터'!$A$3:$J$5,6,FALSE)),""))</f>
        <v/>
      </c>
      <c r="T141" s="20" t="n"/>
      <c r="U141" s="13" t="n"/>
      <c r="V141" s="17">
        <f>IF(B141="","",IF(U141&lt;&gt;"",U141,IF(AND(T141&lt;&gt;"",R141&lt;&gt;""),"11-결과등록완료",IF(AND(R141&lt;&gt;"",T141=""),"10-시험완료",IF(AND(P141&lt;&gt;"",R141=""),"09-시험준비중",IF(AND(N141&lt;&gt;"",P141=""),"08-단품준비완료",IF(L141="Approved","05-계획서승인",IF(L141="Revision Needed","04-검토중_보완",IF(L141="Under Review","03-검토중",IF(AND(K141&lt;&gt;"",L141=""),"02-제출_미검토","01-미제출"))))))))))</f>
        <v/>
      </c>
      <c r="W141" s="18">
        <f>IF(B141="","",IFS(V141="01-미제출",0,V141="02-제출_미검토",0.05,V141="03-검토중",0.1,V141="04-검토중_보완",0.05,V141="05-계획서승인",0.2,V141="06-BIW중단",0.15,V141="07-미인수",0.3,V141="08-단품준비완료",0.4,V141="09-시험준비중",0.55,V141="10-시험완료",0.85,V141="11-결과등록완료",1,V141="12-조건부승인",0.9,TRUE,0))</f>
        <v/>
      </c>
      <c r="X141" s="5">
        <f>IF(B141="","",IF(T141&lt;&gt;"","-",IF(S141="","N/A",S141-TODAY())))</f>
        <v/>
      </c>
      <c r="Y141" s="17">
        <f>IF(B141="","",IF(V141="11-결과등록완료","DONE",IF(U141="06-BIW중단","BLOCKED",IF(AND(K141="",J141&lt;TODAY()),"CRITICAL",IF(AND(ISNUMBER(X141),X141&lt;=0),"OVERDUE",IF(AND(ISNUMBER(X141),X141&lt;=14),"WARNING",IF(U141&lt;&gt;"","ACTION","ON TRACK")))))))</f>
        <v/>
      </c>
      <c r="Z141" s="5">
        <f>IF(B141="","",IF(OR(T141&lt;&gt;"",R141&lt;&gt;"",P141&lt;&gt;"",N141&lt;&gt;"",K141&lt;&gt;""),TODAY()-MAX(T141,R141,P141,N141,K141),"—"))</f>
        <v/>
      </c>
      <c r="AA141" s="19">
        <f>IF(B141="","",IF(V141="11-결과등록완료","— 완료",IF(V141="01-미제출",IF(J141&lt;TODAY(),"계획서 제출 독촉 (OVERDUE)","계획서 제출 대기"),IF(V141="02-제출_미검토","설계자: 계획서 검토 착수",IF(V141="03-검토중","설계자: 승인 처리",IF(V141="04-검토중_보완","보완 요청 → 협력사 재제출 독촉",IF(V141="05-계획서승인","시험편 준비 현황 확인",IF(V141="06-BIW중단","BIW 생산팀 확인 → 일정 재수립",IF(V141="07-미인수","협력사 인수 독촉",IF(V141="08-단품준비완료","시험 일정 확인",IF(V141="09-시험준비중","시험 진행 모니터링",IF(V141="10-시험완료","결과 보고서 전산 등록 독촉",IF(V141="12-조건부승인","조건부 승인 여부 판단 → 관련부서 협의","—")))))))))))))</f>
        <v/>
      </c>
      <c r="AB141" s="15" t="n"/>
    </row>
    <row r="142">
      <c r="A142" s="5">
        <f>IF(B142="","",ROW()-4)</f>
        <v/>
      </c>
      <c r="B142" s="13" t="n"/>
      <c r="C142" s="14">
        <f>IF(B142="","",IFERROR(VLOOKUP(D142,'Reference Data 기준데이터'!$A$30:$D$41,2,FALSE),""))</f>
        <v/>
      </c>
      <c r="D142" s="15" t="n"/>
      <c r="E142" s="14">
        <f>IF(B142="","",IFERROR(VLOOKUP(D142,'Reference Data 기준데이터'!$A$30:$D$41,3,FALSE),""))</f>
        <v/>
      </c>
      <c r="F142" s="15" t="n"/>
      <c r="G142" s="14">
        <f>IF(B142="","",IFERROR(VLOOKUP(F142,'Reference Data 기준데이터'!$A$9:$E$26,2,FALSE),""))</f>
        <v/>
      </c>
      <c r="H142" s="14">
        <f>IF(B142="","",IFERROR(VLOOKUP(F142,'Reference Data 기준데이터'!$A$9:$E$26,5,FALSE),""))</f>
        <v/>
      </c>
      <c r="I142" s="16">
        <f>IF(B142="","",IFERROR(VLOOKUP(B142,'Reference Data 기준데이터'!$A$3:$J$5,3,FALSE),""))</f>
        <v/>
      </c>
      <c r="J142" s="16">
        <f>IF(B142="","",IFERROR(I142+VLOOKUP(B142,'Reference Data 기준데이터'!$A$3:$J$5,7,FALSE),""))</f>
        <v/>
      </c>
      <c r="K142" s="20" t="n"/>
      <c r="L142" s="13" t="n"/>
      <c r="M142" s="16">
        <f>IF(B142="","",IFERROR(I142+VLOOKUP(B142,'Reference Data 기준데이터'!$A$3:$J$5,8,FALSE),""))</f>
        <v/>
      </c>
      <c r="N142" s="20" t="n"/>
      <c r="O142" s="16">
        <f>IF(B142="","",IFERROR(IF(G142="차량장착",MAX(I142+VLOOKUP(B142,'Reference Data 기준데이터'!$A$3:$J$5,9,FALSE),VLOOKUP(B142,'Reference Data 기준데이터'!$A$3:$J$5,4,FALSE)),I142+VLOOKUP(B142,'Reference Data 기준데이터'!$A$3:$J$5,9,FALSE)),""))</f>
        <v/>
      </c>
      <c r="P142" s="20" t="n"/>
      <c r="Q142" s="16">
        <f>IF(B142="","",IFERROR(O142+VLOOKUP(F142,'Reference Data 기준데이터'!$A$9:$E$26,4,FALSE),""))</f>
        <v/>
      </c>
      <c r="R142" s="20" t="n"/>
      <c r="S142" s="16">
        <f>IF(B142="","",IFERROR(MIN(I142+VLOOKUP(B142,'Reference Data 기준데이터'!$A$3:$J$5,10,FALSE),VLOOKUP(B142,'Reference Data 기준데이터'!$A$3:$J$5,6,FALSE)),""))</f>
        <v/>
      </c>
      <c r="T142" s="20" t="n"/>
      <c r="U142" s="13" t="n"/>
      <c r="V142" s="17">
        <f>IF(B142="","",IF(U142&lt;&gt;"",U142,IF(AND(T142&lt;&gt;"",R142&lt;&gt;""),"11-결과등록완료",IF(AND(R142&lt;&gt;"",T142=""),"10-시험완료",IF(AND(P142&lt;&gt;"",R142=""),"09-시험준비중",IF(AND(N142&lt;&gt;"",P142=""),"08-단품준비완료",IF(L142="Approved","05-계획서승인",IF(L142="Revision Needed","04-검토중_보완",IF(L142="Under Review","03-검토중",IF(AND(K142&lt;&gt;"",L142=""),"02-제출_미검토","01-미제출"))))))))))</f>
        <v/>
      </c>
      <c r="W142" s="18">
        <f>IF(B142="","",IFS(V142="01-미제출",0,V142="02-제출_미검토",0.05,V142="03-검토중",0.1,V142="04-검토중_보완",0.05,V142="05-계획서승인",0.2,V142="06-BIW중단",0.15,V142="07-미인수",0.3,V142="08-단품준비완료",0.4,V142="09-시험준비중",0.55,V142="10-시험완료",0.85,V142="11-결과등록완료",1,V142="12-조건부승인",0.9,TRUE,0))</f>
        <v/>
      </c>
      <c r="X142" s="5">
        <f>IF(B142="","",IF(T142&lt;&gt;"","-",IF(S142="","N/A",S142-TODAY())))</f>
        <v/>
      </c>
      <c r="Y142" s="17">
        <f>IF(B142="","",IF(V142="11-결과등록완료","DONE",IF(U142="06-BIW중단","BLOCKED",IF(AND(K142="",J142&lt;TODAY()),"CRITICAL",IF(AND(ISNUMBER(X142),X142&lt;=0),"OVERDUE",IF(AND(ISNUMBER(X142),X142&lt;=14),"WARNING",IF(U142&lt;&gt;"","ACTION","ON TRACK")))))))</f>
        <v/>
      </c>
      <c r="Z142" s="5">
        <f>IF(B142="","",IF(OR(T142&lt;&gt;"",R142&lt;&gt;"",P142&lt;&gt;"",N142&lt;&gt;"",K142&lt;&gt;""),TODAY()-MAX(T142,R142,P142,N142,K142),"—"))</f>
        <v/>
      </c>
      <c r="AA142" s="19">
        <f>IF(B142="","",IF(V142="11-결과등록완료","— 완료",IF(V142="01-미제출",IF(J142&lt;TODAY(),"계획서 제출 독촉 (OVERDUE)","계획서 제출 대기"),IF(V142="02-제출_미검토","설계자: 계획서 검토 착수",IF(V142="03-검토중","설계자: 승인 처리",IF(V142="04-검토중_보완","보완 요청 → 협력사 재제출 독촉",IF(V142="05-계획서승인","시험편 준비 현황 확인",IF(V142="06-BIW중단","BIW 생산팀 확인 → 일정 재수립",IF(V142="07-미인수","협력사 인수 독촉",IF(V142="08-단품준비완료","시험 일정 확인",IF(V142="09-시험준비중","시험 진행 모니터링",IF(V142="10-시험완료","결과 보고서 전산 등록 독촉",IF(V142="12-조건부승인","조건부 승인 여부 판단 → 관련부서 협의","—")))))))))))))</f>
        <v/>
      </c>
      <c r="AB142" s="15" t="n"/>
    </row>
    <row r="143">
      <c r="A143" s="5">
        <f>IF(B143="","",ROW()-4)</f>
        <v/>
      </c>
      <c r="B143" s="13" t="n"/>
      <c r="C143" s="14">
        <f>IF(B143="","",IFERROR(VLOOKUP(D143,'Reference Data 기준데이터'!$A$30:$D$41,2,FALSE),""))</f>
        <v/>
      </c>
      <c r="D143" s="15" t="n"/>
      <c r="E143" s="14">
        <f>IF(B143="","",IFERROR(VLOOKUP(D143,'Reference Data 기준데이터'!$A$30:$D$41,3,FALSE),""))</f>
        <v/>
      </c>
      <c r="F143" s="15" t="n"/>
      <c r="G143" s="14">
        <f>IF(B143="","",IFERROR(VLOOKUP(F143,'Reference Data 기준데이터'!$A$9:$E$26,2,FALSE),""))</f>
        <v/>
      </c>
      <c r="H143" s="14">
        <f>IF(B143="","",IFERROR(VLOOKUP(F143,'Reference Data 기준데이터'!$A$9:$E$26,5,FALSE),""))</f>
        <v/>
      </c>
      <c r="I143" s="16">
        <f>IF(B143="","",IFERROR(VLOOKUP(B143,'Reference Data 기준데이터'!$A$3:$J$5,3,FALSE),""))</f>
        <v/>
      </c>
      <c r="J143" s="16">
        <f>IF(B143="","",IFERROR(I143+VLOOKUP(B143,'Reference Data 기준데이터'!$A$3:$J$5,7,FALSE),""))</f>
        <v/>
      </c>
      <c r="K143" s="20" t="n"/>
      <c r="L143" s="13" t="n"/>
      <c r="M143" s="16">
        <f>IF(B143="","",IFERROR(I143+VLOOKUP(B143,'Reference Data 기준데이터'!$A$3:$J$5,8,FALSE),""))</f>
        <v/>
      </c>
      <c r="N143" s="20" t="n"/>
      <c r="O143" s="16">
        <f>IF(B143="","",IFERROR(IF(G143="차량장착",MAX(I143+VLOOKUP(B143,'Reference Data 기준데이터'!$A$3:$J$5,9,FALSE),VLOOKUP(B143,'Reference Data 기준데이터'!$A$3:$J$5,4,FALSE)),I143+VLOOKUP(B143,'Reference Data 기준데이터'!$A$3:$J$5,9,FALSE)),""))</f>
        <v/>
      </c>
      <c r="P143" s="20" t="n"/>
      <c r="Q143" s="16">
        <f>IF(B143="","",IFERROR(O143+VLOOKUP(F143,'Reference Data 기준데이터'!$A$9:$E$26,4,FALSE),""))</f>
        <v/>
      </c>
      <c r="R143" s="20" t="n"/>
      <c r="S143" s="16">
        <f>IF(B143="","",IFERROR(MIN(I143+VLOOKUP(B143,'Reference Data 기준데이터'!$A$3:$J$5,10,FALSE),VLOOKUP(B143,'Reference Data 기준데이터'!$A$3:$J$5,6,FALSE)),""))</f>
        <v/>
      </c>
      <c r="T143" s="20" t="n"/>
      <c r="U143" s="13" t="n"/>
      <c r="V143" s="17">
        <f>IF(B143="","",IF(U143&lt;&gt;"",U143,IF(AND(T143&lt;&gt;"",R143&lt;&gt;""),"11-결과등록완료",IF(AND(R143&lt;&gt;"",T143=""),"10-시험완료",IF(AND(P143&lt;&gt;"",R143=""),"09-시험준비중",IF(AND(N143&lt;&gt;"",P143=""),"08-단품준비완료",IF(L143="Approved","05-계획서승인",IF(L143="Revision Needed","04-검토중_보완",IF(L143="Under Review","03-검토중",IF(AND(K143&lt;&gt;"",L143=""),"02-제출_미검토","01-미제출"))))))))))</f>
        <v/>
      </c>
      <c r="W143" s="18">
        <f>IF(B143="","",IFS(V143="01-미제출",0,V143="02-제출_미검토",0.05,V143="03-검토중",0.1,V143="04-검토중_보완",0.05,V143="05-계획서승인",0.2,V143="06-BIW중단",0.15,V143="07-미인수",0.3,V143="08-단품준비완료",0.4,V143="09-시험준비중",0.55,V143="10-시험완료",0.85,V143="11-결과등록완료",1,V143="12-조건부승인",0.9,TRUE,0))</f>
        <v/>
      </c>
      <c r="X143" s="5">
        <f>IF(B143="","",IF(T143&lt;&gt;"","-",IF(S143="","N/A",S143-TODAY())))</f>
        <v/>
      </c>
      <c r="Y143" s="17">
        <f>IF(B143="","",IF(V143="11-결과등록완료","DONE",IF(U143="06-BIW중단","BLOCKED",IF(AND(K143="",J143&lt;TODAY()),"CRITICAL",IF(AND(ISNUMBER(X143),X143&lt;=0),"OVERDUE",IF(AND(ISNUMBER(X143),X143&lt;=14),"WARNING",IF(U143&lt;&gt;"","ACTION","ON TRACK")))))))</f>
        <v/>
      </c>
      <c r="Z143" s="5">
        <f>IF(B143="","",IF(OR(T143&lt;&gt;"",R143&lt;&gt;"",P143&lt;&gt;"",N143&lt;&gt;"",K143&lt;&gt;""),TODAY()-MAX(T143,R143,P143,N143,K143),"—"))</f>
        <v/>
      </c>
      <c r="AA143" s="19">
        <f>IF(B143="","",IF(V143="11-결과등록완료","— 완료",IF(V143="01-미제출",IF(J143&lt;TODAY(),"계획서 제출 독촉 (OVERDUE)","계획서 제출 대기"),IF(V143="02-제출_미검토","설계자: 계획서 검토 착수",IF(V143="03-검토중","설계자: 승인 처리",IF(V143="04-검토중_보완","보완 요청 → 협력사 재제출 독촉",IF(V143="05-계획서승인","시험편 준비 현황 확인",IF(V143="06-BIW중단","BIW 생산팀 확인 → 일정 재수립",IF(V143="07-미인수","협력사 인수 독촉",IF(V143="08-단품준비완료","시험 일정 확인",IF(V143="09-시험준비중","시험 진행 모니터링",IF(V143="10-시험완료","결과 보고서 전산 등록 독촉",IF(V143="12-조건부승인","조건부 승인 여부 판단 → 관련부서 협의","—")))))))))))))</f>
        <v/>
      </c>
      <c r="AB143" s="15" t="n"/>
    </row>
    <row r="144">
      <c r="A144" s="5">
        <f>IF(B144="","",ROW()-4)</f>
        <v/>
      </c>
      <c r="B144" s="13" t="n"/>
      <c r="C144" s="14">
        <f>IF(B144="","",IFERROR(VLOOKUP(D144,'Reference Data 기준데이터'!$A$30:$D$41,2,FALSE),""))</f>
        <v/>
      </c>
      <c r="D144" s="15" t="n"/>
      <c r="E144" s="14">
        <f>IF(B144="","",IFERROR(VLOOKUP(D144,'Reference Data 기준데이터'!$A$30:$D$41,3,FALSE),""))</f>
        <v/>
      </c>
      <c r="F144" s="15" t="n"/>
      <c r="G144" s="14">
        <f>IF(B144="","",IFERROR(VLOOKUP(F144,'Reference Data 기준데이터'!$A$9:$E$26,2,FALSE),""))</f>
        <v/>
      </c>
      <c r="H144" s="14">
        <f>IF(B144="","",IFERROR(VLOOKUP(F144,'Reference Data 기준데이터'!$A$9:$E$26,5,FALSE),""))</f>
        <v/>
      </c>
      <c r="I144" s="16">
        <f>IF(B144="","",IFERROR(VLOOKUP(B144,'Reference Data 기준데이터'!$A$3:$J$5,3,FALSE),""))</f>
        <v/>
      </c>
      <c r="J144" s="16">
        <f>IF(B144="","",IFERROR(I144+VLOOKUP(B144,'Reference Data 기준데이터'!$A$3:$J$5,7,FALSE),""))</f>
        <v/>
      </c>
      <c r="K144" s="20" t="n"/>
      <c r="L144" s="13" t="n"/>
      <c r="M144" s="16">
        <f>IF(B144="","",IFERROR(I144+VLOOKUP(B144,'Reference Data 기준데이터'!$A$3:$J$5,8,FALSE),""))</f>
        <v/>
      </c>
      <c r="N144" s="20" t="n"/>
      <c r="O144" s="16">
        <f>IF(B144="","",IFERROR(IF(G144="차량장착",MAX(I144+VLOOKUP(B144,'Reference Data 기준데이터'!$A$3:$J$5,9,FALSE),VLOOKUP(B144,'Reference Data 기준데이터'!$A$3:$J$5,4,FALSE)),I144+VLOOKUP(B144,'Reference Data 기준데이터'!$A$3:$J$5,9,FALSE)),""))</f>
        <v/>
      </c>
      <c r="P144" s="20" t="n"/>
      <c r="Q144" s="16">
        <f>IF(B144="","",IFERROR(O144+VLOOKUP(F144,'Reference Data 기준데이터'!$A$9:$E$26,4,FALSE),""))</f>
        <v/>
      </c>
      <c r="R144" s="20" t="n"/>
      <c r="S144" s="16">
        <f>IF(B144="","",IFERROR(MIN(I144+VLOOKUP(B144,'Reference Data 기준데이터'!$A$3:$J$5,10,FALSE),VLOOKUP(B144,'Reference Data 기준데이터'!$A$3:$J$5,6,FALSE)),""))</f>
        <v/>
      </c>
      <c r="T144" s="20" t="n"/>
      <c r="U144" s="13" t="n"/>
      <c r="V144" s="17">
        <f>IF(B144="","",IF(U144&lt;&gt;"",U144,IF(AND(T144&lt;&gt;"",R144&lt;&gt;""),"11-결과등록완료",IF(AND(R144&lt;&gt;"",T144=""),"10-시험완료",IF(AND(P144&lt;&gt;"",R144=""),"09-시험준비중",IF(AND(N144&lt;&gt;"",P144=""),"08-단품준비완료",IF(L144="Approved","05-계획서승인",IF(L144="Revision Needed","04-검토중_보완",IF(L144="Under Review","03-검토중",IF(AND(K144&lt;&gt;"",L144=""),"02-제출_미검토","01-미제출"))))))))))</f>
        <v/>
      </c>
      <c r="W144" s="18">
        <f>IF(B144="","",IFS(V144="01-미제출",0,V144="02-제출_미검토",0.05,V144="03-검토중",0.1,V144="04-검토중_보완",0.05,V144="05-계획서승인",0.2,V144="06-BIW중단",0.15,V144="07-미인수",0.3,V144="08-단품준비완료",0.4,V144="09-시험준비중",0.55,V144="10-시험완료",0.85,V144="11-결과등록완료",1,V144="12-조건부승인",0.9,TRUE,0))</f>
        <v/>
      </c>
      <c r="X144" s="5">
        <f>IF(B144="","",IF(T144&lt;&gt;"","-",IF(S144="","N/A",S144-TODAY())))</f>
        <v/>
      </c>
      <c r="Y144" s="17">
        <f>IF(B144="","",IF(V144="11-결과등록완료","DONE",IF(U144="06-BIW중단","BLOCKED",IF(AND(K144="",J144&lt;TODAY()),"CRITICAL",IF(AND(ISNUMBER(X144),X144&lt;=0),"OVERDUE",IF(AND(ISNUMBER(X144),X144&lt;=14),"WARNING",IF(U144&lt;&gt;"","ACTION","ON TRACK")))))))</f>
        <v/>
      </c>
      <c r="Z144" s="5">
        <f>IF(B144="","",IF(OR(T144&lt;&gt;"",R144&lt;&gt;"",P144&lt;&gt;"",N144&lt;&gt;"",K144&lt;&gt;""),TODAY()-MAX(T144,R144,P144,N144,K144),"—"))</f>
        <v/>
      </c>
      <c r="AA144" s="19">
        <f>IF(B144="","",IF(V144="11-결과등록완료","— 완료",IF(V144="01-미제출",IF(J144&lt;TODAY(),"계획서 제출 독촉 (OVERDUE)","계획서 제출 대기"),IF(V144="02-제출_미검토","설계자: 계획서 검토 착수",IF(V144="03-검토중","설계자: 승인 처리",IF(V144="04-검토중_보완","보완 요청 → 협력사 재제출 독촉",IF(V144="05-계획서승인","시험편 준비 현황 확인",IF(V144="06-BIW중단","BIW 생산팀 확인 → 일정 재수립",IF(V144="07-미인수","협력사 인수 독촉",IF(V144="08-단품준비완료","시험 일정 확인",IF(V144="09-시험준비중","시험 진행 모니터링",IF(V144="10-시험완료","결과 보고서 전산 등록 독촉",IF(V144="12-조건부승인","조건부 승인 여부 판단 → 관련부서 협의","—")))))))))))))</f>
        <v/>
      </c>
      <c r="AB144" s="15" t="n"/>
    </row>
    <row r="145">
      <c r="A145" s="5">
        <f>IF(B145="","",ROW()-4)</f>
        <v/>
      </c>
      <c r="B145" s="13" t="n"/>
      <c r="C145" s="14">
        <f>IF(B145="","",IFERROR(VLOOKUP(D145,'Reference Data 기준데이터'!$A$30:$D$41,2,FALSE),""))</f>
        <v/>
      </c>
      <c r="D145" s="15" t="n"/>
      <c r="E145" s="14">
        <f>IF(B145="","",IFERROR(VLOOKUP(D145,'Reference Data 기준데이터'!$A$30:$D$41,3,FALSE),""))</f>
        <v/>
      </c>
      <c r="F145" s="15" t="n"/>
      <c r="G145" s="14">
        <f>IF(B145="","",IFERROR(VLOOKUP(F145,'Reference Data 기준데이터'!$A$9:$E$26,2,FALSE),""))</f>
        <v/>
      </c>
      <c r="H145" s="14">
        <f>IF(B145="","",IFERROR(VLOOKUP(F145,'Reference Data 기준데이터'!$A$9:$E$26,5,FALSE),""))</f>
        <v/>
      </c>
      <c r="I145" s="16">
        <f>IF(B145="","",IFERROR(VLOOKUP(B145,'Reference Data 기준데이터'!$A$3:$J$5,3,FALSE),""))</f>
        <v/>
      </c>
      <c r="J145" s="16">
        <f>IF(B145="","",IFERROR(I145+VLOOKUP(B145,'Reference Data 기준데이터'!$A$3:$J$5,7,FALSE),""))</f>
        <v/>
      </c>
      <c r="K145" s="20" t="n"/>
      <c r="L145" s="13" t="n"/>
      <c r="M145" s="16">
        <f>IF(B145="","",IFERROR(I145+VLOOKUP(B145,'Reference Data 기준데이터'!$A$3:$J$5,8,FALSE),""))</f>
        <v/>
      </c>
      <c r="N145" s="20" t="n"/>
      <c r="O145" s="16">
        <f>IF(B145="","",IFERROR(IF(G145="차량장착",MAX(I145+VLOOKUP(B145,'Reference Data 기준데이터'!$A$3:$J$5,9,FALSE),VLOOKUP(B145,'Reference Data 기준데이터'!$A$3:$J$5,4,FALSE)),I145+VLOOKUP(B145,'Reference Data 기준데이터'!$A$3:$J$5,9,FALSE)),""))</f>
        <v/>
      </c>
      <c r="P145" s="20" t="n"/>
      <c r="Q145" s="16">
        <f>IF(B145="","",IFERROR(O145+VLOOKUP(F145,'Reference Data 기준데이터'!$A$9:$E$26,4,FALSE),""))</f>
        <v/>
      </c>
      <c r="R145" s="20" t="n"/>
      <c r="S145" s="16">
        <f>IF(B145="","",IFERROR(MIN(I145+VLOOKUP(B145,'Reference Data 기준데이터'!$A$3:$J$5,10,FALSE),VLOOKUP(B145,'Reference Data 기준데이터'!$A$3:$J$5,6,FALSE)),""))</f>
        <v/>
      </c>
      <c r="T145" s="20" t="n"/>
      <c r="U145" s="13" t="n"/>
      <c r="V145" s="17">
        <f>IF(B145="","",IF(U145&lt;&gt;"",U145,IF(AND(T145&lt;&gt;"",R145&lt;&gt;""),"11-결과등록완료",IF(AND(R145&lt;&gt;"",T145=""),"10-시험완료",IF(AND(P145&lt;&gt;"",R145=""),"09-시험준비중",IF(AND(N145&lt;&gt;"",P145=""),"08-단품준비완료",IF(L145="Approved","05-계획서승인",IF(L145="Revision Needed","04-검토중_보완",IF(L145="Under Review","03-검토중",IF(AND(K145&lt;&gt;"",L145=""),"02-제출_미검토","01-미제출"))))))))))</f>
        <v/>
      </c>
      <c r="W145" s="18">
        <f>IF(B145="","",IFS(V145="01-미제출",0,V145="02-제출_미검토",0.05,V145="03-검토중",0.1,V145="04-검토중_보완",0.05,V145="05-계획서승인",0.2,V145="06-BIW중단",0.15,V145="07-미인수",0.3,V145="08-단품준비완료",0.4,V145="09-시험준비중",0.55,V145="10-시험완료",0.85,V145="11-결과등록완료",1,V145="12-조건부승인",0.9,TRUE,0))</f>
        <v/>
      </c>
      <c r="X145" s="5">
        <f>IF(B145="","",IF(T145&lt;&gt;"","-",IF(S145="","N/A",S145-TODAY())))</f>
        <v/>
      </c>
      <c r="Y145" s="17">
        <f>IF(B145="","",IF(V145="11-결과등록완료","DONE",IF(U145="06-BIW중단","BLOCKED",IF(AND(K145="",J145&lt;TODAY()),"CRITICAL",IF(AND(ISNUMBER(X145),X145&lt;=0),"OVERDUE",IF(AND(ISNUMBER(X145),X145&lt;=14),"WARNING",IF(U145&lt;&gt;"","ACTION","ON TRACK")))))))</f>
        <v/>
      </c>
      <c r="Z145" s="5">
        <f>IF(B145="","",IF(OR(T145&lt;&gt;"",R145&lt;&gt;"",P145&lt;&gt;"",N145&lt;&gt;"",K145&lt;&gt;""),TODAY()-MAX(T145,R145,P145,N145,K145),"—"))</f>
        <v/>
      </c>
      <c r="AA145" s="19">
        <f>IF(B145="","",IF(V145="11-결과등록완료","— 완료",IF(V145="01-미제출",IF(J145&lt;TODAY(),"계획서 제출 독촉 (OVERDUE)","계획서 제출 대기"),IF(V145="02-제출_미검토","설계자: 계획서 검토 착수",IF(V145="03-검토중","설계자: 승인 처리",IF(V145="04-검토중_보완","보완 요청 → 협력사 재제출 독촉",IF(V145="05-계획서승인","시험편 준비 현황 확인",IF(V145="06-BIW중단","BIW 생산팀 확인 → 일정 재수립",IF(V145="07-미인수","협력사 인수 독촉",IF(V145="08-단품준비완료","시험 일정 확인",IF(V145="09-시험준비중","시험 진행 모니터링",IF(V145="10-시험완료","결과 보고서 전산 등록 독촉",IF(V145="12-조건부승인","조건부 승인 여부 판단 → 관련부서 협의","—")))))))))))))</f>
        <v/>
      </c>
      <c r="AB145" s="15" t="n"/>
    </row>
    <row r="146">
      <c r="A146" s="5">
        <f>IF(B146="","",ROW()-4)</f>
        <v/>
      </c>
      <c r="B146" s="13" t="n"/>
      <c r="C146" s="14">
        <f>IF(B146="","",IFERROR(VLOOKUP(D146,'Reference Data 기준데이터'!$A$30:$D$41,2,FALSE),""))</f>
        <v/>
      </c>
      <c r="D146" s="15" t="n"/>
      <c r="E146" s="14">
        <f>IF(B146="","",IFERROR(VLOOKUP(D146,'Reference Data 기준데이터'!$A$30:$D$41,3,FALSE),""))</f>
        <v/>
      </c>
      <c r="F146" s="15" t="n"/>
      <c r="G146" s="14">
        <f>IF(B146="","",IFERROR(VLOOKUP(F146,'Reference Data 기준데이터'!$A$9:$E$26,2,FALSE),""))</f>
        <v/>
      </c>
      <c r="H146" s="14">
        <f>IF(B146="","",IFERROR(VLOOKUP(F146,'Reference Data 기준데이터'!$A$9:$E$26,5,FALSE),""))</f>
        <v/>
      </c>
      <c r="I146" s="16">
        <f>IF(B146="","",IFERROR(VLOOKUP(B146,'Reference Data 기준데이터'!$A$3:$J$5,3,FALSE),""))</f>
        <v/>
      </c>
      <c r="J146" s="16">
        <f>IF(B146="","",IFERROR(I146+VLOOKUP(B146,'Reference Data 기준데이터'!$A$3:$J$5,7,FALSE),""))</f>
        <v/>
      </c>
      <c r="K146" s="20" t="n"/>
      <c r="L146" s="13" t="n"/>
      <c r="M146" s="16">
        <f>IF(B146="","",IFERROR(I146+VLOOKUP(B146,'Reference Data 기준데이터'!$A$3:$J$5,8,FALSE),""))</f>
        <v/>
      </c>
      <c r="N146" s="20" t="n"/>
      <c r="O146" s="16">
        <f>IF(B146="","",IFERROR(IF(G146="차량장착",MAX(I146+VLOOKUP(B146,'Reference Data 기준데이터'!$A$3:$J$5,9,FALSE),VLOOKUP(B146,'Reference Data 기준데이터'!$A$3:$J$5,4,FALSE)),I146+VLOOKUP(B146,'Reference Data 기준데이터'!$A$3:$J$5,9,FALSE)),""))</f>
        <v/>
      </c>
      <c r="P146" s="20" t="n"/>
      <c r="Q146" s="16">
        <f>IF(B146="","",IFERROR(O146+VLOOKUP(F146,'Reference Data 기준데이터'!$A$9:$E$26,4,FALSE),""))</f>
        <v/>
      </c>
      <c r="R146" s="20" t="n"/>
      <c r="S146" s="16">
        <f>IF(B146="","",IFERROR(MIN(I146+VLOOKUP(B146,'Reference Data 기준데이터'!$A$3:$J$5,10,FALSE),VLOOKUP(B146,'Reference Data 기준데이터'!$A$3:$J$5,6,FALSE)),""))</f>
        <v/>
      </c>
      <c r="T146" s="20" t="n"/>
      <c r="U146" s="13" t="n"/>
      <c r="V146" s="17">
        <f>IF(B146="","",IF(U146&lt;&gt;"",U146,IF(AND(T146&lt;&gt;"",R146&lt;&gt;""),"11-결과등록완료",IF(AND(R146&lt;&gt;"",T146=""),"10-시험완료",IF(AND(P146&lt;&gt;"",R146=""),"09-시험준비중",IF(AND(N146&lt;&gt;"",P146=""),"08-단품준비완료",IF(L146="Approved","05-계획서승인",IF(L146="Revision Needed","04-검토중_보완",IF(L146="Under Review","03-검토중",IF(AND(K146&lt;&gt;"",L146=""),"02-제출_미검토","01-미제출"))))))))))</f>
        <v/>
      </c>
      <c r="W146" s="18">
        <f>IF(B146="","",IFS(V146="01-미제출",0,V146="02-제출_미검토",0.05,V146="03-검토중",0.1,V146="04-검토중_보완",0.05,V146="05-계획서승인",0.2,V146="06-BIW중단",0.15,V146="07-미인수",0.3,V146="08-단품준비완료",0.4,V146="09-시험준비중",0.55,V146="10-시험완료",0.85,V146="11-결과등록완료",1,V146="12-조건부승인",0.9,TRUE,0))</f>
        <v/>
      </c>
      <c r="X146" s="5">
        <f>IF(B146="","",IF(T146&lt;&gt;"","-",IF(S146="","N/A",S146-TODAY())))</f>
        <v/>
      </c>
      <c r="Y146" s="17">
        <f>IF(B146="","",IF(V146="11-결과등록완료","DONE",IF(U146="06-BIW중단","BLOCKED",IF(AND(K146="",J146&lt;TODAY()),"CRITICAL",IF(AND(ISNUMBER(X146),X146&lt;=0),"OVERDUE",IF(AND(ISNUMBER(X146),X146&lt;=14),"WARNING",IF(U146&lt;&gt;"","ACTION","ON TRACK")))))))</f>
        <v/>
      </c>
      <c r="Z146" s="5">
        <f>IF(B146="","",IF(OR(T146&lt;&gt;"",R146&lt;&gt;"",P146&lt;&gt;"",N146&lt;&gt;"",K146&lt;&gt;""),TODAY()-MAX(T146,R146,P146,N146,K146),"—"))</f>
        <v/>
      </c>
      <c r="AA146" s="19">
        <f>IF(B146="","",IF(V146="11-결과등록완료","— 완료",IF(V146="01-미제출",IF(J146&lt;TODAY(),"계획서 제출 독촉 (OVERDUE)","계획서 제출 대기"),IF(V146="02-제출_미검토","설계자: 계획서 검토 착수",IF(V146="03-검토중","설계자: 승인 처리",IF(V146="04-검토중_보완","보완 요청 → 협력사 재제출 독촉",IF(V146="05-계획서승인","시험편 준비 현황 확인",IF(V146="06-BIW중단","BIW 생산팀 확인 → 일정 재수립",IF(V146="07-미인수","협력사 인수 독촉",IF(V146="08-단품준비완료","시험 일정 확인",IF(V146="09-시험준비중","시험 진행 모니터링",IF(V146="10-시험완료","결과 보고서 전산 등록 독촉",IF(V146="12-조건부승인","조건부 승인 여부 판단 → 관련부서 협의","—")))))))))))))</f>
        <v/>
      </c>
      <c r="AB146" s="15" t="n"/>
    </row>
    <row r="147">
      <c r="A147" s="5">
        <f>IF(B147="","",ROW()-4)</f>
        <v/>
      </c>
      <c r="B147" s="13" t="n"/>
      <c r="C147" s="14">
        <f>IF(B147="","",IFERROR(VLOOKUP(D147,'Reference Data 기준데이터'!$A$30:$D$41,2,FALSE),""))</f>
        <v/>
      </c>
      <c r="D147" s="15" t="n"/>
      <c r="E147" s="14">
        <f>IF(B147="","",IFERROR(VLOOKUP(D147,'Reference Data 기준데이터'!$A$30:$D$41,3,FALSE),""))</f>
        <v/>
      </c>
      <c r="F147" s="15" t="n"/>
      <c r="G147" s="14">
        <f>IF(B147="","",IFERROR(VLOOKUP(F147,'Reference Data 기준데이터'!$A$9:$E$26,2,FALSE),""))</f>
        <v/>
      </c>
      <c r="H147" s="14">
        <f>IF(B147="","",IFERROR(VLOOKUP(F147,'Reference Data 기준데이터'!$A$9:$E$26,5,FALSE),""))</f>
        <v/>
      </c>
      <c r="I147" s="16">
        <f>IF(B147="","",IFERROR(VLOOKUP(B147,'Reference Data 기준데이터'!$A$3:$J$5,3,FALSE),""))</f>
        <v/>
      </c>
      <c r="J147" s="16">
        <f>IF(B147="","",IFERROR(I147+VLOOKUP(B147,'Reference Data 기준데이터'!$A$3:$J$5,7,FALSE),""))</f>
        <v/>
      </c>
      <c r="K147" s="20" t="n"/>
      <c r="L147" s="13" t="n"/>
      <c r="M147" s="16">
        <f>IF(B147="","",IFERROR(I147+VLOOKUP(B147,'Reference Data 기준데이터'!$A$3:$J$5,8,FALSE),""))</f>
        <v/>
      </c>
      <c r="N147" s="20" t="n"/>
      <c r="O147" s="16">
        <f>IF(B147="","",IFERROR(IF(G147="차량장착",MAX(I147+VLOOKUP(B147,'Reference Data 기준데이터'!$A$3:$J$5,9,FALSE),VLOOKUP(B147,'Reference Data 기준데이터'!$A$3:$J$5,4,FALSE)),I147+VLOOKUP(B147,'Reference Data 기준데이터'!$A$3:$J$5,9,FALSE)),""))</f>
        <v/>
      </c>
      <c r="P147" s="20" t="n"/>
      <c r="Q147" s="16">
        <f>IF(B147="","",IFERROR(O147+VLOOKUP(F147,'Reference Data 기준데이터'!$A$9:$E$26,4,FALSE),""))</f>
        <v/>
      </c>
      <c r="R147" s="20" t="n"/>
      <c r="S147" s="16">
        <f>IF(B147="","",IFERROR(MIN(I147+VLOOKUP(B147,'Reference Data 기준데이터'!$A$3:$J$5,10,FALSE),VLOOKUP(B147,'Reference Data 기준데이터'!$A$3:$J$5,6,FALSE)),""))</f>
        <v/>
      </c>
      <c r="T147" s="20" t="n"/>
      <c r="U147" s="13" t="n"/>
      <c r="V147" s="17">
        <f>IF(B147="","",IF(U147&lt;&gt;"",U147,IF(AND(T147&lt;&gt;"",R147&lt;&gt;""),"11-결과등록완료",IF(AND(R147&lt;&gt;"",T147=""),"10-시험완료",IF(AND(P147&lt;&gt;"",R147=""),"09-시험준비중",IF(AND(N147&lt;&gt;"",P147=""),"08-단품준비완료",IF(L147="Approved","05-계획서승인",IF(L147="Revision Needed","04-검토중_보완",IF(L147="Under Review","03-검토중",IF(AND(K147&lt;&gt;"",L147=""),"02-제출_미검토","01-미제출"))))))))))</f>
        <v/>
      </c>
      <c r="W147" s="18">
        <f>IF(B147="","",IFS(V147="01-미제출",0,V147="02-제출_미검토",0.05,V147="03-검토중",0.1,V147="04-검토중_보완",0.05,V147="05-계획서승인",0.2,V147="06-BIW중단",0.15,V147="07-미인수",0.3,V147="08-단품준비완료",0.4,V147="09-시험준비중",0.55,V147="10-시험완료",0.85,V147="11-결과등록완료",1,V147="12-조건부승인",0.9,TRUE,0))</f>
        <v/>
      </c>
      <c r="X147" s="5">
        <f>IF(B147="","",IF(T147&lt;&gt;"","-",IF(S147="","N/A",S147-TODAY())))</f>
        <v/>
      </c>
      <c r="Y147" s="17">
        <f>IF(B147="","",IF(V147="11-결과등록완료","DONE",IF(U147="06-BIW중단","BLOCKED",IF(AND(K147="",J147&lt;TODAY()),"CRITICAL",IF(AND(ISNUMBER(X147),X147&lt;=0),"OVERDUE",IF(AND(ISNUMBER(X147),X147&lt;=14),"WARNING",IF(U147&lt;&gt;"","ACTION","ON TRACK")))))))</f>
        <v/>
      </c>
      <c r="Z147" s="5">
        <f>IF(B147="","",IF(OR(T147&lt;&gt;"",R147&lt;&gt;"",P147&lt;&gt;"",N147&lt;&gt;"",K147&lt;&gt;""),TODAY()-MAX(T147,R147,P147,N147,K147),"—"))</f>
        <v/>
      </c>
      <c r="AA147" s="19">
        <f>IF(B147="","",IF(V147="11-결과등록완료","— 완료",IF(V147="01-미제출",IF(J147&lt;TODAY(),"계획서 제출 독촉 (OVERDUE)","계획서 제출 대기"),IF(V147="02-제출_미검토","설계자: 계획서 검토 착수",IF(V147="03-검토중","설계자: 승인 처리",IF(V147="04-검토중_보완","보완 요청 → 협력사 재제출 독촉",IF(V147="05-계획서승인","시험편 준비 현황 확인",IF(V147="06-BIW중단","BIW 생산팀 확인 → 일정 재수립",IF(V147="07-미인수","협력사 인수 독촉",IF(V147="08-단품준비완료","시험 일정 확인",IF(V147="09-시험준비중","시험 진행 모니터링",IF(V147="10-시험완료","결과 보고서 전산 등록 독촉",IF(V147="12-조건부승인","조건부 승인 여부 판단 → 관련부서 협의","—")))))))))))))</f>
        <v/>
      </c>
      <c r="AB147" s="15" t="n"/>
    </row>
    <row r="148">
      <c r="A148" s="5">
        <f>IF(B148="","",ROW()-4)</f>
        <v/>
      </c>
      <c r="B148" s="13" t="n"/>
      <c r="C148" s="14">
        <f>IF(B148="","",IFERROR(VLOOKUP(D148,'Reference Data 기준데이터'!$A$30:$D$41,2,FALSE),""))</f>
        <v/>
      </c>
      <c r="D148" s="15" t="n"/>
      <c r="E148" s="14">
        <f>IF(B148="","",IFERROR(VLOOKUP(D148,'Reference Data 기준데이터'!$A$30:$D$41,3,FALSE),""))</f>
        <v/>
      </c>
      <c r="F148" s="15" t="n"/>
      <c r="G148" s="14">
        <f>IF(B148="","",IFERROR(VLOOKUP(F148,'Reference Data 기준데이터'!$A$9:$E$26,2,FALSE),""))</f>
        <v/>
      </c>
      <c r="H148" s="14">
        <f>IF(B148="","",IFERROR(VLOOKUP(F148,'Reference Data 기준데이터'!$A$9:$E$26,5,FALSE),""))</f>
        <v/>
      </c>
      <c r="I148" s="16">
        <f>IF(B148="","",IFERROR(VLOOKUP(B148,'Reference Data 기준데이터'!$A$3:$J$5,3,FALSE),""))</f>
        <v/>
      </c>
      <c r="J148" s="16">
        <f>IF(B148="","",IFERROR(I148+VLOOKUP(B148,'Reference Data 기준데이터'!$A$3:$J$5,7,FALSE),""))</f>
        <v/>
      </c>
      <c r="K148" s="20" t="n"/>
      <c r="L148" s="13" t="n"/>
      <c r="M148" s="16">
        <f>IF(B148="","",IFERROR(I148+VLOOKUP(B148,'Reference Data 기준데이터'!$A$3:$J$5,8,FALSE),""))</f>
        <v/>
      </c>
      <c r="N148" s="20" t="n"/>
      <c r="O148" s="16">
        <f>IF(B148="","",IFERROR(IF(G148="차량장착",MAX(I148+VLOOKUP(B148,'Reference Data 기준데이터'!$A$3:$J$5,9,FALSE),VLOOKUP(B148,'Reference Data 기준데이터'!$A$3:$J$5,4,FALSE)),I148+VLOOKUP(B148,'Reference Data 기준데이터'!$A$3:$J$5,9,FALSE)),""))</f>
        <v/>
      </c>
      <c r="P148" s="20" t="n"/>
      <c r="Q148" s="16">
        <f>IF(B148="","",IFERROR(O148+VLOOKUP(F148,'Reference Data 기준데이터'!$A$9:$E$26,4,FALSE),""))</f>
        <v/>
      </c>
      <c r="R148" s="20" t="n"/>
      <c r="S148" s="16">
        <f>IF(B148="","",IFERROR(MIN(I148+VLOOKUP(B148,'Reference Data 기준데이터'!$A$3:$J$5,10,FALSE),VLOOKUP(B148,'Reference Data 기준데이터'!$A$3:$J$5,6,FALSE)),""))</f>
        <v/>
      </c>
      <c r="T148" s="20" t="n"/>
      <c r="U148" s="13" t="n"/>
      <c r="V148" s="17">
        <f>IF(B148="","",IF(U148&lt;&gt;"",U148,IF(AND(T148&lt;&gt;"",R148&lt;&gt;""),"11-결과등록완료",IF(AND(R148&lt;&gt;"",T148=""),"10-시험완료",IF(AND(P148&lt;&gt;"",R148=""),"09-시험준비중",IF(AND(N148&lt;&gt;"",P148=""),"08-단품준비완료",IF(L148="Approved","05-계획서승인",IF(L148="Revision Needed","04-검토중_보완",IF(L148="Under Review","03-검토중",IF(AND(K148&lt;&gt;"",L148=""),"02-제출_미검토","01-미제출"))))))))))</f>
        <v/>
      </c>
      <c r="W148" s="18">
        <f>IF(B148="","",IFS(V148="01-미제출",0,V148="02-제출_미검토",0.05,V148="03-검토중",0.1,V148="04-검토중_보완",0.05,V148="05-계획서승인",0.2,V148="06-BIW중단",0.15,V148="07-미인수",0.3,V148="08-단품준비완료",0.4,V148="09-시험준비중",0.55,V148="10-시험완료",0.85,V148="11-결과등록완료",1,V148="12-조건부승인",0.9,TRUE,0))</f>
        <v/>
      </c>
      <c r="X148" s="5">
        <f>IF(B148="","",IF(T148&lt;&gt;"","-",IF(S148="","N/A",S148-TODAY())))</f>
        <v/>
      </c>
      <c r="Y148" s="17">
        <f>IF(B148="","",IF(V148="11-결과등록완료","DONE",IF(U148="06-BIW중단","BLOCKED",IF(AND(K148="",J148&lt;TODAY()),"CRITICAL",IF(AND(ISNUMBER(X148),X148&lt;=0),"OVERDUE",IF(AND(ISNUMBER(X148),X148&lt;=14),"WARNING",IF(U148&lt;&gt;"","ACTION","ON TRACK")))))))</f>
        <v/>
      </c>
      <c r="Z148" s="5">
        <f>IF(B148="","",IF(OR(T148&lt;&gt;"",R148&lt;&gt;"",P148&lt;&gt;"",N148&lt;&gt;"",K148&lt;&gt;""),TODAY()-MAX(T148,R148,P148,N148,K148),"—"))</f>
        <v/>
      </c>
      <c r="AA148" s="19">
        <f>IF(B148="","",IF(V148="11-결과등록완료","— 완료",IF(V148="01-미제출",IF(J148&lt;TODAY(),"계획서 제출 독촉 (OVERDUE)","계획서 제출 대기"),IF(V148="02-제출_미검토","설계자: 계획서 검토 착수",IF(V148="03-검토중","설계자: 승인 처리",IF(V148="04-검토중_보완","보완 요청 → 협력사 재제출 독촉",IF(V148="05-계획서승인","시험편 준비 현황 확인",IF(V148="06-BIW중단","BIW 생산팀 확인 → 일정 재수립",IF(V148="07-미인수","협력사 인수 독촉",IF(V148="08-단품준비완료","시험 일정 확인",IF(V148="09-시험준비중","시험 진행 모니터링",IF(V148="10-시험완료","결과 보고서 전산 등록 독촉",IF(V148="12-조건부승인","조건부 승인 여부 판단 → 관련부서 협의","—")))))))))))))</f>
        <v/>
      </c>
      <c r="AB148" s="15" t="n"/>
    </row>
    <row r="149">
      <c r="A149" s="5">
        <f>IF(B149="","",ROW()-4)</f>
        <v/>
      </c>
      <c r="B149" s="13" t="n"/>
      <c r="C149" s="14">
        <f>IF(B149="","",IFERROR(VLOOKUP(D149,'Reference Data 기준데이터'!$A$30:$D$41,2,FALSE),""))</f>
        <v/>
      </c>
      <c r="D149" s="15" t="n"/>
      <c r="E149" s="14">
        <f>IF(B149="","",IFERROR(VLOOKUP(D149,'Reference Data 기준데이터'!$A$30:$D$41,3,FALSE),""))</f>
        <v/>
      </c>
      <c r="F149" s="15" t="n"/>
      <c r="G149" s="14">
        <f>IF(B149="","",IFERROR(VLOOKUP(F149,'Reference Data 기준데이터'!$A$9:$E$26,2,FALSE),""))</f>
        <v/>
      </c>
      <c r="H149" s="14">
        <f>IF(B149="","",IFERROR(VLOOKUP(F149,'Reference Data 기준데이터'!$A$9:$E$26,5,FALSE),""))</f>
        <v/>
      </c>
      <c r="I149" s="16">
        <f>IF(B149="","",IFERROR(VLOOKUP(B149,'Reference Data 기준데이터'!$A$3:$J$5,3,FALSE),""))</f>
        <v/>
      </c>
      <c r="J149" s="16">
        <f>IF(B149="","",IFERROR(I149+VLOOKUP(B149,'Reference Data 기준데이터'!$A$3:$J$5,7,FALSE),""))</f>
        <v/>
      </c>
      <c r="K149" s="20" t="n"/>
      <c r="L149" s="13" t="n"/>
      <c r="M149" s="16">
        <f>IF(B149="","",IFERROR(I149+VLOOKUP(B149,'Reference Data 기준데이터'!$A$3:$J$5,8,FALSE),""))</f>
        <v/>
      </c>
      <c r="N149" s="20" t="n"/>
      <c r="O149" s="16">
        <f>IF(B149="","",IFERROR(IF(G149="차량장착",MAX(I149+VLOOKUP(B149,'Reference Data 기준데이터'!$A$3:$J$5,9,FALSE),VLOOKUP(B149,'Reference Data 기준데이터'!$A$3:$J$5,4,FALSE)),I149+VLOOKUP(B149,'Reference Data 기준데이터'!$A$3:$J$5,9,FALSE)),""))</f>
        <v/>
      </c>
      <c r="P149" s="20" t="n"/>
      <c r="Q149" s="16">
        <f>IF(B149="","",IFERROR(O149+VLOOKUP(F149,'Reference Data 기준데이터'!$A$9:$E$26,4,FALSE),""))</f>
        <v/>
      </c>
      <c r="R149" s="20" t="n"/>
      <c r="S149" s="16">
        <f>IF(B149="","",IFERROR(MIN(I149+VLOOKUP(B149,'Reference Data 기준데이터'!$A$3:$J$5,10,FALSE),VLOOKUP(B149,'Reference Data 기준데이터'!$A$3:$J$5,6,FALSE)),""))</f>
        <v/>
      </c>
      <c r="T149" s="20" t="n"/>
      <c r="U149" s="13" t="n"/>
      <c r="V149" s="17">
        <f>IF(B149="","",IF(U149&lt;&gt;"",U149,IF(AND(T149&lt;&gt;"",R149&lt;&gt;""),"11-결과등록완료",IF(AND(R149&lt;&gt;"",T149=""),"10-시험완료",IF(AND(P149&lt;&gt;"",R149=""),"09-시험준비중",IF(AND(N149&lt;&gt;"",P149=""),"08-단품준비완료",IF(L149="Approved","05-계획서승인",IF(L149="Revision Needed","04-검토중_보완",IF(L149="Under Review","03-검토중",IF(AND(K149&lt;&gt;"",L149=""),"02-제출_미검토","01-미제출"))))))))))</f>
        <v/>
      </c>
      <c r="W149" s="18">
        <f>IF(B149="","",IFS(V149="01-미제출",0,V149="02-제출_미검토",0.05,V149="03-검토중",0.1,V149="04-검토중_보완",0.05,V149="05-계획서승인",0.2,V149="06-BIW중단",0.15,V149="07-미인수",0.3,V149="08-단품준비완료",0.4,V149="09-시험준비중",0.55,V149="10-시험완료",0.85,V149="11-결과등록완료",1,V149="12-조건부승인",0.9,TRUE,0))</f>
        <v/>
      </c>
      <c r="X149" s="5">
        <f>IF(B149="","",IF(T149&lt;&gt;"","-",IF(S149="","N/A",S149-TODAY())))</f>
        <v/>
      </c>
      <c r="Y149" s="17">
        <f>IF(B149="","",IF(V149="11-결과등록완료","DONE",IF(U149="06-BIW중단","BLOCKED",IF(AND(K149="",J149&lt;TODAY()),"CRITICAL",IF(AND(ISNUMBER(X149),X149&lt;=0),"OVERDUE",IF(AND(ISNUMBER(X149),X149&lt;=14),"WARNING",IF(U149&lt;&gt;"","ACTION","ON TRACK")))))))</f>
        <v/>
      </c>
      <c r="Z149" s="5">
        <f>IF(B149="","",IF(OR(T149&lt;&gt;"",R149&lt;&gt;"",P149&lt;&gt;"",N149&lt;&gt;"",K149&lt;&gt;""),TODAY()-MAX(T149,R149,P149,N149,K149),"—"))</f>
        <v/>
      </c>
      <c r="AA149" s="19">
        <f>IF(B149="","",IF(V149="11-결과등록완료","— 완료",IF(V149="01-미제출",IF(J149&lt;TODAY(),"계획서 제출 독촉 (OVERDUE)","계획서 제출 대기"),IF(V149="02-제출_미검토","설계자: 계획서 검토 착수",IF(V149="03-검토중","설계자: 승인 처리",IF(V149="04-검토중_보완","보완 요청 → 협력사 재제출 독촉",IF(V149="05-계획서승인","시험편 준비 현황 확인",IF(V149="06-BIW중단","BIW 생산팀 확인 → 일정 재수립",IF(V149="07-미인수","협력사 인수 독촉",IF(V149="08-단품준비완료","시험 일정 확인",IF(V149="09-시험준비중","시험 진행 모니터링",IF(V149="10-시험완료","결과 보고서 전산 등록 독촉",IF(V149="12-조건부승인","조건부 승인 여부 판단 → 관련부서 협의","—")))))))))))))</f>
        <v/>
      </c>
      <c r="AB149" s="15" t="n"/>
    </row>
    <row r="150">
      <c r="A150" s="5">
        <f>IF(B150="","",ROW()-4)</f>
        <v/>
      </c>
      <c r="B150" s="13" t="n"/>
      <c r="C150" s="14">
        <f>IF(B150="","",IFERROR(VLOOKUP(D150,'Reference Data 기준데이터'!$A$30:$D$41,2,FALSE),""))</f>
        <v/>
      </c>
      <c r="D150" s="15" t="n"/>
      <c r="E150" s="14">
        <f>IF(B150="","",IFERROR(VLOOKUP(D150,'Reference Data 기준데이터'!$A$30:$D$41,3,FALSE),""))</f>
        <v/>
      </c>
      <c r="F150" s="15" t="n"/>
      <c r="G150" s="14">
        <f>IF(B150="","",IFERROR(VLOOKUP(F150,'Reference Data 기준데이터'!$A$9:$E$26,2,FALSE),""))</f>
        <v/>
      </c>
      <c r="H150" s="14">
        <f>IF(B150="","",IFERROR(VLOOKUP(F150,'Reference Data 기준데이터'!$A$9:$E$26,5,FALSE),""))</f>
        <v/>
      </c>
      <c r="I150" s="16">
        <f>IF(B150="","",IFERROR(VLOOKUP(B150,'Reference Data 기준데이터'!$A$3:$J$5,3,FALSE),""))</f>
        <v/>
      </c>
      <c r="J150" s="16">
        <f>IF(B150="","",IFERROR(I150+VLOOKUP(B150,'Reference Data 기준데이터'!$A$3:$J$5,7,FALSE),""))</f>
        <v/>
      </c>
      <c r="K150" s="20" t="n"/>
      <c r="L150" s="13" t="n"/>
      <c r="M150" s="16">
        <f>IF(B150="","",IFERROR(I150+VLOOKUP(B150,'Reference Data 기준데이터'!$A$3:$J$5,8,FALSE),""))</f>
        <v/>
      </c>
      <c r="N150" s="20" t="n"/>
      <c r="O150" s="16">
        <f>IF(B150="","",IFERROR(IF(G150="차량장착",MAX(I150+VLOOKUP(B150,'Reference Data 기준데이터'!$A$3:$J$5,9,FALSE),VLOOKUP(B150,'Reference Data 기준데이터'!$A$3:$J$5,4,FALSE)),I150+VLOOKUP(B150,'Reference Data 기준데이터'!$A$3:$J$5,9,FALSE)),""))</f>
        <v/>
      </c>
      <c r="P150" s="20" t="n"/>
      <c r="Q150" s="16">
        <f>IF(B150="","",IFERROR(O150+VLOOKUP(F150,'Reference Data 기준데이터'!$A$9:$E$26,4,FALSE),""))</f>
        <v/>
      </c>
      <c r="R150" s="20" t="n"/>
      <c r="S150" s="16">
        <f>IF(B150="","",IFERROR(MIN(I150+VLOOKUP(B150,'Reference Data 기준데이터'!$A$3:$J$5,10,FALSE),VLOOKUP(B150,'Reference Data 기준데이터'!$A$3:$J$5,6,FALSE)),""))</f>
        <v/>
      </c>
      <c r="T150" s="20" t="n"/>
      <c r="U150" s="13" t="n"/>
      <c r="V150" s="17">
        <f>IF(B150="","",IF(U150&lt;&gt;"",U150,IF(AND(T150&lt;&gt;"",R150&lt;&gt;""),"11-결과등록완료",IF(AND(R150&lt;&gt;"",T150=""),"10-시험완료",IF(AND(P150&lt;&gt;"",R150=""),"09-시험준비중",IF(AND(N150&lt;&gt;"",P150=""),"08-단품준비완료",IF(L150="Approved","05-계획서승인",IF(L150="Revision Needed","04-검토중_보완",IF(L150="Under Review","03-검토중",IF(AND(K150&lt;&gt;"",L150=""),"02-제출_미검토","01-미제출"))))))))))</f>
        <v/>
      </c>
      <c r="W150" s="18">
        <f>IF(B150="","",IFS(V150="01-미제출",0,V150="02-제출_미검토",0.05,V150="03-검토중",0.1,V150="04-검토중_보완",0.05,V150="05-계획서승인",0.2,V150="06-BIW중단",0.15,V150="07-미인수",0.3,V150="08-단품준비완료",0.4,V150="09-시험준비중",0.55,V150="10-시험완료",0.85,V150="11-결과등록완료",1,V150="12-조건부승인",0.9,TRUE,0))</f>
        <v/>
      </c>
      <c r="X150" s="5">
        <f>IF(B150="","",IF(T150&lt;&gt;"","-",IF(S150="","N/A",S150-TODAY())))</f>
        <v/>
      </c>
      <c r="Y150" s="17">
        <f>IF(B150="","",IF(V150="11-결과등록완료","DONE",IF(U150="06-BIW중단","BLOCKED",IF(AND(K150="",J150&lt;TODAY()),"CRITICAL",IF(AND(ISNUMBER(X150),X150&lt;=0),"OVERDUE",IF(AND(ISNUMBER(X150),X150&lt;=14),"WARNING",IF(U150&lt;&gt;"","ACTION","ON TRACK")))))))</f>
        <v/>
      </c>
      <c r="Z150" s="5">
        <f>IF(B150="","",IF(OR(T150&lt;&gt;"",R150&lt;&gt;"",P150&lt;&gt;"",N150&lt;&gt;"",K150&lt;&gt;""),TODAY()-MAX(T150,R150,P150,N150,K150),"—"))</f>
        <v/>
      </c>
      <c r="AA150" s="19">
        <f>IF(B150="","",IF(V150="11-결과등록완료","— 완료",IF(V150="01-미제출",IF(J150&lt;TODAY(),"계획서 제출 독촉 (OVERDUE)","계획서 제출 대기"),IF(V150="02-제출_미검토","설계자: 계획서 검토 착수",IF(V150="03-검토중","설계자: 승인 처리",IF(V150="04-검토중_보완","보완 요청 → 협력사 재제출 독촉",IF(V150="05-계획서승인","시험편 준비 현황 확인",IF(V150="06-BIW중단","BIW 생산팀 확인 → 일정 재수립",IF(V150="07-미인수","협력사 인수 독촉",IF(V150="08-단품준비완료","시험 일정 확인",IF(V150="09-시험준비중","시험 진행 모니터링",IF(V150="10-시험완료","결과 보고서 전산 등록 독촉",IF(V150="12-조건부승인","조건부 승인 여부 판단 → 관련부서 협의","—")))))))))))))</f>
        <v/>
      </c>
      <c r="AB150" s="15" t="n"/>
    </row>
    <row r="151">
      <c r="A151" s="5">
        <f>IF(B151="","",ROW()-4)</f>
        <v/>
      </c>
      <c r="B151" s="13" t="n"/>
      <c r="C151" s="14">
        <f>IF(B151="","",IFERROR(VLOOKUP(D151,'Reference Data 기준데이터'!$A$30:$D$41,2,FALSE),""))</f>
        <v/>
      </c>
      <c r="D151" s="15" t="n"/>
      <c r="E151" s="14">
        <f>IF(B151="","",IFERROR(VLOOKUP(D151,'Reference Data 기준데이터'!$A$30:$D$41,3,FALSE),""))</f>
        <v/>
      </c>
      <c r="F151" s="15" t="n"/>
      <c r="G151" s="14">
        <f>IF(B151="","",IFERROR(VLOOKUP(F151,'Reference Data 기준데이터'!$A$9:$E$26,2,FALSE),""))</f>
        <v/>
      </c>
      <c r="H151" s="14">
        <f>IF(B151="","",IFERROR(VLOOKUP(F151,'Reference Data 기준데이터'!$A$9:$E$26,5,FALSE),""))</f>
        <v/>
      </c>
      <c r="I151" s="16">
        <f>IF(B151="","",IFERROR(VLOOKUP(B151,'Reference Data 기준데이터'!$A$3:$J$5,3,FALSE),""))</f>
        <v/>
      </c>
      <c r="J151" s="16">
        <f>IF(B151="","",IFERROR(I151+VLOOKUP(B151,'Reference Data 기준데이터'!$A$3:$J$5,7,FALSE),""))</f>
        <v/>
      </c>
      <c r="K151" s="20" t="n"/>
      <c r="L151" s="13" t="n"/>
      <c r="M151" s="16">
        <f>IF(B151="","",IFERROR(I151+VLOOKUP(B151,'Reference Data 기준데이터'!$A$3:$J$5,8,FALSE),""))</f>
        <v/>
      </c>
      <c r="N151" s="20" t="n"/>
      <c r="O151" s="16">
        <f>IF(B151="","",IFERROR(IF(G151="차량장착",MAX(I151+VLOOKUP(B151,'Reference Data 기준데이터'!$A$3:$J$5,9,FALSE),VLOOKUP(B151,'Reference Data 기준데이터'!$A$3:$J$5,4,FALSE)),I151+VLOOKUP(B151,'Reference Data 기준데이터'!$A$3:$J$5,9,FALSE)),""))</f>
        <v/>
      </c>
      <c r="P151" s="20" t="n"/>
      <c r="Q151" s="16">
        <f>IF(B151="","",IFERROR(O151+VLOOKUP(F151,'Reference Data 기준데이터'!$A$9:$E$26,4,FALSE),""))</f>
        <v/>
      </c>
      <c r="R151" s="20" t="n"/>
      <c r="S151" s="16">
        <f>IF(B151="","",IFERROR(MIN(I151+VLOOKUP(B151,'Reference Data 기준데이터'!$A$3:$J$5,10,FALSE),VLOOKUP(B151,'Reference Data 기준데이터'!$A$3:$J$5,6,FALSE)),""))</f>
        <v/>
      </c>
      <c r="T151" s="20" t="n"/>
      <c r="U151" s="13" t="n"/>
      <c r="V151" s="17">
        <f>IF(B151="","",IF(U151&lt;&gt;"",U151,IF(AND(T151&lt;&gt;"",R151&lt;&gt;""),"11-결과등록완료",IF(AND(R151&lt;&gt;"",T151=""),"10-시험완료",IF(AND(P151&lt;&gt;"",R151=""),"09-시험준비중",IF(AND(N151&lt;&gt;"",P151=""),"08-단품준비완료",IF(L151="Approved","05-계획서승인",IF(L151="Revision Needed","04-검토중_보완",IF(L151="Under Review","03-검토중",IF(AND(K151&lt;&gt;"",L151=""),"02-제출_미검토","01-미제출"))))))))))</f>
        <v/>
      </c>
      <c r="W151" s="18">
        <f>IF(B151="","",IFS(V151="01-미제출",0,V151="02-제출_미검토",0.05,V151="03-검토중",0.1,V151="04-검토중_보완",0.05,V151="05-계획서승인",0.2,V151="06-BIW중단",0.15,V151="07-미인수",0.3,V151="08-단품준비완료",0.4,V151="09-시험준비중",0.55,V151="10-시험완료",0.85,V151="11-결과등록완료",1,V151="12-조건부승인",0.9,TRUE,0))</f>
        <v/>
      </c>
      <c r="X151" s="5">
        <f>IF(B151="","",IF(T151&lt;&gt;"","-",IF(S151="","N/A",S151-TODAY())))</f>
        <v/>
      </c>
      <c r="Y151" s="17">
        <f>IF(B151="","",IF(V151="11-결과등록완료","DONE",IF(U151="06-BIW중단","BLOCKED",IF(AND(K151="",J151&lt;TODAY()),"CRITICAL",IF(AND(ISNUMBER(X151),X151&lt;=0),"OVERDUE",IF(AND(ISNUMBER(X151),X151&lt;=14),"WARNING",IF(U151&lt;&gt;"","ACTION","ON TRACK")))))))</f>
        <v/>
      </c>
      <c r="Z151" s="5">
        <f>IF(B151="","",IF(OR(T151&lt;&gt;"",R151&lt;&gt;"",P151&lt;&gt;"",N151&lt;&gt;"",K151&lt;&gt;""),TODAY()-MAX(T151,R151,P151,N151,K151),"—"))</f>
        <v/>
      </c>
      <c r="AA151" s="19">
        <f>IF(B151="","",IF(V151="11-결과등록완료","— 완료",IF(V151="01-미제출",IF(J151&lt;TODAY(),"계획서 제출 독촉 (OVERDUE)","계획서 제출 대기"),IF(V151="02-제출_미검토","설계자: 계획서 검토 착수",IF(V151="03-검토중","설계자: 승인 처리",IF(V151="04-검토중_보완","보완 요청 → 협력사 재제출 독촉",IF(V151="05-계획서승인","시험편 준비 현황 확인",IF(V151="06-BIW중단","BIW 생산팀 확인 → 일정 재수립",IF(V151="07-미인수","협력사 인수 독촉",IF(V151="08-단품준비완료","시험 일정 확인",IF(V151="09-시험준비중","시험 진행 모니터링",IF(V151="10-시험완료","결과 보고서 전산 등록 독촉",IF(V151="12-조건부승인","조건부 승인 여부 판단 → 관련부서 협의","—")))))))))))))</f>
        <v/>
      </c>
      <c r="AB151" s="15" t="n"/>
    </row>
    <row r="152">
      <c r="A152" s="5">
        <f>IF(B152="","",ROW()-4)</f>
        <v/>
      </c>
      <c r="B152" s="13" t="n"/>
      <c r="C152" s="14">
        <f>IF(B152="","",IFERROR(VLOOKUP(D152,'Reference Data 기준데이터'!$A$30:$D$41,2,FALSE),""))</f>
        <v/>
      </c>
      <c r="D152" s="15" t="n"/>
      <c r="E152" s="14">
        <f>IF(B152="","",IFERROR(VLOOKUP(D152,'Reference Data 기준데이터'!$A$30:$D$41,3,FALSE),""))</f>
        <v/>
      </c>
      <c r="F152" s="15" t="n"/>
      <c r="G152" s="14">
        <f>IF(B152="","",IFERROR(VLOOKUP(F152,'Reference Data 기준데이터'!$A$9:$E$26,2,FALSE),""))</f>
        <v/>
      </c>
      <c r="H152" s="14">
        <f>IF(B152="","",IFERROR(VLOOKUP(F152,'Reference Data 기준데이터'!$A$9:$E$26,5,FALSE),""))</f>
        <v/>
      </c>
      <c r="I152" s="16">
        <f>IF(B152="","",IFERROR(VLOOKUP(B152,'Reference Data 기준데이터'!$A$3:$J$5,3,FALSE),""))</f>
        <v/>
      </c>
      <c r="J152" s="16">
        <f>IF(B152="","",IFERROR(I152+VLOOKUP(B152,'Reference Data 기준데이터'!$A$3:$J$5,7,FALSE),""))</f>
        <v/>
      </c>
      <c r="K152" s="20" t="n"/>
      <c r="L152" s="13" t="n"/>
      <c r="M152" s="16">
        <f>IF(B152="","",IFERROR(I152+VLOOKUP(B152,'Reference Data 기준데이터'!$A$3:$J$5,8,FALSE),""))</f>
        <v/>
      </c>
      <c r="N152" s="20" t="n"/>
      <c r="O152" s="16">
        <f>IF(B152="","",IFERROR(IF(G152="차량장착",MAX(I152+VLOOKUP(B152,'Reference Data 기준데이터'!$A$3:$J$5,9,FALSE),VLOOKUP(B152,'Reference Data 기준데이터'!$A$3:$J$5,4,FALSE)),I152+VLOOKUP(B152,'Reference Data 기준데이터'!$A$3:$J$5,9,FALSE)),""))</f>
        <v/>
      </c>
      <c r="P152" s="20" t="n"/>
      <c r="Q152" s="16">
        <f>IF(B152="","",IFERROR(O152+VLOOKUP(F152,'Reference Data 기준데이터'!$A$9:$E$26,4,FALSE),""))</f>
        <v/>
      </c>
      <c r="R152" s="20" t="n"/>
      <c r="S152" s="16">
        <f>IF(B152="","",IFERROR(MIN(I152+VLOOKUP(B152,'Reference Data 기준데이터'!$A$3:$J$5,10,FALSE),VLOOKUP(B152,'Reference Data 기준데이터'!$A$3:$J$5,6,FALSE)),""))</f>
        <v/>
      </c>
      <c r="T152" s="20" t="n"/>
      <c r="U152" s="13" t="n"/>
      <c r="V152" s="17">
        <f>IF(B152="","",IF(U152&lt;&gt;"",U152,IF(AND(T152&lt;&gt;"",R152&lt;&gt;""),"11-결과등록완료",IF(AND(R152&lt;&gt;"",T152=""),"10-시험완료",IF(AND(P152&lt;&gt;"",R152=""),"09-시험준비중",IF(AND(N152&lt;&gt;"",P152=""),"08-단품준비완료",IF(L152="Approved","05-계획서승인",IF(L152="Revision Needed","04-검토중_보완",IF(L152="Under Review","03-검토중",IF(AND(K152&lt;&gt;"",L152=""),"02-제출_미검토","01-미제출"))))))))))</f>
        <v/>
      </c>
      <c r="W152" s="18">
        <f>IF(B152="","",IFS(V152="01-미제출",0,V152="02-제출_미검토",0.05,V152="03-검토중",0.1,V152="04-검토중_보완",0.05,V152="05-계획서승인",0.2,V152="06-BIW중단",0.15,V152="07-미인수",0.3,V152="08-단품준비완료",0.4,V152="09-시험준비중",0.55,V152="10-시험완료",0.85,V152="11-결과등록완료",1,V152="12-조건부승인",0.9,TRUE,0))</f>
        <v/>
      </c>
      <c r="X152" s="5">
        <f>IF(B152="","",IF(T152&lt;&gt;"","-",IF(S152="","N/A",S152-TODAY())))</f>
        <v/>
      </c>
      <c r="Y152" s="17">
        <f>IF(B152="","",IF(V152="11-결과등록완료","DONE",IF(U152="06-BIW중단","BLOCKED",IF(AND(K152="",J152&lt;TODAY()),"CRITICAL",IF(AND(ISNUMBER(X152),X152&lt;=0),"OVERDUE",IF(AND(ISNUMBER(X152),X152&lt;=14),"WARNING",IF(U152&lt;&gt;"","ACTION","ON TRACK")))))))</f>
        <v/>
      </c>
      <c r="Z152" s="5">
        <f>IF(B152="","",IF(OR(T152&lt;&gt;"",R152&lt;&gt;"",P152&lt;&gt;"",N152&lt;&gt;"",K152&lt;&gt;""),TODAY()-MAX(T152,R152,P152,N152,K152),"—"))</f>
        <v/>
      </c>
      <c r="AA152" s="19">
        <f>IF(B152="","",IF(V152="11-결과등록완료","— 완료",IF(V152="01-미제출",IF(J152&lt;TODAY(),"계획서 제출 독촉 (OVERDUE)","계획서 제출 대기"),IF(V152="02-제출_미검토","설계자: 계획서 검토 착수",IF(V152="03-검토중","설계자: 승인 처리",IF(V152="04-검토중_보완","보완 요청 → 협력사 재제출 독촉",IF(V152="05-계획서승인","시험편 준비 현황 확인",IF(V152="06-BIW중단","BIW 생산팀 확인 → 일정 재수립",IF(V152="07-미인수","협력사 인수 독촉",IF(V152="08-단품준비완료","시험 일정 확인",IF(V152="09-시험준비중","시험 진행 모니터링",IF(V152="10-시험완료","결과 보고서 전산 등록 독촉",IF(V152="12-조건부승인","조건부 승인 여부 판단 → 관련부서 협의","—")))))))))))))</f>
        <v/>
      </c>
      <c r="AB152" s="15" t="n"/>
    </row>
    <row r="153">
      <c r="A153" s="5">
        <f>IF(B153="","",ROW()-4)</f>
        <v/>
      </c>
      <c r="B153" s="13" t="n"/>
      <c r="C153" s="14">
        <f>IF(B153="","",IFERROR(VLOOKUP(D153,'Reference Data 기준데이터'!$A$30:$D$41,2,FALSE),""))</f>
        <v/>
      </c>
      <c r="D153" s="15" t="n"/>
      <c r="E153" s="14">
        <f>IF(B153="","",IFERROR(VLOOKUP(D153,'Reference Data 기준데이터'!$A$30:$D$41,3,FALSE),""))</f>
        <v/>
      </c>
      <c r="F153" s="15" t="n"/>
      <c r="G153" s="14">
        <f>IF(B153="","",IFERROR(VLOOKUP(F153,'Reference Data 기준데이터'!$A$9:$E$26,2,FALSE),""))</f>
        <v/>
      </c>
      <c r="H153" s="14">
        <f>IF(B153="","",IFERROR(VLOOKUP(F153,'Reference Data 기준데이터'!$A$9:$E$26,5,FALSE),""))</f>
        <v/>
      </c>
      <c r="I153" s="16">
        <f>IF(B153="","",IFERROR(VLOOKUP(B153,'Reference Data 기준데이터'!$A$3:$J$5,3,FALSE),""))</f>
        <v/>
      </c>
      <c r="J153" s="16">
        <f>IF(B153="","",IFERROR(I153+VLOOKUP(B153,'Reference Data 기준데이터'!$A$3:$J$5,7,FALSE),""))</f>
        <v/>
      </c>
      <c r="K153" s="20" t="n"/>
      <c r="L153" s="13" t="n"/>
      <c r="M153" s="16">
        <f>IF(B153="","",IFERROR(I153+VLOOKUP(B153,'Reference Data 기준데이터'!$A$3:$J$5,8,FALSE),""))</f>
        <v/>
      </c>
      <c r="N153" s="20" t="n"/>
      <c r="O153" s="16">
        <f>IF(B153="","",IFERROR(IF(G153="차량장착",MAX(I153+VLOOKUP(B153,'Reference Data 기준데이터'!$A$3:$J$5,9,FALSE),VLOOKUP(B153,'Reference Data 기준데이터'!$A$3:$J$5,4,FALSE)),I153+VLOOKUP(B153,'Reference Data 기준데이터'!$A$3:$J$5,9,FALSE)),""))</f>
        <v/>
      </c>
      <c r="P153" s="20" t="n"/>
      <c r="Q153" s="16">
        <f>IF(B153="","",IFERROR(O153+VLOOKUP(F153,'Reference Data 기준데이터'!$A$9:$E$26,4,FALSE),""))</f>
        <v/>
      </c>
      <c r="R153" s="20" t="n"/>
      <c r="S153" s="16">
        <f>IF(B153="","",IFERROR(MIN(I153+VLOOKUP(B153,'Reference Data 기준데이터'!$A$3:$J$5,10,FALSE),VLOOKUP(B153,'Reference Data 기준데이터'!$A$3:$J$5,6,FALSE)),""))</f>
        <v/>
      </c>
      <c r="T153" s="20" t="n"/>
      <c r="U153" s="13" t="n"/>
      <c r="V153" s="17">
        <f>IF(B153="","",IF(U153&lt;&gt;"",U153,IF(AND(T153&lt;&gt;"",R153&lt;&gt;""),"11-결과등록완료",IF(AND(R153&lt;&gt;"",T153=""),"10-시험완료",IF(AND(P153&lt;&gt;"",R153=""),"09-시험준비중",IF(AND(N153&lt;&gt;"",P153=""),"08-단품준비완료",IF(L153="Approved","05-계획서승인",IF(L153="Revision Needed","04-검토중_보완",IF(L153="Under Review","03-검토중",IF(AND(K153&lt;&gt;"",L153=""),"02-제출_미검토","01-미제출"))))))))))</f>
        <v/>
      </c>
      <c r="W153" s="18">
        <f>IF(B153="","",IFS(V153="01-미제출",0,V153="02-제출_미검토",0.05,V153="03-검토중",0.1,V153="04-검토중_보완",0.05,V153="05-계획서승인",0.2,V153="06-BIW중단",0.15,V153="07-미인수",0.3,V153="08-단품준비완료",0.4,V153="09-시험준비중",0.55,V153="10-시험완료",0.85,V153="11-결과등록완료",1,V153="12-조건부승인",0.9,TRUE,0))</f>
        <v/>
      </c>
      <c r="X153" s="5">
        <f>IF(B153="","",IF(T153&lt;&gt;"","-",IF(S153="","N/A",S153-TODAY())))</f>
        <v/>
      </c>
      <c r="Y153" s="17">
        <f>IF(B153="","",IF(V153="11-결과등록완료","DONE",IF(U153="06-BIW중단","BLOCKED",IF(AND(K153="",J153&lt;TODAY()),"CRITICAL",IF(AND(ISNUMBER(X153),X153&lt;=0),"OVERDUE",IF(AND(ISNUMBER(X153),X153&lt;=14),"WARNING",IF(U153&lt;&gt;"","ACTION","ON TRACK")))))))</f>
        <v/>
      </c>
      <c r="Z153" s="5">
        <f>IF(B153="","",IF(OR(T153&lt;&gt;"",R153&lt;&gt;"",P153&lt;&gt;"",N153&lt;&gt;"",K153&lt;&gt;""),TODAY()-MAX(T153,R153,P153,N153,K153),"—"))</f>
        <v/>
      </c>
      <c r="AA153" s="19">
        <f>IF(B153="","",IF(V153="11-결과등록완료","— 완료",IF(V153="01-미제출",IF(J153&lt;TODAY(),"계획서 제출 독촉 (OVERDUE)","계획서 제출 대기"),IF(V153="02-제출_미검토","설계자: 계획서 검토 착수",IF(V153="03-검토중","설계자: 승인 처리",IF(V153="04-검토중_보완","보완 요청 → 협력사 재제출 독촉",IF(V153="05-계획서승인","시험편 준비 현황 확인",IF(V153="06-BIW중단","BIW 생산팀 확인 → 일정 재수립",IF(V153="07-미인수","협력사 인수 독촉",IF(V153="08-단품준비완료","시험 일정 확인",IF(V153="09-시험준비중","시험 진행 모니터링",IF(V153="10-시험완료","결과 보고서 전산 등록 독촉",IF(V153="12-조건부승인","조건부 승인 여부 판단 → 관련부서 협의","—")))))))))))))</f>
        <v/>
      </c>
      <c r="AB153" s="15" t="n"/>
    </row>
    <row r="154">
      <c r="A154" s="5">
        <f>IF(B154="","",ROW()-4)</f>
        <v/>
      </c>
      <c r="B154" s="13" t="n"/>
      <c r="C154" s="14">
        <f>IF(B154="","",IFERROR(VLOOKUP(D154,'Reference Data 기준데이터'!$A$30:$D$41,2,FALSE),""))</f>
        <v/>
      </c>
      <c r="D154" s="15" t="n"/>
      <c r="E154" s="14">
        <f>IF(B154="","",IFERROR(VLOOKUP(D154,'Reference Data 기준데이터'!$A$30:$D$41,3,FALSE),""))</f>
        <v/>
      </c>
      <c r="F154" s="15" t="n"/>
      <c r="G154" s="14">
        <f>IF(B154="","",IFERROR(VLOOKUP(F154,'Reference Data 기준데이터'!$A$9:$E$26,2,FALSE),""))</f>
        <v/>
      </c>
      <c r="H154" s="14">
        <f>IF(B154="","",IFERROR(VLOOKUP(F154,'Reference Data 기준데이터'!$A$9:$E$26,5,FALSE),""))</f>
        <v/>
      </c>
      <c r="I154" s="16">
        <f>IF(B154="","",IFERROR(VLOOKUP(B154,'Reference Data 기준데이터'!$A$3:$J$5,3,FALSE),""))</f>
        <v/>
      </c>
      <c r="J154" s="16">
        <f>IF(B154="","",IFERROR(I154+VLOOKUP(B154,'Reference Data 기준데이터'!$A$3:$J$5,7,FALSE),""))</f>
        <v/>
      </c>
      <c r="K154" s="20" t="n"/>
      <c r="L154" s="13" t="n"/>
      <c r="M154" s="16">
        <f>IF(B154="","",IFERROR(I154+VLOOKUP(B154,'Reference Data 기준데이터'!$A$3:$J$5,8,FALSE),""))</f>
        <v/>
      </c>
      <c r="N154" s="20" t="n"/>
      <c r="O154" s="16">
        <f>IF(B154="","",IFERROR(IF(G154="차량장착",MAX(I154+VLOOKUP(B154,'Reference Data 기준데이터'!$A$3:$J$5,9,FALSE),VLOOKUP(B154,'Reference Data 기준데이터'!$A$3:$J$5,4,FALSE)),I154+VLOOKUP(B154,'Reference Data 기준데이터'!$A$3:$J$5,9,FALSE)),""))</f>
        <v/>
      </c>
      <c r="P154" s="20" t="n"/>
      <c r="Q154" s="16">
        <f>IF(B154="","",IFERROR(O154+VLOOKUP(F154,'Reference Data 기준데이터'!$A$9:$E$26,4,FALSE),""))</f>
        <v/>
      </c>
      <c r="R154" s="20" t="n"/>
      <c r="S154" s="16">
        <f>IF(B154="","",IFERROR(MIN(I154+VLOOKUP(B154,'Reference Data 기준데이터'!$A$3:$J$5,10,FALSE),VLOOKUP(B154,'Reference Data 기준데이터'!$A$3:$J$5,6,FALSE)),""))</f>
        <v/>
      </c>
      <c r="T154" s="20" t="n"/>
      <c r="U154" s="13" t="n"/>
      <c r="V154" s="17">
        <f>IF(B154="","",IF(U154&lt;&gt;"",U154,IF(AND(T154&lt;&gt;"",R154&lt;&gt;""),"11-결과등록완료",IF(AND(R154&lt;&gt;"",T154=""),"10-시험완료",IF(AND(P154&lt;&gt;"",R154=""),"09-시험준비중",IF(AND(N154&lt;&gt;"",P154=""),"08-단품준비완료",IF(L154="Approved","05-계획서승인",IF(L154="Revision Needed","04-검토중_보완",IF(L154="Under Review","03-검토중",IF(AND(K154&lt;&gt;"",L154=""),"02-제출_미검토","01-미제출"))))))))))</f>
        <v/>
      </c>
      <c r="W154" s="18">
        <f>IF(B154="","",IFS(V154="01-미제출",0,V154="02-제출_미검토",0.05,V154="03-검토중",0.1,V154="04-검토중_보완",0.05,V154="05-계획서승인",0.2,V154="06-BIW중단",0.15,V154="07-미인수",0.3,V154="08-단품준비완료",0.4,V154="09-시험준비중",0.55,V154="10-시험완료",0.85,V154="11-결과등록완료",1,V154="12-조건부승인",0.9,TRUE,0))</f>
        <v/>
      </c>
      <c r="X154" s="5">
        <f>IF(B154="","",IF(T154&lt;&gt;"","-",IF(S154="","N/A",S154-TODAY())))</f>
        <v/>
      </c>
      <c r="Y154" s="17">
        <f>IF(B154="","",IF(V154="11-결과등록완료","DONE",IF(U154="06-BIW중단","BLOCKED",IF(AND(K154="",J154&lt;TODAY()),"CRITICAL",IF(AND(ISNUMBER(X154),X154&lt;=0),"OVERDUE",IF(AND(ISNUMBER(X154),X154&lt;=14),"WARNING",IF(U154&lt;&gt;"","ACTION","ON TRACK")))))))</f>
        <v/>
      </c>
      <c r="Z154" s="5">
        <f>IF(B154="","",IF(OR(T154&lt;&gt;"",R154&lt;&gt;"",P154&lt;&gt;"",N154&lt;&gt;"",K154&lt;&gt;""),TODAY()-MAX(T154,R154,P154,N154,K154),"—"))</f>
        <v/>
      </c>
      <c r="AA154" s="19">
        <f>IF(B154="","",IF(V154="11-결과등록완료","— 완료",IF(V154="01-미제출",IF(J154&lt;TODAY(),"계획서 제출 독촉 (OVERDUE)","계획서 제출 대기"),IF(V154="02-제출_미검토","설계자: 계획서 검토 착수",IF(V154="03-검토중","설계자: 승인 처리",IF(V154="04-검토중_보완","보완 요청 → 협력사 재제출 독촉",IF(V154="05-계획서승인","시험편 준비 현황 확인",IF(V154="06-BIW중단","BIW 생산팀 확인 → 일정 재수립",IF(V154="07-미인수","협력사 인수 독촉",IF(V154="08-단품준비완료","시험 일정 확인",IF(V154="09-시험준비중","시험 진행 모니터링",IF(V154="10-시험완료","결과 보고서 전산 등록 독촉",IF(V154="12-조건부승인","조건부 승인 여부 판단 → 관련부서 협의","—")))))))))))))</f>
        <v/>
      </c>
      <c r="AB154" s="15" t="n"/>
    </row>
    <row r="155">
      <c r="A155" s="5">
        <f>IF(B155="","",ROW()-4)</f>
        <v/>
      </c>
      <c r="B155" s="13" t="n"/>
      <c r="C155" s="14">
        <f>IF(B155="","",IFERROR(VLOOKUP(D155,'Reference Data 기준데이터'!$A$30:$D$41,2,FALSE),""))</f>
        <v/>
      </c>
      <c r="D155" s="15" t="n"/>
      <c r="E155" s="14">
        <f>IF(B155="","",IFERROR(VLOOKUP(D155,'Reference Data 기준데이터'!$A$30:$D$41,3,FALSE),""))</f>
        <v/>
      </c>
      <c r="F155" s="15" t="n"/>
      <c r="G155" s="14">
        <f>IF(B155="","",IFERROR(VLOOKUP(F155,'Reference Data 기준데이터'!$A$9:$E$26,2,FALSE),""))</f>
        <v/>
      </c>
      <c r="H155" s="14">
        <f>IF(B155="","",IFERROR(VLOOKUP(F155,'Reference Data 기준데이터'!$A$9:$E$26,5,FALSE),""))</f>
        <v/>
      </c>
      <c r="I155" s="16">
        <f>IF(B155="","",IFERROR(VLOOKUP(B155,'Reference Data 기준데이터'!$A$3:$J$5,3,FALSE),""))</f>
        <v/>
      </c>
      <c r="J155" s="16">
        <f>IF(B155="","",IFERROR(I155+VLOOKUP(B155,'Reference Data 기준데이터'!$A$3:$J$5,7,FALSE),""))</f>
        <v/>
      </c>
      <c r="K155" s="20" t="n"/>
      <c r="L155" s="13" t="n"/>
      <c r="M155" s="16">
        <f>IF(B155="","",IFERROR(I155+VLOOKUP(B155,'Reference Data 기준데이터'!$A$3:$J$5,8,FALSE),""))</f>
        <v/>
      </c>
      <c r="N155" s="20" t="n"/>
      <c r="O155" s="16">
        <f>IF(B155="","",IFERROR(IF(G155="차량장착",MAX(I155+VLOOKUP(B155,'Reference Data 기준데이터'!$A$3:$J$5,9,FALSE),VLOOKUP(B155,'Reference Data 기준데이터'!$A$3:$J$5,4,FALSE)),I155+VLOOKUP(B155,'Reference Data 기준데이터'!$A$3:$J$5,9,FALSE)),""))</f>
        <v/>
      </c>
      <c r="P155" s="20" t="n"/>
      <c r="Q155" s="16">
        <f>IF(B155="","",IFERROR(O155+VLOOKUP(F155,'Reference Data 기준데이터'!$A$9:$E$26,4,FALSE),""))</f>
        <v/>
      </c>
      <c r="R155" s="20" t="n"/>
      <c r="S155" s="16">
        <f>IF(B155="","",IFERROR(MIN(I155+VLOOKUP(B155,'Reference Data 기준데이터'!$A$3:$J$5,10,FALSE),VLOOKUP(B155,'Reference Data 기준데이터'!$A$3:$J$5,6,FALSE)),""))</f>
        <v/>
      </c>
      <c r="T155" s="20" t="n"/>
      <c r="U155" s="13" t="n"/>
      <c r="V155" s="17">
        <f>IF(B155="","",IF(U155&lt;&gt;"",U155,IF(AND(T155&lt;&gt;"",R155&lt;&gt;""),"11-결과등록완료",IF(AND(R155&lt;&gt;"",T155=""),"10-시험완료",IF(AND(P155&lt;&gt;"",R155=""),"09-시험준비중",IF(AND(N155&lt;&gt;"",P155=""),"08-단품준비완료",IF(L155="Approved","05-계획서승인",IF(L155="Revision Needed","04-검토중_보완",IF(L155="Under Review","03-검토중",IF(AND(K155&lt;&gt;"",L155=""),"02-제출_미검토","01-미제출"))))))))))</f>
        <v/>
      </c>
      <c r="W155" s="18">
        <f>IF(B155="","",IFS(V155="01-미제출",0,V155="02-제출_미검토",0.05,V155="03-검토중",0.1,V155="04-검토중_보완",0.05,V155="05-계획서승인",0.2,V155="06-BIW중단",0.15,V155="07-미인수",0.3,V155="08-단품준비완료",0.4,V155="09-시험준비중",0.55,V155="10-시험완료",0.85,V155="11-결과등록완료",1,V155="12-조건부승인",0.9,TRUE,0))</f>
        <v/>
      </c>
      <c r="X155" s="5">
        <f>IF(B155="","",IF(T155&lt;&gt;"","-",IF(S155="","N/A",S155-TODAY())))</f>
        <v/>
      </c>
      <c r="Y155" s="17">
        <f>IF(B155="","",IF(V155="11-결과등록완료","DONE",IF(U155="06-BIW중단","BLOCKED",IF(AND(K155="",J155&lt;TODAY()),"CRITICAL",IF(AND(ISNUMBER(X155),X155&lt;=0),"OVERDUE",IF(AND(ISNUMBER(X155),X155&lt;=14),"WARNING",IF(U155&lt;&gt;"","ACTION","ON TRACK")))))))</f>
        <v/>
      </c>
      <c r="Z155" s="5">
        <f>IF(B155="","",IF(OR(T155&lt;&gt;"",R155&lt;&gt;"",P155&lt;&gt;"",N155&lt;&gt;"",K155&lt;&gt;""),TODAY()-MAX(T155,R155,P155,N155,K155),"—"))</f>
        <v/>
      </c>
      <c r="AA155" s="19">
        <f>IF(B155="","",IF(V155="11-결과등록완료","— 완료",IF(V155="01-미제출",IF(J155&lt;TODAY(),"계획서 제출 독촉 (OVERDUE)","계획서 제출 대기"),IF(V155="02-제출_미검토","설계자: 계획서 검토 착수",IF(V155="03-검토중","설계자: 승인 처리",IF(V155="04-검토중_보완","보완 요청 → 협력사 재제출 독촉",IF(V155="05-계획서승인","시험편 준비 현황 확인",IF(V155="06-BIW중단","BIW 생산팀 확인 → 일정 재수립",IF(V155="07-미인수","협력사 인수 독촉",IF(V155="08-단품준비완료","시험 일정 확인",IF(V155="09-시험준비중","시험 진행 모니터링",IF(V155="10-시험완료","결과 보고서 전산 등록 독촉",IF(V155="12-조건부승인","조건부 승인 여부 판단 → 관련부서 협의","—")))))))))))))</f>
        <v/>
      </c>
      <c r="AB155" s="15" t="n"/>
    </row>
    <row r="156">
      <c r="A156" s="5">
        <f>IF(B156="","",ROW()-4)</f>
        <v/>
      </c>
      <c r="B156" s="13" t="n"/>
      <c r="C156" s="14">
        <f>IF(B156="","",IFERROR(VLOOKUP(D156,'Reference Data 기준데이터'!$A$30:$D$41,2,FALSE),""))</f>
        <v/>
      </c>
      <c r="D156" s="15" t="n"/>
      <c r="E156" s="14">
        <f>IF(B156="","",IFERROR(VLOOKUP(D156,'Reference Data 기준데이터'!$A$30:$D$41,3,FALSE),""))</f>
        <v/>
      </c>
      <c r="F156" s="15" t="n"/>
      <c r="G156" s="14">
        <f>IF(B156="","",IFERROR(VLOOKUP(F156,'Reference Data 기준데이터'!$A$9:$E$26,2,FALSE),""))</f>
        <v/>
      </c>
      <c r="H156" s="14">
        <f>IF(B156="","",IFERROR(VLOOKUP(F156,'Reference Data 기준데이터'!$A$9:$E$26,5,FALSE),""))</f>
        <v/>
      </c>
      <c r="I156" s="16">
        <f>IF(B156="","",IFERROR(VLOOKUP(B156,'Reference Data 기준데이터'!$A$3:$J$5,3,FALSE),""))</f>
        <v/>
      </c>
      <c r="J156" s="16">
        <f>IF(B156="","",IFERROR(I156+VLOOKUP(B156,'Reference Data 기준데이터'!$A$3:$J$5,7,FALSE),""))</f>
        <v/>
      </c>
      <c r="K156" s="20" t="n"/>
      <c r="L156" s="13" t="n"/>
      <c r="M156" s="16">
        <f>IF(B156="","",IFERROR(I156+VLOOKUP(B156,'Reference Data 기준데이터'!$A$3:$J$5,8,FALSE),""))</f>
        <v/>
      </c>
      <c r="N156" s="20" t="n"/>
      <c r="O156" s="16">
        <f>IF(B156="","",IFERROR(IF(G156="차량장착",MAX(I156+VLOOKUP(B156,'Reference Data 기준데이터'!$A$3:$J$5,9,FALSE),VLOOKUP(B156,'Reference Data 기준데이터'!$A$3:$J$5,4,FALSE)),I156+VLOOKUP(B156,'Reference Data 기준데이터'!$A$3:$J$5,9,FALSE)),""))</f>
        <v/>
      </c>
      <c r="P156" s="20" t="n"/>
      <c r="Q156" s="16">
        <f>IF(B156="","",IFERROR(O156+VLOOKUP(F156,'Reference Data 기준데이터'!$A$9:$E$26,4,FALSE),""))</f>
        <v/>
      </c>
      <c r="R156" s="20" t="n"/>
      <c r="S156" s="16">
        <f>IF(B156="","",IFERROR(MIN(I156+VLOOKUP(B156,'Reference Data 기준데이터'!$A$3:$J$5,10,FALSE),VLOOKUP(B156,'Reference Data 기준데이터'!$A$3:$J$5,6,FALSE)),""))</f>
        <v/>
      </c>
      <c r="T156" s="20" t="n"/>
      <c r="U156" s="13" t="n"/>
      <c r="V156" s="17">
        <f>IF(B156="","",IF(U156&lt;&gt;"",U156,IF(AND(T156&lt;&gt;"",R156&lt;&gt;""),"11-결과등록완료",IF(AND(R156&lt;&gt;"",T156=""),"10-시험완료",IF(AND(P156&lt;&gt;"",R156=""),"09-시험준비중",IF(AND(N156&lt;&gt;"",P156=""),"08-단품준비완료",IF(L156="Approved","05-계획서승인",IF(L156="Revision Needed","04-검토중_보완",IF(L156="Under Review","03-검토중",IF(AND(K156&lt;&gt;"",L156=""),"02-제출_미검토","01-미제출"))))))))))</f>
        <v/>
      </c>
      <c r="W156" s="18">
        <f>IF(B156="","",IFS(V156="01-미제출",0,V156="02-제출_미검토",0.05,V156="03-검토중",0.1,V156="04-검토중_보완",0.05,V156="05-계획서승인",0.2,V156="06-BIW중단",0.15,V156="07-미인수",0.3,V156="08-단품준비완료",0.4,V156="09-시험준비중",0.55,V156="10-시험완료",0.85,V156="11-결과등록완료",1,V156="12-조건부승인",0.9,TRUE,0))</f>
        <v/>
      </c>
      <c r="X156" s="5">
        <f>IF(B156="","",IF(T156&lt;&gt;"","-",IF(S156="","N/A",S156-TODAY())))</f>
        <v/>
      </c>
      <c r="Y156" s="17">
        <f>IF(B156="","",IF(V156="11-결과등록완료","DONE",IF(U156="06-BIW중단","BLOCKED",IF(AND(K156="",J156&lt;TODAY()),"CRITICAL",IF(AND(ISNUMBER(X156),X156&lt;=0),"OVERDUE",IF(AND(ISNUMBER(X156),X156&lt;=14),"WARNING",IF(U156&lt;&gt;"","ACTION","ON TRACK")))))))</f>
        <v/>
      </c>
      <c r="Z156" s="5">
        <f>IF(B156="","",IF(OR(T156&lt;&gt;"",R156&lt;&gt;"",P156&lt;&gt;"",N156&lt;&gt;"",K156&lt;&gt;""),TODAY()-MAX(T156,R156,P156,N156,K156),"—"))</f>
        <v/>
      </c>
      <c r="AA156" s="19">
        <f>IF(B156="","",IF(V156="11-결과등록완료","— 완료",IF(V156="01-미제출",IF(J156&lt;TODAY(),"계획서 제출 독촉 (OVERDUE)","계획서 제출 대기"),IF(V156="02-제출_미검토","설계자: 계획서 검토 착수",IF(V156="03-검토중","설계자: 승인 처리",IF(V156="04-검토중_보완","보완 요청 → 협력사 재제출 독촉",IF(V156="05-계획서승인","시험편 준비 현황 확인",IF(V156="06-BIW중단","BIW 생산팀 확인 → 일정 재수립",IF(V156="07-미인수","협력사 인수 독촉",IF(V156="08-단품준비완료","시험 일정 확인",IF(V156="09-시험준비중","시험 진행 모니터링",IF(V156="10-시험완료","결과 보고서 전산 등록 독촉",IF(V156="12-조건부승인","조건부 승인 여부 판단 → 관련부서 협의","—")))))))))))))</f>
        <v/>
      </c>
      <c r="AB156" s="15" t="n"/>
    </row>
    <row r="157">
      <c r="A157" s="5">
        <f>IF(B157="","",ROW()-4)</f>
        <v/>
      </c>
      <c r="B157" s="13" t="n"/>
      <c r="C157" s="14">
        <f>IF(B157="","",IFERROR(VLOOKUP(D157,'Reference Data 기준데이터'!$A$30:$D$41,2,FALSE),""))</f>
        <v/>
      </c>
      <c r="D157" s="15" t="n"/>
      <c r="E157" s="14">
        <f>IF(B157="","",IFERROR(VLOOKUP(D157,'Reference Data 기준데이터'!$A$30:$D$41,3,FALSE),""))</f>
        <v/>
      </c>
      <c r="F157" s="15" t="n"/>
      <c r="G157" s="14">
        <f>IF(B157="","",IFERROR(VLOOKUP(F157,'Reference Data 기준데이터'!$A$9:$E$26,2,FALSE),""))</f>
        <v/>
      </c>
      <c r="H157" s="14">
        <f>IF(B157="","",IFERROR(VLOOKUP(F157,'Reference Data 기준데이터'!$A$9:$E$26,5,FALSE),""))</f>
        <v/>
      </c>
      <c r="I157" s="16">
        <f>IF(B157="","",IFERROR(VLOOKUP(B157,'Reference Data 기준데이터'!$A$3:$J$5,3,FALSE),""))</f>
        <v/>
      </c>
      <c r="J157" s="16">
        <f>IF(B157="","",IFERROR(I157+VLOOKUP(B157,'Reference Data 기준데이터'!$A$3:$J$5,7,FALSE),""))</f>
        <v/>
      </c>
      <c r="K157" s="20" t="n"/>
      <c r="L157" s="13" t="n"/>
      <c r="M157" s="16">
        <f>IF(B157="","",IFERROR(I157+VLOOKUP(B157,'Reference Data 기준데이터'!$A$3:$J$5,8,FALSE),""))</f>
        <v/>
      </c>
      <c r="N157" s="20" t="n"/>
      <c r="O157" s="16">
        <f>IF(B157="","",IFERROR(IF(G157="차량장착",MAX(I157+VLOOKUP(B157,'Reference Data 기준데이터'!$A$3:$J$5,9,FALSE),VLOOKUP(B157,'Reference Data 기준데이터'!$A$3:$J$5,4,FALSE)),I157+VLOOKUP(B157,'Reference Data 기준데이터'!$A$3:$J$5,9,FALSE)),""))</f>
        <v/>
      </c>
      <c r="P157" s="20" t="n"/>
      <c r="Q157" s="16">
        <f>IF(B157="","",IFERROR(O157+VLOOKUP(F157,'Reference Data 기준데이터'!$A$9:$E$26,4,FALSE),""))</f>
        <v/>
      </c>
      <c r="R157" s="20" t="n"/>
      <c r="S157" s="16">
        <f>IF(B157="","",IFERROR(MIN(I157+VLOOKUP(B157,'Reference Data 기준데이터'!$A$3:$J$5,10,FALSE),VLOOKUP(B157,'Reference Data 기준데이터'!$A$3:$J$5,6,FALSE)),""))</f>
        <v/>
      </c>
      <c r="T157" s="20" t="n"/>
      <c r="U157" s="13" t="n"/>
      <c r="V157" s="17">
        <f>IF(B157="","",IF(U157&lt;&gt;"",U157,IF(AND(T157&lt;&gt;"",R157&lt;&gt;""),"11-결과등록완료",IF(AND(R157&lt;&gt;"",T157=""),"10-시험완료",IF(AND(P157&lt;&gt;"",R157=""),"09-시험준비중",IF(AND(N157&lt;&gt;"",P157=""),"08-단품준비완료",IF(L157="Approved","05-계획서승인",IF(L157="Revision Needed","04-검토중_보완",IF(L157="Under Review","03-검토중",IF(AND(K157&lt;&gt;"",L157=""),"02-제출_미검토","01-미제출"))))))))))</f>
        <v/>
      </c>
      <c r="W157" s="18">
        <f>IF(B157="","",IFS(V157="01-미제출",0,V157="02-제출_미검토",0.05,V157="03-검토중",0.1,V157="04-검토중_보완",0.05,V157="05-계획서승인",0.2,V157="06-BIW중단",0.15,V157="07-미인수",0.3,V157="08-단품준비완료",0.4,V157="09-시험준비중",0.55,V157="10-시험완료",0.85,V157="11-결과등록완료",1,V157="12-조건부승인",0.9,TRUE,0))</f>
        <v/>
      </c>
      <c r="X157" s="5">
        <f>IF(B157="","",IF(T157&lt;&gt;"","-",IF(S157="","N/A",S157-TODAY())))</f>
        <v/>
      </c>
      <c r="Y157" s="17">
        <f>IF(B157="","",IF(V157="11-결과등록완료","DONE",IF(U157="06-BIW중단","BLOCKED",IF(AND(K157="",J157&lt;TODAY()),"CRITICAL",IF(AND(ISNUMBER(X157),X157&lt;=0),"OVERDUE",IF(AND(ISNUMBER(X157),X157&lt;=14),"WARNING",IF(U157&lt;&gt;"","ACTION","ON TRACK")))))))</f>
        <v/>
      </c>
      <c r="Z157" s="5">
        <f>IF(B157="","",IF(OR(T157&lt;&gt;"",R157&lt;&gt;"",P157&lt;&gt;"",N157&lt;&gt;"",K157&lt;&gt;""),TODAY()-MAX(T157,R157,P157,N157,K157),"—"))</f>
        <v/>
      </c>
      <c r="AA157" s="19">
        <f>IF(B157="","",IF(V157="11-결과등록완료","— 완료",IF(V157="01-미제출",IF(J157&lt;TODAY(),"계획서 제출 독촉 (OVERDUE)","계획서 제출 대기"),IF(V157="02-제출_미검토","설계자: 계획서 검토 착수",IF(V157="03-검토중","설계자: 승인 처리",IF(V157="04-검토중_보완","보완 요청 → 협력사 재제출 독촉",IF(V157="05-계획서승인","시험편 준비 현황 확인",IF(V157="06-BIW중단","BIW 생산팀 확인 → 일정 재수립",IF(V157="07-미인수","협력사 인수 독촉",IF(V157="08-단품준비완료","시험 일정 확인",IF(V157="09-시험준비중","시험 진행 모니터링",IF(V157="10-시험완료","결과 보고서 전산 등록 독촉",IF(V157="12-조건부승인","조건부 승인 여부 판단 → 관련부서 협의","—")))))))))))))</f>
        <v/>
      </c>
      <c r="AB157" s="15" t="n"/>
    </row>
    <row r="158">
      <c r="A158" s="5">
        <f>IF(B158="","",ROW()-4)</f>
        <v/>
      </c>
      <c r="B158" s="13" t="n"/>
      <c r="C158" s="14">
        <f>IF(B158="","",IFERROR(VLOOKUP(D158,'Reference Data 기준데이터'!$A$30:$D$41,2,FALSE),""))</f>
        <v/>
      </c>
      <c r="D158" s="15" t="n"/>
      <c r="E158" s="14">
        <f>IF(B158="","",IFERROR(VLOOKUP(D158,'Reference Data 기준데이터'!$A$30:$D$41,3,FALSE),""))</f>
        <v/>
      </c>
      <c r="F158" s="15" t="n"/>
      <c r="G158" s="14">
        <f>IF(B158="","",IFERROR(VLOOKUP(F158,'Reference Data 기준데이터'!$A$9:$E$26,2,FALSE),""))</f>
        <v/>
      </c>
      <c r="H158" s="14">
        <f>IF(B158="","",IFERROR(VLOOKUP(F158,'Reference Data 기준데이터'!$A$9:$E$26,5,FALSE),""))</f>
        <v/>
      </c>
      <c r="I158" s="16">
        <f>IF(B158="","",IFERROR(VLOOKUP(B158,'Reference Data 기준데이터'!$A$3:$J$5,3,FALSE),""))</f>
        <v/>
      </c>
      <c r="J158" s="16">
        <f>IF(B158="","",IFERROR(I158+VLOOKUP(B158,'Reference Data 기준데이터'!$A$3:$J$5,7,FALSE),""))</f>
        <v/>
      </c>
      <c r="K158" s="20" t="n"/>
      <c r="L158" s="13" t="n"/>
      <c r="M158" s="16">
        <f>IF(B158="","",IFERROR(I158+VLOOKUP(B158,'Reference Data 기준데이터'!$A$3:$J$5,8,FALSE),""))</f>
        <v/>
      </c>
      <c r="N158" s="20" t="n"/>
      <c r="O158" s="16">
        <f>IF(B158="","",IFERROR(IF(G158="차량장착",MAX(I158+VLOOKUP(B158,'Reference Data 기준데이터'!$A$3:$J$5,9,FALSE),VLOOKUP(B158,'Reference Data 기준데이터'!$A$3:$J$5,4,FALSE)),I158+VLOOKUP(B158,'Reference Data 기준데이터'!$A$3:$J$5,9,FALSE)),""))</f>
        <v/>
      </c>
      <c r="P158" s="20" t="n"/>
      <c r="Q158" s="16">
        <f>IF(B158="","",IFERROR(O158+VLOOKUP(F158,'Reference Data 기준데이터'!$A$9:$E$26,4,FALSE),""))</f>
        <v/>
      </c>
      <c r="R158" s="20" t="n"/>
      <c r="S158" s="16">
        <f>IF(B158="","",IFERROR(MIN(I158+VLOOKUP(B158,'Reference Data 기준데이터'!$A$3:$J$5,10,FALSE),VLOOKUP(B158,'Reference Data 기준데이터'!$A$3:$J$5,6,FALSE)),""))</f>
        <v/>
      </c>
      <c r="T158" s="20" t="n"/>
      <c r="U158" s="13" t="n"/>
      <c r="V158" s="17">
        <f>IF(B158="","",IF(U158&lt;&gt;"",U158,IF(AND(T158&lt;&gt;"",R158&lt;&gt;""),"11-결과등록완료",IF(AND(R158&lt;&gt;"",T158=""),"10-시험완료",IF(AND(P158&lt;&gt;"",R158=""),"09-시험준비중",IF(AND(N158&lt;&gt;"",P158=""),"08-단품준비완료",IF(L158="Approved","05-계획서승인",IF(L158="Revision Needed","04-검토중_보완",IF(L158="Under Review","03-검토중",IF(AND(K158&lt;&gt;"",L158=""),"02-제출_미검토","01-미제출"))))))))))</f>
        <v/>
      </c>
      <c r="W158" s="18">
        <f>IF(B158="","",IFS(V158="01-미제출",0,V158="02-제출_미검토",0.05,V158="03-검토중",0.1,V158="04-검토중_보완",0.05,V158="05-계획서승인",0.2,V158="06-BIW중단",0.15,V158="07-미인수",0.3,V158="08-단품준비완료",0.4,V158="09-시험준비중",0.55,V158="10-시험완료",0.85,V158="11-결과등록완료",1,V158="12-조건부승인",0.9,TRUE,0))</f>
        <v/>
      </c>
      <c r="X158" s="5">
        <f>IF(B158="","",IF(T158&lt;&gt;"","-",IF(S158="","N/A",S158-TODAY())))</f>
        <v/>
      </c>
      <c r="Y158" s="17">
        <f>IF(B158="","",IF(V158="11-결과등록완료","DONE",IF(U158="06-BIW중단","BLOCKED",IF(AND(K158="",J158&lt;TODAY()),"CRITICAL",IF(AND(ISNUMBER(X158),X158&lt;=0),"OVERDUE",IF(AND(ISNUMBER(X158),X158&lt;=14),"WARNING",IF(U158&lt;&gt;"","ACTION","ON TRACK")))))))</f>
        <v/>
      </c>
      <c r="Z158" s="5">
        <f>IF(B158="","",IF(OR(T158&lt;&gt;"",R158&lt;&gt;"",P158&lt;&gt;"",N158&lt;&gt;"",K158&lt;&gt;""),TODAY()-MAX(T158,R158,P158,N158,K158),"—"))</f>
        <v/>
      </c>
      <c r="AA158" s="19">
        <f>IF(B158="","",IF(V158="11-결과등록완료","— 완료",IF(V158="01-미제출",IF(J158&lt;TODAY(),"계획서 제출 독촉 (OVERDUE)","계획서 제출 대기"),IF(V158="02-제출_미검토","설계자: 계획서 검토 착수",IF(V158="03-검토중","설계자: 승인 처리",IF(V158="04-검토중_보완","보완 요청 → 협력사 재제출 독촉",IF(V158="05-계획서승인","시험편 준비 현황 확인",IF(V158="06-BIW중단","BIW 생산팀 확인 → 일정 재수립",IF(V158="07-미인수","협력사 인수 독촉",IF(V158="08-단품준비완료","시험 일정 확인",IF(V158="09-시험준비중","시험 진행 모니터링",IF(V158="10-시험완료","결과 보고서 전산 등록 독촉",IF(V158="12-조건부승인","조건부 승인 여부 판단 → 관련부서 협의","—")))))))))))))</f>
        <v/>
      </c>
      <c r="AB158" s="15" t="n"/>
    </row>
    <row r="159">
      <c r="A159" s="5">
        <f>IF(B159="","",ROW()-4)</f>
        <v/>
      </c>
      <c r="B159" s="13" t="n"/>
      <c r="C159" s="14">
        <f>IF(B159="","",IFERROR(VLOOKUP(D159,'Reference Data 기준데이터'!$A$30:$D$41,2,FALSE),""))</f>
        <v/>
      </c>
      <c r="D159" s="15" t="n"/>
      <c r="E159" s="14">
        <f>IF(B159="","",IFERROR(VLOOKUP(D159,'Reference Data 기준데이터'!$A$30:$D$41,3,FALSE),""))</f>
        <v/>
      </c>
      <c r="F159" s="15" t="n"/>
      <c r="G159" s="14">
        <f>IF(B159="","",IFERROR(VLOOKUP(F159,'Reference Data 기준데이터'!$A$9:$E$26,2,FALSE),""))</f>
        <v/>
      </c>
      <c r="H159" s="14">
        <f>IF(B159="","",IFERROR(VLOOKUP(F159,'Reference Data 기준데이터'!$A$9:$E$26,5,FALSE),""))</f>
        <v/>
      </c>
      <c r="I159" s="16">
        <f>IF(B159="","",IFERROR(VLOOKUP(B159,'Reference Data 기준데이터'!$A$3:$J$5,3,FALSE),""))</f>
        <v/>
      </c>
      <c r="J159" s="16">
        <f>IF(B159="","",IFERROR(I159+VLOOKUP(B159,'Reference Data 기준데이터'!$A$3:$J$5,7,FALSE),""))</f>
        <v/>
      </c>
      <c r="K159" s="20" t="n"/>
      <c r="L159" s="13" t="n"/>
      <c r="M159" s="16">
        <f>IF(B159="","",IFERROR(I159+VLOOKUP(B159,'Reference Data 기준데이터'!$A$3:$J$5,8,FALSE),""))</f>
        <v/>
      </c>
      <c r="N159" s="20" t="n"/>
      <c r="O159" s="16">
        <f>IF(B159="","",IFERROR(IF(G159="차량장착",MAX(I159+VLOOKUP(B159,'Reference Data 기준데이터'!$A$3:$J$5,9,FALSE),VLOOKUP(B159,'Reference Data 기준데이터'!$A$3:$J$5,4,FALSE)),I159+VLOOKUP(B159,'Reference Data 기준데이터'!$A$3:$J$5,9,FALSE)),""))</f>
        <v/>
      </c>
      <c r="P159" s="20" t="n"/>
      <c r="Q159" s="16">
        <f>IF(B159="","",IFERROR(O159+VLOOKUP(F159,'Reference Data 기준데이터'!$A$9:$E$26,4,FALSE),""))</f>
        <v/>
      </c>
      <c r="R159" s="20" t="n"/>
      <c r="S159" s="16">
        <f>IF(B159="","",IFERROR(MIN(I159+VLOOKUP(B159,'Reference Data 기준데이터'!$A$3:$J$5,10,FALSE),VLOOKUP(B159,'Reference Data 기준데이터'!$A$3:$J$5,6,FALSE)),""))</f>
        <v/>
      </c>
      <c r="T159" s="20" t="n"/>
      <c r="U159" s="13" t="n"/>
      <c r="V159" s="17">
        <f>IF(B159="","",IF(U159&lt;&gt;"",U159,IF(AND(T159&lt;&gt;"",R159&lt;&gt;""),"11-결과등록완료",IF(AND(R159&lt;&gt;"",T159=""),"10-시험완료",IF(AND(P159&lt;&gt;"",R159=""),"09-시험준비중",IF(AND(N159&lt;&gt;"",P159=""),"08-단품준비완료",IF(L159="Approved","05-계획서승인",IF(L159="Revision Needed","04-검토중_보완",IF(L159="Under Review","03-검토중",IF(AND(K159&lt;&gt;"",L159=""),"02-제출_미검토","01-미제출"))))))))))</f>
        <v/>
      </c>
      <c r="W159" s="18">
        <f>IF(B159="","",IFS(V159="01-미제출",0,V159="02-제출_미검토",0.05,V159="03-검토중",0.1,V159="04-검토중_보완",0.05,V159="05-계획서승인",0.2,V159="06-BIW중단",0.15,V159="07-미인수",0.3,V159="08-단품준비완료",0.4,V159="09-시험준비중",0.55,V159="10-시험완료",0.85,V159="11-결과등록완료",1,V159="12-조건부승인",0.9,TRUE,0))</f>
        <v/>
      </c>
      <c r="X159" s="5">
        <f>IF(B159="","",IF(T159&lt;&gt;"","-",IF(S159="","N/A",S159-TODAY())))</f>
        <v/>
      </c>
      <c r="Y159" s="17">
        <f>IF(B159="","",IF(V159="11-결과등록완료","DONE",IF(U159="06-BIW중단","BLOCKED",IF(AND(K159="",J159&lt;TODAY()),"CRITICAL",IF(AND(ISNUMBER(X159),X159&lt;=0),"OVERDUE",IF(AND(ISNUMBER(X159),X159&lt;=14),"WARNING",IF(U159&lt;&gt;"","ACTION","ON TRACK")))))))</f>
        <v/>
      </c>
      <c r="Z159" s="5">
        <f>IF(B159="","",IF(OR(T159&lt;&gt;"",R159&lt;&gt;"",P159&lt;&gt;"",N159&lt;&gt;"",K159&lt;&gt;""),TODAY()-MAX(T159,R159,P159,N159,K159),"—"))</f>
        <v/>
      </c>
      <c r="AA159" s="19">
        <f>IF(B159="","",IF(V159="11-결과등록완료","— 완료",IF(V159="01-미제출",IF(J159&lt;TODAY(),"계획서 제출 독촉 (OVERDUE)","계획서 제출 대기"),IF(V159="02-제출_미검토","설계자: 계획서 검토 착수",IF(V159="03-검토중","설계자: 승인 처리",IF(V159="04-검토중_보완","보완 요청 → 협력사 재제출 독촉",IF(V159="05-계획서승인","시험편 준비 현황 확인",IF(V159="06-BIW중단","BIW 생산팀 확인 → 일정 재수립",IF(V159="07-미인수","협력사 인수 독촉",IF(V159="08-단품준비완료","시험 일정 확인",IF(V159="09-시험준비중","시험 진행 모니터링",IF(V159="10-시험완료","결과 보고서 전산 등록 독촉",IF(V159="12-조건부승인","조건부 승인 여부 판단 → 관련부서 협의","—")))))))))))))</f>
        <v/>
      </c>
      <c r="AB159" s="15" t="n"/>
    </row>
    <row r="160">
      <c r="A160" s="5">
        <f>IF(B160="","",ROW()-4)</f>
        <v/>
      </c>
      <c r="B160" s="13" t="n"/>
      <c r="C160" s="14">
        <f>IF(B160="","",IFERROR(VLOOKUP(D160,'Reference Data 기준데이터'!$A$30:$D$41,2,FALSE),""))</f>
        <v/>
      </c>
      <c r="D160" s="15" t="n"/>
      <c r="E160" s="14">
        <f>IF(B160="","",IFERROR(VLOOKUP(D160,'Reference Data 기준데이터'!$A$30:$D$41,3,FALSE),""))</f>
        <v/>
      </c>
      <c r="F160" s="15" t="n"/>
      <c r="G160" s="14">
        <f>IF(B160="","",IFERROR(VLOOKUP(F160,'Reference Data 기준데이터'!$A$9:$E$26,2,FALSE),""))</f>
        <v/>
      </c>
      <c r="H160" s="14">
        <f>IF(B160="","",IFERROR(VLOOKUP(F160,'Reference Data 기준데이터'!$A$9:$E$26,5,FALSE),""))</f>
        <v/>
      </c>
      <c r="I160" s="16">
        <f>IF(B160="","",IFERROR(VLOOKUP(B160,'Reference Data 기준데이터'!$A$3:$J$5,3,FALSE),""))</f>
        <v/>
      </c>
      <c r="J160" s="16">
        <f>IF(B160="","",IFERROR(I160+VLOOKUP(B160,'Reference Data 기준데이터'!$A$3:$J$5,7,FALSE),""))</f>
        <v/>
      </c>
      <c r="K160" s="20" t="n"/>
      <c r="L160" s="13" t="n"/>
      <c r="M160" s="16">
        <f>IF(B160="","",IFERROR(I160+VLOOKUP(B160,'Reference Data 기준데이터'!$A$3:$J$5,8,FALSE),""))</f>
        <v/>
      </c>
      <c r="N160" s="20" t="n"/>
      <c r="O160" s="16">
        <f>IF(B160="","",IFERROR(IF(G160="차량장착",MAX(I160+VLOOKUP(B160,'Reference Data 기준데이터'!$A$3:$J$5,9,FALSE),VLOOKUP(B160,'Reference Data 기준데이터'!$A$3:$J$5,4,FALSE)),I160+VLOOKUP(B160,'Reference Data 기준데이터'!$A$3:$J$5,9,FALSE)),""))</f>
        <v/>
      </c>
      <c r="P160" s="20" t="n"/>
      <c r="Q160" s="16">
        <f>IF(B160="","",IFERROR(O160+VLOOKUP(F160,'Reference Data 기준데이터'!$A$9:$E$26,4,FALSE),""))</f>
        <v/>
      </c>
      <c r="R160" s="20" t="n"/>
      <c r="S160" s="16">
        <f>IF(B160="","",IFERROR(MIN(I160+VLOOKUP(B160,'Reference Data 기준데이터'!$A$3:$J$5,10,FALSE),VLOOKUP(B160,'Reference Data 기준데이터'!$A$3:$J$5,6,FALSE)),""))</f>
        <v/>
      </c>
      <c r="T160" s="20" t="n"/>
      <c r="U160" s="13" t="n"/>
      <c r="V160" s="17">
        <f>IF(B160="","",IF(U160&lt;&gt;"",U160,IF(AND(T160&lt;&gt;"",R160&lt;&gt;""),"11-결과등록완료",IF(AND(R160&lt;&gt;"",T160=""),"10-시험완료",IF(AND(P160&lt;&gt;"",R160=""),"09-시험준비중",IF(AND(N160&lt;&gt;"",P160=""),"08-단품준비완료",IF(L160="Approved","05-계획서승인",IF(L160="Revision Needed","04-검토중_보완",IF(L160="Under Review","03-검토중",IF(AND(K160&lt;&gt;"",L160=""),"02-제출_미검토","01-미제출"))))))))))</f>
        <v/>
      </c>
      <c r="W160" s="18">
        <f>IF(B160="","",IFS(V160="01-미제출",0,V160="02-제출_미검토",0.05,V160="03-검토중",0.1,V160="04-검토중_보완",0.05,V160="05-계획서승인",0.2,V160="06-BIW중단",0.15,V160="07-미인수",0.3,V160="08-단품준비완료",0.4,V160="09-시험준비중",0.55,V160="10-시험완료",0.85,V160="11-결과등록완료",1,V160="12-조건부승인",0.9,TRUE,0))</f>
        <v/>
      </c>
      <c r="X160" s="5">
        <f>IF(B160="","",IF(T160&lt;&gt;"","-",IF(S160="","N/A",S160-TODAY())))</f>
        <v/>
      </c>
      <c r="Y160" s="17">
        <f>IF(B160="","",IF(V160="11-결과등록완료","DONE",IF(U160="06-BIW중단","BLOCKED",IF(AND(K160="",J160&lt;TODAY()),"CRITICAL",IF(AND(ISNUMBER(X160),X160&lt;=0),"OVERDUE",IF(AND(ISNUMBER(X160),X160&lt;=14),"WARNING",IF(U160&lt;&gt;"","ACTION","ON TRACK")))))))</f>
        <v/>
      </c>
      <c r="Z160" s="5">
        <f>IF(B160="","",IF(OR(T160&lt;&gt;"",R160&lt;&gt;"",P160&lt;&gt;"",N160&lt;&gt;"",K160&lt;&gt;""),TODAY()-MAX(T160,R160,P160,N160,K160),"—"))</f>
        <v/>
      </c>
      <c r="AA160" s="19">
        <f>IF(B160="","",IF(V160="11-결과등록완료","— 완료",IF(V160="01-미제출",IF(J160&lt;TODAY(),"계획서 제출 독촉 (OVERDUE)","계획서 제출 대기"),IF(V160="02-제출_미검토","설계자: 계획서 검토 착수",IF(V160="03-검토중","설계자: 승인 처리",IF(V160="04-검토중_보완","보완 요청 → 협력사 재제출 독촉",IF(V160="05-계획서승인","시험편 준비 현황 확인",IF(V160="06-BIW중단","BIW 생산팀 확인 → 일정 재수립",IF(V160="07-미인수","협력사 인수 독촉",IF(V160="08-단품준비완료","시험 일정 확인",IF(V160="09-시험준비중","시험 진행 모니터링",IF(V160="10-시험완료","결과 보고서 전산 등록 독촉",IF(V160="12-조건부승인","조건부 승인 여부 판단 → 관련부서 협의","—")))))))))))))</f>
        <v/>
      </c>
      <c r="AB160" s="15" t="n"/>
    </row>
    <row r="161">
      <c r="A161" s="5">
        <f>IF(B161="","",ROW()-4)</f>
        <v/>
      </c>
      <c r="B161" s="13" t="n"/>
      <c r="C161" s="14">
        <f>IF(B161="","",IFERROR(VLOOKUP(D161,'Reference Data 기준데이터'!$A$30:$D$41,2,FALSE),""))</f>
        <v/>
      </c>
      <c r="D161" s="15" t="n"/>
      <c r="E161" s="14">
        <f>IF(B161="","",IFERROR(VLOOKUP(D161,'Reference Data 기준데이터'!$A$30:$D$41,3,FALSE),""))</f>
        <v/>
      </c>
      <c r="F161" s="15" t="n"/>
      <c r="G161" s="14">
        <f>IF(B161="","",IFERROR(VLOOKUP(F161,'Reference Data 기준데이터'!$A$9:$E$26,2,FALSE),""))</f>
        <v/>
      </c>
      <c r="H161" s="14">
        <f>IF(B161="","",IFERROR(VLOOKUP(F161,'Reference Data 기준데이터'!$A$9:$E$26,5,FALSE),""))</f>
        <v/>
      </c>
      <c r="I161" s="16">
        <f>IF(B161="","",IFERROR(VLOOKUP(B161,'Reference Data 기준데이터'!$A$3:$J$5,3,FALSE),""))</f>
        <v/>
      </c>
      <c r="J161" s="16">
        <f>IF(B161="","",IFERROR(I161+VLOOKUP(B161,'Reference Data 기준데이터'!$A$3:$J$5,7,FALSE),""))</f>
        <v/>
      </c>
      <c r="K161" s="20" t="n"/>
      <c r="L161" s="13" t="n"/>
      <c r="M161" s="16">
        <f>IF(B161="","",IFERROR(I161+VLOOKUP(B161,'Reference Data 기준데이터'!$A$3:$J$5,8,FALSE),""))</f>
        <v/>
      </c>
      <c r="N161" s="20" t="n"/>
      <c r="O161" s="16">
        <f>IF(B161="","",IFERROR(IF(G161="차량장착",MAX(I161+VLOOKUP(B161,'Reference Data 기준데이터'!$A$3:$J$5,9,FALSE),VLOOKUP(B161,'Reference Data 기준데이터'!$A$3:$J$5,4,FALSE)),I161+VLOOKUP(B161,'Reference Data 기준데이터'!$A$3:$J$5,9,FALSE)),""))</f>
        <v/>
      </c>
      <c r="P161" s="20" t="n"/>
      <c r="Q161" s="16">
        <f>IF(B161="","",IFERROR(O161+VLOOKUP(F161,'Reference Data 기준데이터'!$A$9:$E$26,4,FALSE),""))</f>
        <v/>
      </c>
      <c r="R161" s="20" t="n"/>
      <c r="S161" s="16">
        <f>IF(B161="","",IFERROR(MIN(I161+VLOOKUP(B161,'Reference Data 기준데이터'!$A$3:$J$5,10,FALSE),VLOOKUP(B161,'Reference Data 기준데이터'!$A$3:$J$5,6,FALSE)),""))</f>
        <v/>
      </c>
      <c r="T161" s="20" t="n"/>
      <c r="U161" s="13" t="n"/>
      <c r="V161" s="17">
        <f>IF(B161="","",IF(U161&lt;&gt;"",U161,IF(AND(T161&lt;&gt;"",R161&lt;&gt;""),"11-결과등록완료",IF(AND(R161&lt;&gt;"",T161=""),"10-시험완료",IF(AND(P161&lt;&gt;"",R161=""),"09-시험준비중",IF(AND(N161&lt;&gt;"",P161=""),"08-단품준비완료",IF(L161="Approved","05-계획서승인",IF(L161="Revision Needed","04-검토중_보완",IF(L161="Under Review","03-검토중",IF(AND(K161&lt;&gt;"",L161=""),"02-제출_미검토","01-미제출"))))))))))</f>
        <v/>
      </c>
      <c r="W161" s="18">
        <f>IF(B161="","",IFS(V161="01-미제출",0,V161="02-제출_미검토",0.05,V161="03-검토중",0.1,V161="04-검토중_보완",0.05,V161="05-계획서승인",0.2,V161="06-BIW중단",0.15,V161="07-미인수",0.3,V161="08-단품준비완료",0.4,V161="09-시험준비중",0.55,V161="10-시험완료",0.85,V161="11-결과등록완료",1,V161="12-조건부승인",0.9,TRUE,0))</f>
        <v/>
      </c>
      <c r="X161" s="5">
        <f>IF(B161="","",IF(T161&lt;&gt;"","-",IF(S161="","N/A",S161-TODAY())))</f>
        <v/>
      </c>
      <c r="Y161" s="17">
        <f>IF(B161="","",IF(V161="11-결과등록완료","DONE",IF(U161="06-BIW중단","BLOCKED",IF(AND(K161="",J161&lt;TODAY()),"CRITICAL",IF(AND(ISNUMBER(X161),X161&lt;=0),"OVERDUE",IF(AND(ISNUMBER(X161),X161&lt;=14),"WARNING",IF(U161&lt;&gt;"","ACTION","ON TRACK")))))))</f>
        <v/>
      </c>
      <c r="Z161" s="5">
        <f>IF(B161="","",IF(OR(T161&lt;&gt;"",R161&lt;&gt;"",P161&lt;&gt;"",N161&lt;&gt;"",K161&lt;&gt;""),TODAY()-MAX(T161,R161,P161,N161,K161),"—"))</f>
        <v/>
      </c>
      <c r="AA161" s="19">
        <f>IF(B161="","",IF(V161="11-결과등록완료","— 완료",IF(V161="01-미제출",IF(J161&lt;TODAY(),"계획서 제출 독촉 (OVERDUE)","계획서 제출 대기"),IF(V161="02-제출_미검토","설계자: 계획서 검토 착수",IF(V161="03-검토중","설계자: 승인 처리",IF(V161="04-검토중_보완","보완 요청 → 협력사 재제출 독촉",IF(V161="05-계획서승인","시험편 준비 현황 확인",IF(V161="06-BIW중단","BIW 생산팀 확인 → 일정 재수립",IF(V161="07-미인수","협력사 인수 독촉",IF(V161="08-단품준비완료","시험 일정 확인",IF(V161="09-시험준비중","시험 진행 모니터링",IF(V161="10-시험완료","결과 보고서 전산 등록 독촉",IF(V161="12-조건부승인","조건부 승인 여부 판단 → 관련부서 협의","—")))))))))))))</f>
        <v/>
      </c>
      <c r="AB161" s="15" t="n"/>
    </row>
    <row r="162">
      <c r="A162" s="5">
        <f>IF(B162="","",ROW()-4)</f>
        <v/>
      </c>
      <c r="B162" s="13" t="n"/>
      <c r="C162" s="14">
        <f>IF(B162="","",IFERROR(VLOOKUP(D162,'Reference Data 기준데이터'!$A$30:$D$41,2,FALSE),""))</f>
        <v/>
      </c>
      <c r="D162" s="15" t="n"/>
      <c r="E162" s="14">
        <f>IF(B162="","",IFERROR(VLOOKUP(D162,'Reference Data 기준데이터'!$A$30:$D$41,3,FALSE),""))</f>
        <v/>
      </c>
      <c r="F162" s="15" t="n"/>
      <c r="G162" s="14">
        <f>IF(B162="","",IFERROR(VLOOKUP(F162,'Reference Data 기준데이터'!$A$9:$E$26,2,FALSE),""))</f>
        <v/>
      </c>
      <c r="H162" s="14">
        <f>IF(B162="","",IFERROR(VLOOKUP(F162,'Reference Data 기준데이터'!$A$9:$E$26,5,FALSE),""))</f>
        <v/>
      </c>
      <c r="I162" s="16">
        <f>IF(B162="","",IFERROR(VLOOKUP(B162,'Reference Data 기준데이터'!$A$3:$J$5,3,FALSE),""))</f>
        <v/>
      </c>
      <c r="J162" s="16">
        <f>IF(B162="","",IFERROR(I162+VLOOKUP(B162,'Reference Data 기준데이터'!$A$3:$J$5,7,FALSE),""))</f>
        <v/>
      </c>
      <c r="K162" s="20" t="n"/>
      <c r="L162" s="13" t="n"/>
      <c r="M162" s="16">
        <f>IF(B162="","",IFERROR(I162+VLOOKUP(B162,'Reference Data 기준데이터'!$A$3:$J$5,8,FALSE),""))</f>
        <v/>
      </c>
      <c r="N162" s="20" t="n"/>
      <c r="O162" s="16">
        <f>IF(B162="","",IFERROR(IF(G162="차량장착",MAX(I162+VLOOKUP(B162,'Reference Data 기준데이터'!$A$3:$J$5,9,FALSE),VLOOKUP(B162,'Reference Data 기준데이터'!$A$3:$J$5,4,FALSE)),I162+VLOOKUP(B162,'Reference Data 기준데이터'!$A$3:$J$5,9,FALSE)),""))</f>
        <v/>
      </c>
      <c r="P162" s="20" t="n"/>
      <c r="Q162" s="16">
        <f>IF(B162="","",IFERROR(O162+VLOOKUP(F162,'Reference Data 기준데이터'!$A$9:$E$26,4,FALSE),""))</f>
        <v/>
      </c>
      <c r="R162" s="20" t="n"/>
      <c r="S162" s="16">
        <f>IF(B162="","",IFERROR(MIN(I162+VLOOKUP(B162,'Reference Data 기준데이터'!$A$3:$J$5,10,FALSE),VLOOKUP(B162,'Reference Data 기준데이터'!$A$3:$J$5,6,FALSE)),""))</f>
        <v/>
      </c>
      <c r="T162" s="20" t="n"/>
      <c r="U162" s="13" t="n"/>
      <c r="V162" s="17">
        <f>IF(B162="","",IF(U162&lt;&gt;"",U162,IF(AND(T162&lt;&gt;"",R162&lt;&gt;""),"11-결과등록완료",IF(AND(R162&lt;&gt;"",T162=""),"10-시험완료",IF(AND(P162&lt;&gt;"",R162=""),"09-시험준비중",IF(AND(N162&lt;&gt;"",P162=""),"08-단품준비완료",IF(L162="Approved","05-계획서승인",IF(L162="Revision Needed","04-검토중_보완",IF(L162="Under Review","03-검토중",IF(AND(K162&lt;&gt;"",L162=""),"02-제출_미검토","01-미제출"))))))))))</f>
        <v/>
      </c>
      <c r="W162" s="18">
        <f>IF(B162="","",IFS(V162="01-미제출",0,V162="02-제출_미검토",0.05,V162="03-검토중",0.1,V162="04-검토중_보완",0.05,V162="05-계획서승인",0.2,V162="06-BIW중단",0.15,V162="07-미인수",0.3,V162="08-단품준비완료",0.4,V162="09-시험준비중",0.55,V162="10-시험완료",0.85,V162="11-결과등록완료",1,V162="12-조건부승인",0.9,TRUE,0))</f>
        <v/>
      </c>
      <c r="X162" s="5">
        <f>IF(B162="","",IF(T162&lt;&gt;"","-",IF(S162="","N/A",S162-TODAY())))</f>
        <v/>
      </c>
      <c r="Y162" s="17">
        <f>IF(B162="","",IF(V162="11-결과등록완료","DONE",IF(U162="06-BIW중단","BLOCKED",IF(AND(K162="",J162&lt;TODAY()),"CRITICAL",IF(AND(ISNUMBER(X162),X162&lt;=0),"OVERDUE",IF(AND(ISNUMBER(X162),X162&lt;=14),"WARNING",IF(U162&lt;&gt;"","ACTION","ON TRACK")))))))</f>
        <v/>
      </c>
      <c r="Z162" s="5">
        <f>IF(B162="","",IF(OR(T162&lt;&gt;"",R162&lt;&gt;"",P162&lt;&gt;"",N162&lt;&gt;"",K162&lt;&gt;""),TODAY()-MAX(T162,R162,P162,N162,K162),"—"))</f>
        <v/>
      </c>
      <c r="AA162" s="19">
        <f>IF(B162="","",IF(V162="11-결과등록완료","— 완료",IF(V162="01-미제출",IF(J162&lt;TODAY(),"계획서 제출 독촉 (OVERDUE)","계획서 제출 대기"),IF(V162="02-제출_미검토","설계자: 계획서 검토 착수",IF(V162="03-검토중","설계자: 승인 처리",IF(V162="04-검토중_보완","보완 요청 → 협력사 재제출 독촉",IF(V162="05-계획서승인","시험편 준비 현황 확인",IF(V162="06-BIW중단","BIW 생산팀 확인 → 일정 재수립",IF(V162="07-미인수","협력사 인수 독촉",IF(V162="08-단품준비완료","시험 일정 확인",IF(V162="09-시험준비중","시험 진행 모니터링",IF(V162="10-시험완료","결과 보고서 전산 등록 독촉",IF(V162="12-조건부승인","조건부 승인 여부 판단 → 관련부서 협의","—")))))))))))))</f>
        <v/>
      </c>
      <c r="AB162" s="15" t="n"/>
    </row>
    <row r="163">
      <c r="A163" s="5">
        <f>IF(B163="","",ROW()-4)</f>
        <v/>
      </c>
      <c r="B163" s="13" t="n"/>
      <c r="C163" s="14">
        <f>IF(B163="","",IFERROR(VLOOKUP(D163,'Reference Data 기준데이터'!$A$30:$D$41,2,FALSE),""))</f>
        <v/>
      </c>
      <c r="D163" s="15" t="n"/>
      <c r="E163" s="14">
        <f>IF(B163="","",IFERROR(VLOOKUP(D163,'Reference Data 기준데이터'!$A$30:$D$41,3,FALSE),""))</f>
        <v/>
      </c>
      <c r="F163" s="15" t="n"/>
      <c r="G163" s="14">
        <f>IF(B163="","",IFERROR(VLOOKUP(F163,'Reference Data 기준데이터'!$A$9:$E$26,2,FALSE),""))</f>
        <v/>
      </c>
      <c r="H163" s="14">
        <f>IF(B163="","",IFERROR(VLOOKUP(F163,'Reference Data 기준데이터'!$A$9:$E$26,5,FALSE),""))</f>
        <v/>
      </c>
      <c r="I163" s="16">
        <f>IF(B163="","",IFERROR(VLOOKUP(B163,'Reference Data 기준데이터'!$A$3:$J$5,3,FALSE),""))</f>
        <v/>
      </c>
      <c r="J163" s="16">
        <f>IF(B163="","",IFERROR(I163+VLOOKUP(B163,'Reference Data 기준데이터'!$A$3:$J$5,7,FALSE),""))</f>
        <v/>
      </c>
      <c r="K163" s="20" t="n"/>
      <c r="L163" s="13" t="n"/>
      <c r="M163" s="16">
        <f>IF(B163="","",IFERROR(I163+VLOOKUP(B163,'Reference Data 기준데이터'!$A$3:$J$5,8,FALSE),""))</f>
        <v/>
      </c>
      <c r="N163" s="20" t="n"/>
      <c r="O163" s="16">
        <f>IF(B163="","",IFERROR(IF(G163="차량장착",MAX(I163+VLOOKUP(B163,'Reference Data 기준데이터'!$A$3:$J$5,9,FALSE),VLOOKUP(B163,'Reference Data 기준데이터'!$A$3:$J$5,4,FALSE)),I163+VLOOKUP(B163,'Reference Data 기준데이터'!$A$3:$J$5,9,FALSE)),""))</f>
        <v/>
      </c>
      <c r="P163" s="20" t="n"/>
      <c r="Q163" s="16">
        <f>IF(B163="","",IFERROR(O163+VLOOKUP(F163,'Reference Data 기준데이터'!$A$9:$E$26,4,FALSE),""))</f>
        <v/>
      </c>
      <c r="R163" s="20" t="n"/>
      <c r="S163" s="16">
        <f>IF(B163="","",IFERROR(MIN(I163+VLOOKUP(B163,'Reference Data 기준데이터'!$A$3:$J$5,10,FALSE),VLOOKUP(B163,'Reference Data 기준데이터'!$A$3:$J$5,6,FALSE)),""))</f>
        <v/>
      </c>
      <c r="T163" s="20" t="n"/>
      <c r="U163" s="13" t="n"/>
      <c r="V163" s="17">
        <f>IF(B163="","",IF(U163&lt;&gt;"",U163,IF(AND(T163&lt;&gt;"",R163&lt;&gt;""),"11-결과등록완료",IF(AND(R163&lt;&gt;"",T163=""),"10-시험완료",IF(AND(P163&lt;&gt;"",R163=""),"09-시험준비중",IF(AND(N163&lt;&gt;"",P163=""),"08-단품준비완료",IF(L163="Approved","05-계획서승인",IF(L163="Revision Needed","04-검토중_보완",IF(L163="Under Review","03-검토중",IF(AND(K163&lt;&gt;"",L163=""),"02-제출_미검토","01-미제출"))))))))))</f>
        <v/>
      </c>
      <c r="W163" s="18">
        <f>IF(B163="","",IFS(V163="01-미제출",0,V163="02-제출_미검토",0.05,V163="03-검토중",0.1,V163="04-검토중_보완",0.05,V163="05-계획서승인",0.2,V163="06-BIW중단",0.15,V163="07-미인수",0.3,V163="08-단품준비완료",0.4,V163="09-시험준비중",0.55,V163="10-시험완료",0.85,V163="11-결과등록완료",1,V163="12-조건부승인",0.9,TRUE,0))</f>
        <v/>
      </c>
      <c r="X163" s="5">
        <f>IF(B163="","",IF(T163&lt;&gt;"","-",IF(S163="","N/A",S163-TODAY())))</f>
        <v/>
      </c>
      <c r="Y163" s="17">
        <f>IF(B163="","",IF(V163="11-결과등록완료","DONE",IF(U163="06-BIW중단","BLOCKED",IF(AND(K163="",J163&lt;TODAY()),"CRITICAL",IF(AND(ISNUMBER(X163),X163&lt;=0),"OVERDUE",IF(AND(ISNUMBER(X163),X163&lt;=14),"WARNING",IF(U163&lt;&gt;"","ACTION","ON TRACK")))))))</f>
        <v/>
      </c>
      <c r="Z163" s="5">
        <f>IF(B163="","",IF(OR(T163&lt;&gt;"",R163&lt;&gt;"",P163&lt;&gt;"",N163&lt;&gt;"",K163&lt;&gt;""),TODAY()-MAX(T163,R163,P163,N163,K163),"—"))</f>
        <v/>
      </c>
      <c r="AA163" s="19">
        <f>IF(B163="","",IF(V163="11-결과등록완료","— 완료",IF(V163="01-미제출",IF(J163&lt;TODAY(),"계획서 제출 독촉 (OVERDUE)","계획서 제출 대기"),IF(V163="02-제출_미검토","설계자: 계획서 검토 착수",IF(V163="03-검토중","설계자: 승인 처리",IF(V163="04-검토중_보완","보완 요청 → 협력사 재제출 독촉",IF(V163="05-계획서승인","시험편 준비 현황 확인",IF(V163="06-BIW중단","BIW 생산팀 확인 → 일정 재수립",IF(V163="07-미인수","협력사 인수 독촉",IF(V163="08-단품준비완료","시험 일정 확인",IF(V163="09-시험준비중","시험 진행 모니터링",IF(V163="10-시험완료","결과 보고서 전산 등록 독촉",IF(V163="12-조건부승인","조건부 승인 여부 판단 → 관련부서 협의","—")))))))))))))</f>
        <v/>
      </c>
      <c r="AB163" s="15" t="n"/>
    </row>
    <row r="164">
      <c r="A164" s="5">
        <f>IF(B164="","",ROW()-4)</f>
        <v/>
      </c>
      <c r="B164" s="13" t="n"/>
      <c r="C164" s="14">
        <f>IF(B164="","",IFERROR(VLOOKUP(D164,'Reference Data 기준데이터'!$A$30:$D$41,2,FALSE),""))</f>
        <v/>
      </c>
      <c r="D164" s="15" t="n"/>
      <c r="E164" s="14">
        <f>IF(B164="","",IFERROR(VLOOKUP(D164,'Reference Data 기준데이터'!$A$30:$D$41,3,FALSE),""))</f>
        <v/>
      </c>
      <c r="F164" s="15" t="n"/>
      <c r="G164" s="14">
        <f>IF(B164="","",IFERROR(VLOOKUP(F164,'Reference Data 기준데이터'!$A$9:$E$26,2,FALSE),""))</f>
        <v/>
      </c>
      <c r="H164" s="14">
        <f>IF(B164="","",IFERROR(VLOOKUP(F164,'Reference Data 기준데이터'!$A$9:$E$26,5,FALSE),""))</f>
        <v/>
      </c>
      <c r="I164" s="16">
        <f>IF(B164="","",IFERROR(VLOOKUP(B164,'Reference Data 기준데이터'!$A$3:$J$5,3,FALSE),""))</f>
        <v/>
      </c>
      <c r="J164" s="16">
        <f>IF(B164="","",IFERROR(I164+VLOOKUP(B164,'Reference Data 기준데이터'!$A$3:$J$5,7,FALSE),""))</f>
        <v/>
      </c>
      <c r="K164" s="20" t="n"/>
      <c r="L164" s="13" t="n"/>
      <c r="M164" s="16">
        <f>IF(B164="","",IFERROR(I164+VLOOKUP(B164,'Reference Data 기준데이터'!$A$3:$J$5,8,FALSE),""))</f>
        <v/>
      </c>
      <c r="N164" s="20" t="n"/>
      <c r="O164" s="16">
        <f>IF(B164="","",IFERROR(IF(G164="차량장착",MAX(I164+VLOOKUP(B164,'Reference Data 기준데이터'!$A$3:$J$5,9,FALSE),VLOOKUP(B164,'Reference Data 기준데이터'!$A$3:$J$5,4,FALSE)),I164+VLOOKUP(B164,'Reference Data 기준데이터'!$A$3:$J$5,9,FALSE)),""))</f>
        <v/>
      </c>
      <c r="P164" s="20" t="n"/>
      <c r="Q164" s="16">
        <f>IF(B164="","",IFERROR(O164+VLOOKUP(F164,'Reference Data 기준데이터'!$A$9:$E$26,4,FALSE),""))</f>
        <v/>
      </c>
      <c r="R164" s="20" t="n"/>
      <c r="S164" s="16">
        <f>IF(B164="","",IFERROR(MIN(I164+VLOOKUP(B164,'Reference Data 기준데이터'!$A$3:$J$5,10,FALSE),VLOOKUP(B164,'Reference Data 기준데이터'!$A$3:$J$5,6,FALSE)),""))</f>
        <v/>
      </c>
      <c r="T164" s="20" t="n"/>
      <c r="U164" s="13" t="n"/>
      <c r="V164" s="17">
        <f>IF(B164="","",IF(U164&lt;&gt;"",U164,IF(AND(T164&lt;&gt;"",R164&lt;&gt;""),"11-결과등록완료",IF(AND(R164&lt;&gt;"",T164=""),"10-시험완료",IF(AND(P164&lt;&gt;"",R164=""),"09-시험준비중",IF(AND(N164&lt;&gt;"",P164=""),"08-단품준비완료",IF(L164="Approved","05-계획서승인",IF(L164="Revision Needed","04-검토중_보완",IF(L164="Under Review","03-검토중",IF(AND(K164&lt;&gt;"",L164=""),"02-제출_미검토","01-미제출"))))))))))</f>
        <v/>
      </c>
      <c r="W164" s="18">
        <f>IF(B164="","",IFS(V164="01-미제출",0,V164="02-제출_미검토",0.05,V164="03-검토중",0.1,V164="04-검토중_보완",0.05,V164="05-계획서승인",0.2,V164="06-BIW중단",0.15,V164="07-미인수",0.3,V164="08-단품준비완료",0.4,V164="09-시험준비중",0.55,V164="10-시험완료",0.85,V164="11-결과등록완료",1,V164="12-조건부승인",0.9,TRUE,0))</f>
        <v/>
      </c>
      <c r="X164" s="5">
        <f>IF(B164="","",IF(T164&lt;&gt;"","-",IF(S164="","N/A",S164-TODAY())))</f>
        <v/>
      </c>
      <c r="Y164" s="17">
        <f>IF(B164="","",IF(V164="11-결과등록완료","DONE",IF(U164="06-BIW중단","BLOCKED",IF(AND(K164="",J164&lt;TODAY()),"CRITICAL",IF(AND(ISNUMBER(X164),X164&lt;=0),"OVERDUE",IF(AND(ISNUMBER(X164),X164&lt;=14),"WARNING",IF(U164&lt;&gt;"","ACTION","ON TRACK")))))))</f>
        <v/>
      </c>
      <c r="Z164" s="5">
        <f>IF(B164="","",IF(OR(T164&lt;&gt;"",R164&lt;&gt;"",P164&lt;&gt;"",N164&lt;&gt;"",K164&lt;&gt;""),TODAY()-MAX(T164,R164,P164,N164,K164),"—"))</f>
        <v/>
      </c>
      <c r="AA164" s="19">
        <f>IF(B164="","",IF(V164="11-결과등록완료","— 완료",IF(V164="01-미제출",IF(J164&lt;TODAY(),"계획서 제출 독촉 (OVERDUE)","계획서 제출 대기"),IF(V164="02-제출_미검토","설계자: 계획서 검토 착수",IF(V164="03-검토중","설계자: 승인 처리",IF(V164="04-검토중_보완","보완 요청 → 협력사 재제출 독촉",IF(V164="05-계획서승인","시험편 준비 현황 확인",IF(V164="06-BIW중단","BIW 생산팀 확인 → 일정 재수립",IF(V164="07-미인수","협력사 인수 독촉",IF(V164="08-단품준비완료","시험 일정 확인",IF(V164="09-시험준비중","시험 진행 모니터링",IF(V164="10-시험완료","결과 보고서 전산 등록 독촉",IF(V164="12-조건부승인","조건부 승인 여부 판단 → 관련부서 협의","—")))))))))))))</f>
        <v/>
      </c>
      <c r="AB164" s="15" t="n"/>
    </row>
    <row r="165">
      <c r="A165" s="5">
        <f>IF(B165="","",ROW()-4)</f>
        <v/>
      </c>
      <c r="B165" s="13" t="n"/>
      <c r="C165" s="14">
        <f>IF(B165="","",IFERROR(VLOOKUP(D165,'Reference Data 기준데이터'!$A$30:$D$41,2,FALSE),""))</f>
        <v/>
      </c>
      <c r="D165" s="15" t="n"/>
      <c r="E165" s="14">
        <f>IF(B165="","",IFERROR(VLOOKUP(D165,'Reference Data 기준데이터'!$A$30:$D$41,3,FALSE),""))</f>
        <v/>
      </c>
      <c r="F165" s="15" t="n"/>
      <c r="G165" s="14">
        <f>IF(B165="","",IFERROR(VLOOKUP(F165,'Reference Data 기준데이터'!$A$9:$E$26,2,FALSE),""))</f>
        <v/>
      </c>
      <c r="H165" s="14">
        <f>IF(B165="","",IFERROR(VLOOKUP(F165,'Reference Data 기준데이터'!$A$9:$E$26,5,FALSE),""))</f>
        <v/>
      </c>
      <c r="I165" s="16">
        <f>IF(B165="","",IFERROR(VLOOKUP(B165,'Reference Data 기준데이터'!$A$3:$J$5,3,FALSE),""))</f>
        <v/>
      </c>
      <c r="J165" s="16">
        <f>IF(B165="","",IFERROR(I165+VLOOKUP(B165,'Reference Data 기준데이터'!$A$3:$J$5,7,FALSE),""))</f>
        <v/>
      </c>
      <c r="K165" s="20" t="n"/>
      <c r="L165" s="13" t="n"/>
      <c r="M165" s="16">
        <f>IF(B165="","",IFERROR(I165+VLOOKUP(B165,'Reference Data 기준데이터'!$A$3:$J$5,8,FALSE),""))</f>
        <v/>
      </c>
      <c r="N165" s="20" t="n"/>
      <c r="O165" s="16">
        <f>IF(B165="","",IFERROR(IF(G165="차량장착",MAX(I165+VLOOKUP(B165,'Reference Data 기준데이터'!$A$3:$J$5,9,FALSE),VLOOKUP(B165,'Reference Data 기준데이터'!$A$3:$J$5,4,FALSE)),I165+VLOOKUP(B165,'Reference Data 기준데이터'!$A$3:$J$5,9,FALSE)),""))</f>
        <v/>
      </c>
      <c r="P165" s="20" t="n"/>
      <c r="Q165" s="16">
        <f>IF(B165="","",IFERROR(O165+VLOOKUP(F165,'Reference Data 기준데이터'!$A$9:$E$26,4,FALSE),""))</f>
        <v/>
      </c>
      <c r="R165" s="20" t="n"/>
      <c r="S165" s="16">
        <f>IF(B165="","",IFERROR(MIN(I165+VLOOKUP(B165,'Reference Data 기준데이터'!$A$3:$J$5,10,FALSE),VLOOKUP(B165,'Reference Data 기준데이터'!$A$3:$J$5,6,FALSE)),""))</f>
        <v/>
      </c>
      <c r="T165" s="20" t="n"/>
      <c r="U165" s="13" t="n"/>
      <c r="V165" s="17">
        <f>IF(B165="","",IF(U165&lt;&gt;"",U165,IF(AND(T165&lt;&gt;"",R165&lt;&gt;""),"11-결과등록완료",IF(AND(R165&lt;&gt;"",T165=""),"10-시험완료",IF(AND(P165&lt;&gt;"",R165=""),"09-시험준비중",IF(AND(N165&lt;&gt;"",P165=""),"08-단품준비완료",IF(L165="Approved","05-계획서승인",IF(L165="Revision Needed","04-검토중_보완",IF(L165="Under Review","03-검토중",IF(AND(K165&lt;&gt;"",L165=""),"02-제출_미검토","01-미제출"))))))))))</f>
        <v/>
      </c>
      <c r="W165" s="18">
        <f>IF(B165="","",IFS(V165="01-미제출",0,V165="02-제출_미검토",0.05,V165="03-검토중",0.1,V165="04-검토중_보완",0.05,V165="05-계획서승인",0.2,V165="06-BIW중단",0.15,V165="07-미인수",0.3,V165="08-단품준비완료",0.4,V165="09-시험준비중",0.55,V165="10-시험완료",0.85,V165="11-결과등록완료",1,V165="12-조건부승인",0.9,TRUE,0))</f>
        <v/>
      </c>
      <c r="X165" s="5">
        <f>IF(B165="","",IF(T165&lt;&gt;"","-",IF(S165="","N/A",S165-TODAY())))</f>
        <v/>
      </c>
      <c r="Y165" s="17">
        <f>IF(B165="","",IF(V165="11-결과등록완료","DONE",IF(U165="06-BIW중단","BLOCKED",IF(AND(K165="",J165&lt;TODAY()),"CRITICAL",IF(AND(ISNUMBER(X165),X165&lt;=0),"OVERDUE",IF(AND(ISNUMBER(X165),X165&lt;=14),"WARNING",IF(U165&lt;&gt;"","ACTION","ON TRACK")))))))</f>
        <v/>
      </c>
      <c r="Z165" s="5">
        <f>IF(B165="","",IF(OR(T165&lt;&gt;"",R165&lt;&gt;"",P165&lt;&gt;"",N165&lt;&gt;"",K165&lt;&gt;""),TODAY()-MAX(T165,R165,P165,N165,K165),"—"))</f>
        <v/>
      </c>
      <c r="AA165" s="19">
        <f>IF(B165="","",IF(V165="11-결과등록완료","— 완료",IF(V165="01-미제출",IF(J165&lt;TODAY(),"계획서 제출 독촉 (OVERDUE)","계획서 제출 대기"),IF(V165="02-제출_미검토","설계자: 계획서 검토 착수",IF(V165="03-검토중","설계자: 승인 처리",IF(V165="04-검토중_보완","보완 요청 → 협력사 재제출 독촉",IF(V165="05-계획서승인","시험편 준비 현황 확인",IF(V165="06-BIW중단","BIW 생산팀 확인 → 일정 재수립",IF(V165="07-미인수","협력사 인수 독촉",IF(V165="08-단품준비완료","시험 일정 확인",IF(V165="09-시험준비중","시험 진행 모니터링",IF(V165="10-시험완료","결과 보고서 전산 등록 독촉",IF(V165="12-조건부승인","조건부 승인 여부 판단 → 관련부서 협의","—")))))))))))))</f>
        <v/>
      </c>
      <c r="AB165" s="15" t="n"/>
    </row>
    <row r="166">
      <c r="A166" s="5">
        <f>IF(B166="","",ROW()-4)</f>
        <v/>
      </c>
      <c r="B166" s="13" t="n"/>
      <c r="C166" s="14">
        <f>IF(B166="","",IFERROR(VLOOKUP(D166,'Reference Data 기준데이터'!$A$30:$D$41,2,FALSE),""))</f>
        <v/>
      </c>
      <c r="D166" s="15" t="n"/>
      <c r="E166" s="14">
        <f>IF(B166="","",IFERROR(VLOOKUP(D166,'Reference Data 기준데이터'!$A$30:$D$41,3,FALSE),""))</f>
        <v/>
      </c>
      <c r="F166" s="15" t="n"/>
      <c r="G166" s="14">
        <f>IF(B166="","",IFERROR(VLOOKUP(F166,'Reference Data 기준데이터'!$A$9:$E$26,2,FALSE),""))</f>
        <v/>
      </c>
      <c r="H166" s="14">
        <f>IF(B166="","",IFERROR(VLOOKUP(F166,'Reference Data 기준데이터'!$A$9:$E$26,5,FALSE),""))</f>
        <v/>
      </c>
      <c r="I166" s="16">
        <f>IF(B166="","",IFERROR(VLOOKUP(B166,'Reference Data 기준데이터'!$A$3:$J$5,3,FALSE),""))</f>
        <v/>
      </c>
      <c r="J166" s="16">
        <f>IF(B166="","",IFERROR(I166+VLOOKUP(B166,'Reference Data 기준데이터'!$A$3:$J$5,7,FALSE),""))</f>
        <v/>
      </c>
      <c r="K166" s="20" t="n"/>
      <c r="L166" s="13" t="n"/>
      <c r="M166" s="16">
        <f>IF(B166="","",IFERROR(I166+VLOOKUP(B166,'Reference Data 기준데이터'!$A$3:$J$5,8,FALSE),""))</f>
        <v/>
      </c>
      <c r="N166" s="20" t="n"/>
      <c r="O166" s="16">
        <f>IF(B166="","",IFERROR(IF(G166="차량장착",MAX(I166+VLOOKUP(B166,'Reference Data 기준데이터'!$A$3:$J$5,9,FALSE),VLOOKUP(B166,'Reference Data 기준데이터'!$A$3:$J$5,4,FALSE)),I166+VLOOKUP(B166,'Reference Data 기준데이터'!$A$3:$J$5,9,FALSE)),""))</f>
        <v/>
      </c>
      <c r="P166" s="20" t="n"/>
      <c r="Q166" s="16">
        <f>IF(B166="","",IFERROR(O166+VLOOKUP(F166,'Reference Data 기준데이터'!$A$9:$E$26,4,FALSE),""))</f>
        <v/>
      </c>
      <c r="R166" s="20" t="n"/>
      <c r="S166" s="16">
        <f>IF(B166="","",IFERROR(MIN(I166+VLOOKUP(B166,'Reference Data 기준데이터'!$A$3:$J$5,10,FALSE),VLOOKUP(B166,'Reference Data 기준데이터'!$A$3:$J$5,6,FALSE)),""))</f>
        <v/>
      </c>
      <c r="T166" s="20" t="n"/>
      <c r="U166" s="13" t="n"/>
      <c r="V166" s="17">
        <f>IF(B166="","",IF(U166&lt;&gt;"",U166,IF(AND(T166&lt;&gt;"",R166&lt;&gt;""),"11-결과등록완료",IF(AND(R166&lt;&gt;"",T166=""),"10-시험완료",IF(AND(P166&lt;&gt;"",R166=""),"09-시험준비중",IF(AND(N166&lt;&gt;"",P166=""),"08-단품준비완료",IF(L166="Approved","05-계획서승인",IF(L166="Revision Needed","04-검토중_보완",IF(L166="Under Review","03-검토중",IF(AND(K166&lt;&gt;"",L166=""),"02-제출_미검토","01-미제출"))))))))))</f>
        <v/>
      </c>
      <c r="W166" s="18">
        <f>IF(B166="","",IFS(V166="01-미제출",0,V166="02-제출_미검토",0.05,V166="03-검토중",0.1,V166="04-검토중_보완",0.05,V166="05-계획서승인",0.2,V166="06-BIW중단",0.15,V166="07-미인수",0.3,V166="08-단품준비완료",0.4,V166="09-시험준비중",0.55,V166="10-시험완료",0.85,V166="11-결과등록완료",1,V166="12-조건부승인",0.9,TRUE,0))</f>
        <v/>
      </c>
      <c r="X166" s="5">
        <f>IF(B166="","",IF(T166&lt;&gt;"","-",IF(S166="","N/A",S166-TODAY())))</f>
        <v/>
      </c>
      <c r="Y166" s="17">
        <f>IF(B166="","",IF(V166="11-결과등록완료","DONE",IF(U166="06-BIW중단","BLOCKED",IF(AND(K166="",J166&lt;TODAY()),"CRITICAL",IF(AND(ISNUMBER(X166),X166&lt;=0),"OVERDUE",IF(AND(ISNUMBER(X166),X166&lt;=14),"WARNING",IF(U166&lt;&gt;"","ACTION","ON TRACK")))))))</f>
        <v/>
      </c>
      <c r="Z166" s="5">
        <f>IF(B166="","",IF(OR(T166&lt;&gt;"",R166&lt;&gt;"",P166&lt;&gt;"",N166&lt;&gt;"",K166&lt;&gt;""),TODAY()-MAX(T166,R166,P166,N166,K166),"—"))</f>
        <v/>
      </c>
      <c r="AA166" s="19">
        <f>IF(B166="","",IF(V166="11-결과등록완료","— 완료",IF(V166="01-미제출",IF(J166&lt;TODAY(),"계획서 제출 독촉 (OVERDUE)","계획서 제출 대기"),IF(V166="02-제출_미검토","설계자: 계획서 검토 착수",IF(V166="03-검토중","설계자: 승인 처리",IF(V166="04-검토중_보완","보완 요청 → 협력사 재제출 독촉",IF(V166="05-계획서승인","시험편 준비 현황 확인",IF(V166="06-BIW중단","BIW 생산팀 확인 → 일정 재수립",IF(V166="07-미인수","협력사 인수 독촉",IF(V166="08-단품준비완료","시험 일정 확인",IF(V166="09-시험준비중","시험 진행 모니터링",IF(V166="10-시험완료","결과 보고서 전산 등록 독촉",IF(V166="12-조건부승인","조건부 승인 여부 판단 → 관련부서 협의","—")))))))))))))</f>
        <v/>
      </c>
      <c r="AB166" s="15" t="n"/>
    </row>
    <row r="167">
      <c r="A167" s="5">
        <f>IF(B167="","",ROW()-4)</f>
        <v/>
      </c>
      <c r="B167" s="13" t="n"/>
      <c r="C167" s="14">
        <f>IF(B167="","",IFERROR(VLOOKUP(D167,'Reference Data 기준데이터'!$A$30:$D$41,2,FALSE),""))</f>
        <v/>
      </c>
      <c r="D167" s="15" t="n"/>
      <c r="E167" s="14">
        <f>IF(B167="","",IFERROR(VLOOKUP(D167,'Reference Data 기준데이터'!$A$30:$D$41,3,FALSE),""))</f>
        <v/>
      </c>
      <c r="F167" s="15" t="n"/>
      <c r="G167" s="14">
        <f>IF(B167="","",IFERROR(VLOOKUP(F167,'Reference Data 기준데이터'!$A$9:$E$26,2,FALSE),""))</f>
        <v/>
      </c>
      <c r="H167" s="14">
        <f>IF(B167="","",IFERROR(VLOOKUP(F167,'Reference Data 기준데이터'!$A$9:$E$26,5,FALSE),""))</f>
        <v/>
      </c>
      <c r="I167" s="16">
        <f>IF(B167="","",IFERROR(VLOOKUP(B167,'Reference Data 기준데이터'!$A$3:$J$5,3,FALSE),""))</f>
        <v/>
      </c>
      <c r="J167" s="16">
        <f>IF(B167="","",IFERROR(I167+VLOOKUP(B167,'Reference Data 기준데이터'!$A$3:$J$5,7,FALSE),""))</f>
        <v/>
      </c>
      <c r="K167" s="20" t="n"/>
      <c r="L167" s="13" t="n"/>
      <c r="M167" s="16">
        <f>IF(B167="","",IFERROR(I167+VLOOKUP(B167,'Reference Data 기준데이터'!$A$3:$J$5,8,FALSE),""))</f>
        <v/>
      </c>
      <c r="N167" s="20" t="n"/>
      <c r="O167" s="16">
        <f>IF(B167="","",IFERROR(IF(G167="차량장착",MAX(I167+VLOOKUP(B167,'Reference Data 기준데이터'!$A$3:$J$5,9,FALSE),VLOOKUP(B167,'Reference Data 기준데이터'!$A$3:$J$5,4,FALSE)),I167+VLOOKUP(B167,'Reference Data 기준데이터'!$A$3:$J$5,9,FALSE)),""))</f>
        <v/>
      </c>
      <c r="P167" s="20" t="n"/>
      <c r="Q167" s="16">
        <f>IF(B167="","",IFERROR(O167+VLOOKUP(F167,'Reference Data 기준데이터'!$A$9:$E$26,4,FALSE),""))</f>
        <v/>
      </c>
      <c r="R167" s="20" t="n"/>
      <c r="S167" s="16">
        <f>IF(B167="","",IFERROR(MIN(I167+VLOOKUP(B167,'Reference Data 기준데이터'!$A$3:$J$5,10,FALSE),VLOOKUP(B167,'Reference Data 기준데이터'!$A$3:$J$5,6,FALSE)),""))</f>
        <v/>
      </c>
      <c r="T167" s="20" t="n"/>
      <c r="U167" s="13" t="n"/>
      <c r="V167" s="17">
        <f>IF(B167="","",IF(U167&lt;&gt;"",U167,IF(AND(T167&lt;&gt;"",R167&lt;&gt;""),"11-결과등록완료",IF(AND(R167&lt;&gt;"",T167=""),"10-시험완료",IF(AND(P167&lt;&gt;"",R167=""),"09-시험준비중",IF(AND(N167&lt;&gt;"",P167=""),"08-단품준비완료",IF(L167="Approved","05-계획서승인",IF(L167="Revision Needed","04-검토중_보완",IF(L167="Under Review","03-검토중",IF(AND(K167&lt;&gt;"",L167=""),"02-제출_미검토","01-미제출"))))))))))</f>
        <v/>
      </c>
      <c r="W167" s="18">
        <f>IF(B167="","",IFS(V167="01-미제출",0,V167="02-제출_미검토",0.05,V167="03-검토중",0.1,V167="04-검토중_보완",0.05,V167="05-계획서승인",0.2,V167="06-BIW중단",0.15,V167="07-미인수",0.3,V167="08-단품준비완료",0.4,V167="09-시험준비중",0.55,V167="10-시험완료",0.85,V167="11-결과등록완료",1,V167="12-조건부승인",0.9,TRUE,0))</f>
        <v/>
      </c>
      <c r="X167" s="5">
        <f>IF(B167="","",IF(T167&lt;&gt;"","-",IF(S167="","N/A",S167-TODAY())))</f>
        <v/>
      </c>
      <c r="Y167" s="17">
        <f>IF(B167="","",IF(V167="11-결과등록완료","DONE",IF(U167="06-BIW중단","BLOCKED",IF(AND(K167="",J167&lt;TODAY()),"CRITICAL",IF(AND(ISNUMBER(X167),X167&lt;=0),"OVERDUE",IF(AND(ISNUMBER(X167),X167&lt;=14),"WARNING",IF(U167&lt;&gt;"","ACTION","ON TRACK")))))))</f>
        <v/>
      </c>
      <c r="Z167" s="5">
        <f>IF(B167="","",IF(OR(T167&lt;&gt;"",R167&lt;&gt;"",P167&lt;&gt;"",N167&lt;&gt;"",K167&lt;&gt;""),TODAY()-MAX(T167,R167,P167,N167,K167),"—"))</f>
        <v/>
      </c>
      <c r="AA167" s="19">
        <f>IF(B167="","",IF(V167="11-결과등록완료","— 완료",IF(V167="01-미제출",IF(J167&lt;TODAY(),"계획서 제출 독촉 (OVERDUE)","계획서 제출 대기"),IF(V167="02-제출_미검토","설계자: 계획서 검토 착수",IF(V167="03-검토중","설계자: 승인 처리",IF(V167="04-검토중_보완","보완 요청 → 협력사 재제출 독촉",IF(V167="05-계획서승인","시험편 준비 현황 확인",IF(V167="06-BIW중단","BIW 생산팀 확인 → 일정 재수립",IF(V167="07-미인수","협력사 인수 독촉",IF(V167="08-단품준비완료","시험 일정 확인",IF(V167="09-시험준비중","시험 진행 모니터링",IF(V167="10-시험완료","결과 보고서 전산 등록 독촉",IF(V167="12-조건부승인","조건부 승인 여부 판단 → 관련부서 협의","—")))))))))))))</f>
        <v/>
      </c>
      <c r="AB167" s="15" t="n"/>
    </row>
    <row r="168">
      <c r="A168" s="5">
        <f>IF(B168="","",ROW()-4)</f>
        <v/>
      </c>
      <c r="B168" s="13" t="n"/>
      <c r="C168" s="14">
        <f>IF(B168="","",IFERROR(VLOOKUP(D168,'Reference Data 기준데이터'!$A$30:$D$41,2,FALSE),""))</f>
        <v/>
      </c>
      <c r="D168" s="15" t="n"/>
      <c r="E168" s="14">
        <f>IF(B168="","",IFERROR(VLOOKUP(D168,'Reference Data 기준데이터'!$A$30:$D$41,3,FALSE),""))</f>
        <v/>
      </c>
      <c r="F168" s="15" t="n"/>
      <c r="G168" s="14">
        <f>IF(B168="","",IFERROR(VLOOKUP(F168,'Reference Data 기준데이터'!$A$9:$E$26,2,FALSE),""))</f>
        <v/>
      </c>
      <c r="H168" s="14">
        <f>IF(B168="","",IFERROR(VLOOKUP(F168,'Reference Data 기준데이터'!$A$9:$E$26,5,FALSE),""))</f>
        <v/>
      </c>
      <c r="I168" s="16">
        <f>IF(B168="","",IFERROR(VLOOKUP(B168,'Reference Data 기준데이터'!$A$3:$J$5,3,FALSE),""))</f>
        <v/>
      </c>
      <c r="J168" s="16">
        <f>IF(B168="","",IFERROR(I168+VLOOKUP(B168,'Reference Data 기준데이터'!$A$3:$J$5,7,FALSE),""))</f>
        <v/>
      </c>
      <c r="K168" s="20" t="n"/>
      <c r="L168" s="13" t="n"/>
      <c r="M168" s="16">
        <f>IF(B168="","",IFERROR(I168+VLOOKUP(B168,'Reference Data 기준데이터'!$A$3:$J$5,8,FALSE),""))</f>
        <v/>
      </c>
      <c r="N168" s="20" t="n"/>
      <c r="O168" s="16">
        <f>IF(B168="","",IFERROR(IF(G168="차량장착",MAX(I168+VLOOKUP(B168,'Reference Data 기준데이터'!$A$3:$J$5,9,FALSE),VLOOKUP(B168,'Reference Data 기준데이터'!$A$3:$J$5,4,FALSE)),I168+VLOOKUP(B168,'Reference Data 기준데이터'!$A$3:$J$5,9,FALSE)),""))</f>
        <v/>
      </c>
      <c r="P168" s="20" t="n"/>
      <c r="Q168" s="16">
        <f>IF(B168="","",IFERROR(O168+VLOOKUP(F168,'Reference Data 기준데이터'!$A$9:$E$26,4,FALSE),""))</f>
        <v/>
      </c>
      <c r="R168" s="20" t="n"/>
      <c r="S168" s="16">
        <f>IF(B168="","",IFERROR(MIN(I168+VLOOKUP(B168,'Reference Data 기준데이터'!$A$3:$J$5,10,FALSE),VLOOKUP(B168,'Reference Data 기준데이터'!$A$3:$J$5,6,FALSE)),""))</f>
        <v/>
      </c>
      <c r="T168" s="20" t="n"/>
      <c r="U168" s="13" t="n"/>
      <c r="V168" s="17">
        <f>IF(B168="","",IF(U168&lt;&gt;"",U168,IF(AND(T168&lt;&gt;"",R168&lt;&gt;""),"11-결과등록완료",IF(AND(R168&lt;&gt;"",T168=""),"10-시험완료",IF(AND(P168&lt;&gt;"",R168=""),"09-시험준비중",IF(AND(N168&lt;&gt;"",P168=""),"08-단품준비완료",IF(L168="Approved","05-계획서승인",IF(L168="Revision Needed","04-검토중_보완",IF(L168="Under Review","03-검토중",IF(AND(K168&lt;&gt;"",L168=""),"02-제출_미검토","01-미제출"))))))))))</f>
        <v/>
      </c>
      <c r="W168" s="18">
        <f>IF(B168="","",IFS(V168="01-미제출",0,V168="02-제출_미검토",0.05,V168="03-검토중",0.1,V168="04-검토중_보완",0.05,V168="05-계획서승인",0.2,V168="06-BIW중단",0.15,V168="07-미인수",0.3,V168="08-단품준비완료",0.4,V168="09-시험준비중",0.55,V168="10-시험완료",0.85,V168="11-결과등록완료",1,V168="12-조건부승인",0.9,TRUE,0))</f>
        <v/>
      </c>
      <c r="X168" s="5">
        <f>IF(B168="","",IF(T168&lt;&gt;"","-",IF(S168="","N/A",S168-TODAY())))</f>
        <v/>
      </c>
      <c r="Y168" s="17">
        <f>IF(B168="","",IF(V168="11-결과등록완료","DONE",IF(U168="06-BIW중단","BLOCKED",IF(AND(K168="",J168&lt;TODAY()),"CRITICAL",IF(AND(ISNUMBER(X168),X168&lt;=0),"OVERDUE",IF(AND(ISNUMBER(X168),X168&lt;=14),"WARNING",IF(U168&lt;&gt;"","ACTION","ON TRACK")))))))</f>
        <v/>
      </c>
      <c r="Z168" s="5">
        <f>IF(B168="","",IF(OR(T168&lt;&gt;"",R168&lt;&gt;"",P168&lt;&gt;"",N168&lt;&gt;"",K168&lt;&gt;""),TODAY()-MAX(T168,R168,P168,N168,K168),"—"))</f>
        <v/>
      </c>
      <c r="AA168" s="19">
        <f>IF(B168="","",IF(V168="11-결과등록완료","— 완료",IF(V168="01-미제출",IF(J168&lt;TODAY(),"계획서 제출 독촉 (OVERDUE)","계획서 제출 대기"),IF(V168="02-제출_미검토","설계자: 계획서 검토 착수",IF(V168="03-검토중","설계자: 승인 처리",IF(V168="04-검토중_보완","보완 요청 → 협력사 재제출 독촉",IF(V168="05-계획서승인","시험편 준비 현황 확인",IF(V168="06-BIW중단","BIW 생산팀 확인 → 일정 재수립",IF(V168="07-미인수","협력사 인수 독촉",IF(V168="08-단품준비완료","시험 일정 확인",IF(V168="09-시험준비중","시험 진행 모니터링",IF(V168="10-시험완료","결과 보고서 전산 등록 독촉",IF(V168="12-조건부승인","조건부 승인 여부 판단 → 관련부서 협의","—")))))))))))))</f>
        <v/>
      </c>
      <c r="AB168" s="15" t="n"/>
    </row>
    <row r="169">
      <c r="A169" s="5">
        <f>IF(B169="","",ROW()-4)</f>
        <v/>
      </c>
      <c r="B169" s="13" t="n"/>
      <c r="C169" s="14">
        <f>IF(B169="","",IFERROR(VLOOKUP(D169,'Reference Data 기준데이터'!$A$30:$D$41,2,FALSE),""))</f>
        <v/>
      </c>
      <c r="D169" s="15" t="n"/>
      <c r="E169" s="14">
        <f>IF(B169="","",IFERROR(VLOOKUP(D169,'Reference Data 기준데이터'!$A$30:$D$41,3,FALSE),""))</f>
        <v/>
      </c>
      <c r="F169" s="15" t="n"/>
      <c r="G169" s="14">
        <f>IF(B169="","",IFERROR(VLOOKUP(F169,'Reference Data 기준데이터'!$A$9:$E$26,2,FALSE),""))</f>
        <v/>
      </c>
      <c r="H169" s="14">
        <f>IF(B169="","",IFERROR(VLOOKUP(F169,'Reference Data 기준데이터'!$A$9:$E$26,5,FALSE),""))</f>
        <v/>
      </c>
      <c r="I169" s="16">
        <f>IF(B169="","",IFERROR(VLOOKUP(B169,'Reference Data 기준데이터'!$A$3:$J$5,3,FALSE),""))</f>
        <v/>
      </c>
      <c r="J169" s="16">
        <f>IF(B169="","",IFERROR(I169+VLOOKUP(B169,'Reference Data 기준데이터'!$A$3:$J$5,7,FALSE),""))</f>
        <v/>
      </c>
      <c r="K169" s="20" t="n"/>
      <c r="L169" s="13" t="n"/>
      <c r="M169" s="16">
        <f>IF(B169="","",IFERROR(I169+VLOOKUP(B169,'Reference Data 기준데이터'!$A$3:$J$5,8,FALSE),""))</f>
        <v/>
      </c>
      <c r="N169" s="20" t="n"/>
      <c r="O169" s="16">
        <f>IF(B169="","",IFERROR(IF(G169="차량장착",MAX(I169+VLOOKUP(B169,'Reference Data 기준데이터'!$A$3:$J$5,9,FALSE),VLOOKUP(B169,'Reference Data 기준데이터'!$A$3:$J$5,4,FALSE)),I169+VLOOKUP(B169,'Reference Data 기준데이터'!$A$3:$J$5,9,FALSE)),""))</f>
        <v/>
      </c>
      <c r="P169" s="20" t="n"/>
      <c r="Q169" s="16">
        <f>IF(B169="","",IFERROR(O169+VLOOKUP(F169,'Reference Data 기준데이터'!$A$9:$E$26,4,FALSE),""))</f>
        <v/>
      </c>
      <c r="R169" s="20" t="n"/>
      <c r="S169" s="16">
        <f>IF(B169="","",IFERROR(MIN(I169+VLOOKUP(B169,'Reference Data 기준데이터'!$A$3:$J$5,10,FALSE),VLOOKUP(B169,'Reference Data 기준데이터'!$A$3:$J$5,6,FALSE)),""))</f>
        <v/>
      </c>
      <c r="T169" s="20" t="n"/>
      <c r="U169" s="13" t="n"/>
      <c r="V169" s="17">
        <f>IF(B169="","",IF(U169&lt;&gt;"",U169,IF(AND(T169&lt;&gt;"",R169&lt;&gt;""),"11-결과등록완료",IF(AND(R169&lt;&gt;"",T169=""),"10-시험완료",IF(AND(P169&lt;&gt;"",R169=""),"09-시험준비중",IF(AND(N169&lt;&gt;"",P169=""),"08-단품준비완료",IF(L169="Approved","05-계획서승인",IF(L169="Revision Needed","04-검토중_보완",IF(L169="Under Review","03-검토중",IF(AND(K169&lt;&gt;"",L169=""),"02-제출_미검토","01-미제출"))))))))))</f>
        <v/>
      </c>
      <c r="W169" s="18">
        <f>IF(B169="","",IFS(V169="01-미제출",0,V169="02-제출_미검토",0.05,V169="03-검토중",0.1,V169="04-검토중_보완",0.05,V169="05-계획서승인",0.2,V169="06-BIW중단",0.15,V169="07-미인수",0.3,V169="08-단품준비완료",0.4,V169="09-시험준비중",0.55,V169="10-시험완료",0.85,V169="11-결과등록완료",1,V169="12-조건부승인",0.9,TRUE,0))</f>
        <v/>
      </c>
      <c r="X169" s="5">
        <f>IF(B169="","",IF(T169&lt;&gt;"","-",IF(S169="","N/A",S169-TODAY())))</f>
        <v/>
      </c>
      <c r="Y169" s="17">
        <f>IF(B169="","",IF(V169="11-결과등록완료","DONE",IF(U169="06-BIW중단","BLOCKED",IF(AND(K169="",J169&lt;TODAY()),"CRITICAL",IF(AND(ISNUMBER(X169),X169&lt;=0),"OVERDUE",IF(AND(ISNUMBER(X169),X169&lt;=14),"WARNING",IF(U169&lt;&gt;"","ACTION","ON TRACK")))))))</f>
        <v/>
      </c>
      <c r="Z169" s="5">
        <f>IF(B169="","",IF(OR(T169&lt;&gt;"",R169&lt;&gt;"",P169&lt;&gt;"",N169&lt;&gt;"",K169&lt;&gt;""),TODAY()-MAX(T169,R169,P169,N169,K169),"—"))</f>
        <v/>
      </c>
      <c r="AA169" s="19">
        <f>IF(B169="","",IF(V169="11-결과등록완료","— 완료",IF(V169="01-미제출",IF(J169&lt;TODAY(),"계획서 제출 독촉 (OVERDUE)","계획서 제출 대기"),IF(V169="02-제출_미검토","설계자: 계획서 검토 착수",IF(V169="03-검토중","설계자: 승인 처리",IF(V169="04-검토중_보완","보완 요청 → 협력사 재제출 독촉",IF(V169="05-계획서승인","시험편 준비 현황 확인",IF(V169="06-BIW중단","BIW 생산팀 확인 → 일정 재수립",IF(V169="07-미인수","협력사 인수 독촉",IF(V169="08-단품준비완료","시험 일정 확인",IF(V169="09-시험준비중","시험 진행 모니터링",IF(V169="10-시험완료","결과 보고서 전산 등록 독촉",IF(V169="12-조건부승인","조건부 승인 여부 판단 → 관련부서 협의","—")))))))))))))</f>
        <v/>
      </c>
      <c r="AB169" s="15" t="n"/>
    </row>
    <row r="170">
      <c r="A170" s="5">
        <f>IF(B170="","",ROW()-4)</f>
        <v/>
      </c>
      <c r="B170" s="13" t="n"/>
      <c r="C170" s="14">
        <f>IF(B170="","",IFERROR(VLOOKUP(D170,'Reference Data 기준데이터'!$A$30:$D$41,2,FALSE),""))</f>
        <v/>
      </c>
      <c r="D170" s="15" t="n"/>
      <c r="E170" s="14">
        <f>IF(B170="","",IFERROR(VLOOKUP(D170,'Reference Data 기준데이터'!$A$30:$D$41,3,FALSE),""))</f>
        <v/>
      </c>
      <c r="F170" s="15" t="n"/>
      <c r="G170" s="14">
        <f>IF(B170="","",IFERROR(VLOOKUP(F170,'Reference Data 기준데이터'!$A$9:$E$26,2,FALSE),""))</f>
        <v/>
      </c>
      <c r="H170" s="14">
        <f>IF(B170="","",IFERROR(VLOOKUP(F170,'Reference Data 기준데이터'!$A$9:$E$26,5,FALSE),""))</f>
        <v/>
      </c>
      <c r="I170" s="16">
        <f>IF(B170="","",IFERROR(VLOOKUP(B170,'Reference Data 기준데이터'!$A$3:$J$5,3,FALSE),""))</f>
        <v/>
      </c>
      <c r="J170" s="16">
        <f>IF(B170="","",IFERROR(I170+VLOOKUP(B170,'Reference Data 기준데이터'!$A$3:$J$5,7,FALSE),""))</f>
        <v/>
      </c>
      <c r="K170" s="20" t="n"/>
      <c r="L170" s="13" t="n"/>
      <c r="M170" s="16">
        <f>IF(B170="","",IFERROR(I170+VLOOKUP(B170,'Reference Data 기준데이터'!$A$3:$J$5,8,FALSE),""))</f>
        <v/>
      </c>
      <c r="N170" s="20" t="n"/>
      <c r="O170" s="16">
        <f>IF(B170="","",IFERROR(IF(G170="차량장착",MAX(I170+VLOOKUP(B170,'Reference Data 기준데이터'!$A$3:$J$5,9,FALSE),VLOOKUP(B170,'Reference Data 기준데이터'!$A$3:$J$5,4,FALSE)),I170+VLOOKUP(B170,'Reference Data 기준데이터'!$A$3:$J$5,9,FALSE)),""))</f>
        <v/>
      </c>
      <c r="P170" s="20" t="n"/>
      <c r="Q170" s="16">
        <f>IF(B170="","",IFERROR(O170+VLOOKUP(F170,'Reference Data 기준데이터'!$A$9:$E$26,4,FALSE),""))</f>
        <v/>
      </c>
      <c r="R170" s="20" t="n"/>
      <c r="S170" s="16">
        <f>IF(B170="","",IFERROR(MIN(I170+VLOOKUP(B170,'Reference Data 기준데이터'!$A$3:$J$5,10,FALSE),VLOOKUP(B170,'Reference Data 기준데이터'!$A$3:$J$5,6,FALSE)),""))</f>
        <v/>
      </c>
      <c r="T170" s="20" t="n"/>
      <c r="U170" s="13" t="n"/>
      <c r="V170" s="17">
        <f>IF(B170="","",IF(U170&lt;&gt;"",U170,IF(AND(T170&lt;&gt;"",R170&lt;&gt;""),"11-결과등록완료",IF(AND(R170&lt;&gt;"",T170=""),"10-시험완료",IF(AND(P170&lt;&gt;"",R170=""),"09-시험준비중",IF(AND(N170&lt;&gt;"",P170=""),"08-단품준비완료",IF(L170="Approved","05-계획서승인",IF(L170="Revision Needed","04-검토중_보완",IF(L170="Under Review","03-검토중",IF(AND(K170&lt;&gt;"",L170=""),"02-제출_미검토","01-미제출"))))))))))</f>
        <v/>
      </c>
      <c r="W170" s="18">
        <f>IF(B170="","",IFS(V170="01-미제출",0,V170="02-제출_미검토",0.05,V170="03-검토중",0.1,V170="04-검토중_보완",0.05,V170="05-계획서승인",0.2,V170="06-BIW중단",0.15,V170="07-미인수",0.3,V170="08-단품준비완료",0.4,V170="09-시험준비중",0.55,V170="10-시험완료",0.85,V170="11-결과등록완료",1,V170="12-조건부승인",0.9,TRUE,0))</f>
        <v/>
      </c>
      <c r="X170" s="5">
        <f>IF(B170="","",IF(T170&lt;&gt;"","-",IF(S170="","N/A",S170-TODAY())))</f>
        <v/>
      </c>
      <c r="Y170" s="17">
        <f>IF(B170="","",IF(V170="11-결과등록완료","DONE",IF(U170="06-BIW중단","BLOCKED",IF(AND(K170="",J170&lt;TODAY()),"CRITICAL",IF(AND(ISNUMBER(X170),X170&lt;=0),"OVERDUE",IF(AND(ISNUMBER(X170),X170&lt;=14),"WARNING",IF(U170&lt;&gt;"","ACTION","ON TRACK")))))))</f>
        <v/>
      </c>
      <c r="Z170" s="5">
        <f>IF(B170="","",IF(OR(T170&lt;&gt;"",R170&lt;&gt;"",P170&lt;&gt;"",N170&lt;&gt;"",K170&lt;&gt;""),TODAY()-MAX(T170,R170,P170,N170,K170),"—"))</f>
        <v/>
      </c>
      <c r="AA170" s="19">
        <f>IF(B170="","",IF(V170="11-결과등록완료","— 완료",IF(V170="01-미제출",IF(J170&lt;TODAY(),"계획서 제출 독촉 (OVERDUE)","계획서 제출 대기"),IF(V170="02-제출_미검토","설계자: 계획서 검토 착수",IF(V170="03-검토중","설계자: 승인 처리",IF(V170="04-검토중_보완","보완 요청 → 협력사 재제출 독촉",IF(V170="05-계획서승인","시험편 준비 현황 확인",IF(V170="06-BIW중단","BIW 생산팀 확인 → 일정 재수립",IF(V170="07-미인수","협력사 인수 독촉",IF(V170="08-단품준비완료","시험 일정 확인",IF(V170="09-시험준비중","시험 진행 모니터링",IF(V170="10-시험완료","결과 보고서 전산 등록 독촉",IF(V170="12-조건부승인","조건부 승인 여부 판단 → 관련부서 협의","—")))))))))))))</f>
        <v/>
      </c>
      <c r="AB170" s="15" t="n"/>
    </row>
    <row r="171">
      <c r="A171" s="5">
        <f>IF(B171="","",ROW()-4)</f>
        <v/>
      </c>
      <c r="B171" s="13" t="n"/>
      <c r="C171" s="14">
        <f>IF(B171="","",IFERROR(VLOOKUP(D171,'Reference Data 기준데이터'!$A$30:$D$41,2,FALSE),""))</f>
        <v/>
      </c>
      <c r="D171" s="15" t="n"/>
      <c r="E171" s="14">
        <f>IF(B171="","",IFERROR(VLOOKUP(D171,'Reference Data 기준데이터'!$A$30:$D$41,3,FALSE),""))</f>
        <v/>
      </c>
      <c r="F171" s="15" t="n"/>
      <c r="G171" s="14">
        <f>IF(B171="","",IFERROR(VLOOKUP(F171,'Reference Data 기준데이터'!$A$9:$E$26,2,FALSE),""))</f>
        <v/>
      </c>
      <c r="H171" s="14">
        <f>IF(B171="","",IFERROR(VLOOKUP(F171,'Reference Data 기준데이터'!$A$9:$E$26,5,FALSE),""))</f>
        <v/>
      </c>
      <c r="I171" s="16">
        <f>IF(B171="","",IFERROR(VLOOKUP(B171,'Reference Data 기준데이터'!$A$3:$J$5,3,FALSE),""))</f>
        <v/>
      </c>
      <c r="J171" s="16">
        <f>IF(B171="","",IFERROR(I171+VLOOKUP(B171,'Reference Data 기준데이터'!$A$3:$J$5,7,FALSE),""))</f>
        <v/>
      </c>
      <c r="K171" s="20" t="n"/>
      <c r="L171" s="13" t="n"/>
      <c r="M171" s="16">
        <f>IF(B171="","",IFERROR(I171+VLOOKUP(B171,'Reference Data 기준데이터'!$A$3:$J$5,8,FALSE),""))</f>
        <v/>
      </c>
      <c r="N171" s="20" t="n"/>
      <c r="O171" s="16">
        <f>IF(B171="","",IFERROR(IF(G171="차량장착",MAX(I171+VLOOKUP(B171,'Reference Data 기준데이터'!$A$3:$J$5,9,FALSE),VLOOKUP(B171,'Reference Data 기준데이터'!$A$3:$J$5,4,FALSE)),I171+VLOOKUP(B171,'Reference Data 기준데이터'!$A$3:$J$5,9,FALSE)),""))</f>
        <v/>
      </c>
      <c r="P171" s="20" t="n"/>
      <c r="Q171" s="16">
        <f>IF(B171="","",IFERROR(O171+VLOOKUP(F171,'Reference Data 기준데이터'!$A$9:$E$26,4,FALSE),""))</f>
        <v/>
      </c>
      <c r="R171" s="20" t="n"/>
      <c r="S171" s="16">
        <f>IF(B171="","",IFERROR(MIN(I171+VLOOKUP(B171,'Reference Data 기준데이터'!$A$3:$J$5,10,FALSE),VLOOKUP(B171,'Reference Data 기준데이터'!$A$3:$J$5,6,FALSE)),""))</f>
        <v/>
      </c>
      <c r="T171" s="20" t="n"/>
      <c r="U171" s="13" t="n"/>
      <c r="V171" s="17">
        <f>IF(B171="","",IF(U171&lt;&gt;"",U171,IF(AND(T171&lt;&gt;"",R171&lt;&gt;""),"11-결과등록완료",IF(AND(R171&lt;&gt;"",T171=""),"10-시험완료",IF(AND(P171&lt;&gt;"",R171=""),"09-시험준비중",IF(AND(N171&lt;&gt;"",P171=""),"08-단품준비완료",IF(L171="Approved","05-계획서승인",IF(L171="Revision Needed","04-검토중_보완",IF(L171="Under Review","03-검토중",IF(AND(K171&lt;&gt;"",L171=""),"02-제출_미검토","01-미제출"))))))))))</f>
        <v/>
      </c>
      <c r="W171" s="18">
        <f>IF(B171="","",IFS(V171="01-미제출",0,V171="02-제출_미검토",0.05,V171="03-검토중",0.1,V171="04-검토중_보완",0.05,V171="05-계획서승인",0.2,V171="06-BIW중단",0.15,V171="07-미인수",0.3,V171="08-단품준비완료",0.4,V171="09-시험준비중",0.55,V171="10-시험완료",0.85,V171="11-결과등록완료",1,V171="12-조건부승인",0.9,TRUE,0))</f>
        <v/>
      </c>
      <c r="X171" s="5">
        <f>IF(B171="","",IF(T171&lt;&gt;"","-",IF(S171="","N/A",S171-TODAY())))</f>
        <v/>
      </c>
      <c r="Y171" s="17">
        <f>IF(B171="","",IF(V171="11-결과등록완료","DONE",IF(U171="06-BIW중단","BLOCKED",IF(AND(K171="",J171&lt;TODAY()),"CRITICAL",IF(AND(ISNUMBER(X171),X171&lt;=0),"OVERDUE",IF(AND(ISNUMBER(X171),X171&lt;=14),"WARNING",IF(U171&lt;&gt;"","ACTION","ON TRACK")))))))</f>
        <v/>
      </c>
      <c r="Z171" s="5">
        <f>IF(B171="","",IF(OR(T171&lt;&gt;"",R171&lt;&gt;"",P171&lt;&gt;"",N171&lt;&gt;"",K171&lt;&gt;""),TODAY()-MAX(T171,R171,P171,N171,K171),"—"))</f>
        <v/>
      </c>
      <c r="AA171" s="19">
        <f>IF(B171="","",IF(V171="11-결과등록완료","— 완료",IF(V171="01-미제출",IF(J171&lt;TODAY(),"계획서 제출 독촉 (OVERDUE)","계획서 제출 대기"),IF(V171="02-제출_미검토","설계자: 계획서 검토 착수",IF(V171="03-검토중","설계자: 승인 처리",IF(V171="04-검토중_보완","보완 요청 → 협력사 재제출 독촉",IF(V171="05-계획서승인","시험편 준비 현황 확인",IF(V171="06-BIW중단","BIW 생산팀 확인 → 일정 재수립",IF(V171="07-미인수","협력사 인수 독촉",IF(V171="08-단품준비완료","시험 일정 확인",IF(V171="09-시험준비중","시험 진행 모니터링",IF(V171="10-시험완료","결과 보고서 전산 등록 독촉",IF(V171="12-조건부승인","조건부 승인 여부 판단 → 관련부서 협의","—")))))))))))))</f>
        <v/>
      </c>
      <c r="AB171" s="15" t="n"/>
    </row>
    <row r="172">
      <c r="A172" s="5">
        <f>IF(B172="","",ROW()-4)</f>
        <v/>
      </c>
      <c r="B172" s="13" t="n"/>
      <c r="C172" s="14">
        <f>IF(B172="","",IFERROR(VLOOKUP(D172,'Reference Data 기준데이터'!$A$30:$D$41,2,FALSE),""))</f>
        <v/>
      </c>
      <c r="D172" s="15" t="n"/>
      <c r="E172" s="14">
        <f>IF(B172="","",IFERROR(VLOOKUP(D172,'Reference Data 기준데이터'!$A$30:$D$41,3,FALSE),""))</f>
        <v/>
      </c>
      <c r="F172" s="15" t="n"/>
      <c r="G172" s="14">
        <f>IF(B172="","",IFERROR(VLOOKUP(F172,'Reference Data 기준데이터'!$A$9:$E$26,2,FALSE),""))</f>
        <v/>
      </c>
      <c r="H172" s="14">
        <f>IF(B172="","",IFERROR(VLOOKUP(F172,'Reference Data 기준데이터'!$A$9:$E$26,5,FALSE),""))</f>
        <v/>
      </c>
      <c r="I172" s="16">
        <f>IF(B172="","",IFERROR(VLOOKUP(B172,'Reference Data 기준데이터'!$A$3:$J$5,3,FALSE),""))</f>
        <v/>
      </c>
      <c r="J172" s="16">
        <f>IF(B172="","",IFERROR(I172+VLOOKUP(B172,'Reference Data 기준데이터'!$A$3:$J$5,7,FALSE),""))</f>
        <v/>
      </c>
      <c r="K172" s="20" t="n"/>
      <c r="L172" s="13" t="n"/>
      <c r="M172" s="16">
        <f>IF(B172="","",IFERROR(I172+VLOOKUP(B172,'Reference Data 기준데이터'!$A$3:$J$5,8,FALSE),""))</f>
        <v/>
      </c>
      <c r="N172" s="20" t="n"/>
      <c r="O172" s="16">
        <f>IF(B172="","",IFERROR(IF(G172="차량장착",MAX(I172+VLOOKUP(B172,'Reference Data 기준데이터'!$A$3:$J$5,9,FALSE),VLOOKUP(B172,'Reference Data 기준데이터'!$A$3:$J$5,4,FALSE)),I172+VLOOKUP(B172,'Reference Data 기준데이터'!$A$3:$J$5,9,FALSE)),""))</f>
        <v/>
      </c>
      <c r="P172" s="20" t="n"/>
      <c r="Q172" s="16">
        <f>IF(B172="","",IFERROR(O172+VLOOKUP(F172,'Reference Data 기준데이터'!$A$9:$E$26,4,FALSE),""))</f>
        <v/>
      </c>
      <c r="R172" s="20" t="n"/>
      <c r="S172" s="16">
        <f>IF(B172="","",IFERROR(MIN(I172+VLOOKUP(B172,'Reference Data 기준데이터'!$A$3:$J$5,10,FALSE),VLOOKUP(B172,'Reference Data 기준데이터'!$A$3:$J$5,6,FALSE)),""))</f>
        <v/>
      </c>
      <c r="T172" s="20" t="n"/>
      <c r="U172" s="13" t="n"/>
      <c r="V172" s="17">
        <f>IF(B172="","",IF(U172&lt;&gt;"",U172,IF(AND(T172&lt;&gt;"",R172&lt;&gt;""),"11-결과등록완료",IF(AND(R172&lt;&gt;"",T172=""),"10-시험완료",IF(AND(P172&lt;&gt;"",R172=""),"09-시험준비중",IF(AND(N172&lt;&gt;"",P172=""),"08-단품준비완료",IF(L172="Approved","05-계획서승인",IF(L172="Revision Needed","04-검토중_보완",IF(L172="Under Review","03-검토중",IF(AND(K172&lt;&gt;"",L172=""),"02-제출_미검토","01-미제출"))))))))))</f>
        <v/>
      </c>
      <c r="W172" s="18">
        <f>IF(B172="","",IFS(V172="01-미제출",0,V172="02-제출_미검토",0.05,V172="03-검토중",0.1,V172="04-검토중_보완",0.05,V172="05-계획서승인",0.2,V172="06-BIW중단",0.15,V172="07-미인수",0.3,V172="08-단품준비완료",0.4,V172="09-시험준비중",0.55,V172="10-시험완료",0.85,V172="11-결과등록완료",1,V172="12-조건부승인",0.9,TRUE,0))</f>
        <v/>
      </c>
      <c r="X172" s="5">
        <f>IF(B172="","",IF(T172&lt;&gt;"","-",IF(S172="","N/A",S172-TODAY())))</f>
        <v/>
      </c>
      <c r="Y172" s="17">
        <f>IF(B172="","",IF(V172="11-결과등록완료","DONE",IF(U172="06-BIW중단","BLOCKED",IF(AND(K172="",J172&lt;TODAY()),"CRITICAL",IF(AND(ISNUMBER(X172),X172&lt;=0),"OVERDUE",IF(AND(ISNUMBER(X172),X172&lt;=14),"WARNING",IF(U172&lt;&gt;"","ACTION","ON TRACK")))))))</f>
        <v/>
      </c>
      <c r="Z172" s="5">
        <f>IF(B172="","",IF(OR(T172&lt;&gt;"",R172&lt;&gt;"",P172&lt;&gt;"",N172&lt;&gt;"",K172&lt;&gt;""),TODAY()-MAX(T172,R172,P172,N172,K172),"—"))</f>
        <v/>
      </c>
      <c r="AA172" s="19">
        <f>IF(B172="","",IF(V172="11-결과등록완료","— 완료",IF(V172="01-미제출",IF(J172&lt;TODAY(),"계획서 제출 독촉 (OVERDUE)","계획서 제출 대기"),IF(V172="02-제출_미검토","설계자: 계획서 검토 착수",IF(V172="03-검토중","설계자: 승인 처리",IF(V172="04-검토중_보완","보완 요청 → 협력사 재제출 독촉",IF(V172="05-계획서승인","시험편 준비 현황 확인",IF(V172="06-BIW중단","BIW 생산팀 확인 → 일정 재수립",IF(V172="07-미인수","협력사 인수 독촉",IF(V172="08-단품준비완료","시험 일정 확인",IF(V172="09-시험준비중","시험 진행 모니터링",IF(V172="10-시험완료","결과 보고서 전산 등록 독촉",IF(V172="12-조건부승인","조건부 승인 여부 판단 → 관련부서 협의","—")))))))))))))</f>
        <v/>
      </c>
      <c r="AB172" s="15" t="n"/>
    </row>
    <row r="173">
      <c r="A173" s="5">
        <f>IF(B173="","",ROW()-4)</f>
        <v/>
      </c>
      <c r="B173" s="13" t="n"/>
      <c r="C173" s="14">
        <f>IF(B173="","",IFERROR(VLOOKUP(D173,'Reference Data 기준데이터'!$A$30:$D$41,2,FALSE),""))</f>
        <v/>
      </c>
      <c r="D173" s="15" t="n"/>
      <c r="E173" s="14">
        <f>IF(B173="","",IFERROR(VLOOKUP(D173,'Reference Data 기준데이터'!$A$30:$D$41,3,FALSE),""))</f>
        <v/>
      </c>
      <c r="F173" s="15" t="n"/>
      <c r="G173" s="14">
        <f>IF(B173="","",IFERROR(VLOOKUP(F173,'Reference Data 기준데이터'!$A$9:$E$26,2,FALSE),""))</f>
        <v/>
      </c>
      <c r="H173" s="14">
        <f>IF(B173="","",IFERROR(VLOOKUP(F173,'Reference Data 기준데이터'!$A$9:$E$26,5,FALSE),""))</f>
        <v/>
      </c>
      <c r="I173" s="16">
        <f>IF(B173="","",IFERROR(VLOOKUP(B173,'Reference Data 기준데이터'!$A$3:$J$5,3,FALSE),""))</f>
        <v/>
      </c>
      <c r="J173" s="16">
        <f>IF(B173="","",IFERROR(I173+VLOOKUP(B173,'Reference Data 기준데이터'!$A$3:$J$5,7,FALSE),""))</f>
        <v/>
      </c>
      <c r="K173" s="20" t="n"/>
      <c r="L173" s="13" t="n"/>
      <c r="M173" s="16">
        <f>IF(B173="","",IFERROR(I173+VLOOKUP(B173,'Reference Data 기준데이터'!$A$3:$J$5,8,FALSE),""))</f>
        <v/>
      </c>
      <c r="N173" s="20" t="n"/>
      <c r="O173" s="16">
        <f>IF(B173="","",IFERROR(IF(G173="차량장착",MAX(I173+VLOOKUP(B173,'Reference Data 기준데이터'!$A$3:$J$5,9,FALSE),VLOOKUP(B173,'Reference Data 기준데이터'!$A$3:$J$5,4,FALSE)),I173+VLOOKUP(B173,'Reference Data 기준데이터'!$A$3:$J$5,9,FALSE)),""))</f>
        <v/>
      </c>
      <c r="P173" s="20" t="n"/>
      <c r="Q173" s="16">
        <f>IF(B173="","",IFERROR(O173+VLOOKUP(F173,'Reference Data 기준데이터'!$A$9:$E$26,4,FALSE),""))</f>
        <v/>
      </c>
      <c r="R173" s="20" t="n"/>
      <c r="S173" s="16">
        <f>IF(B173="","",IFERROR(MIN(I173+VLOOKUP(B173,'Reference Data 기준데이터'!$A$3:$J$5,10,FALSE),VLOOKUP(B173,'Reference Data 기준데이터'!$A$3:$J$5,6,FALSE)),""))</f>
        <v/>
      </c>
      <c r="T173" s="20" t="n"/>
      <c r="U173" s="13" t="n"/>
      <c r="V173" s="17">
        <f>IF(B173="","",IF(U173&lt;&gt;"",U173,IF(AND(T173&lt;&gt;"",R173&lt;&gt;""),"11-결과등록완료",IF(AND(R173&lt;&gt;"",T173=""),"10-시험완료",IF(AND(P173&lt;&gt;"",R173=""),"09-시험준비중",IF(AND(N173&lt;&gt;"",P173=""),"08-단품준비완료",IF(L173="Approved","05-계획서승인",IF(L173="Revision Needed","04-검토중_보완",IF(L173="Under Review","03-검토중",IF(AND(K173&lt;&gt;"",L173=""),"02-제출_미검토","01-미제출"))))))))))</f>
        <v/>
      </c>
      <c r="W173" s="18">
        <f>IF(B173="","",IFS(V173="01-미제출",0,V173="02-제출_미검토",0.05,V173="03-검토중",0.1,V173="04-검토중_보완",0.05,V173="05-계획서승인",0.2,V173="06-BIW중단",0.15,V173="07-미인수",0.3,V173="08-단품준비완료",0.4,V173="09-시험준비중",0.55,V173="10-시험완료",0.85,V173="11-결과등록완료",1,V173="12-조건부승인",0.9,TRUE,0))</f>
        <v/>
      </c>
      <c r="X173" s="5">
        <f>IF(B173="","",IF(T173&lt;&gt;"","-",IF(S173="","N/A",S173-TODAY())))</f>
        <v/>
      </c>
      <c r="Y173" s="17">
        <f>IF(B173="","",IF(V173="11-결과등록완료","DONE",IF(U173="06-BIW중단","BLOCKED",IF(AND(K173="",J173&lt;TODAY()),"CRITICAL",IF(AND(ISNUMBER(X173),X173&lt;=0),"OVERDUE",IF(AND(ISNUMBER(X173),X173&lt;=14),"WARNING",IF(U173&lt;&gt;"","ACTION","ON TRACK")))))))</f>
        <v/>
      </c>
      <c r="Z173" s="5">
        <f>IF(B173="","",IF(OR(T173&lt;&gt;"",R173&lt;&gt;"",P173&lt;&gt;"",N173&lt;&gt;"",K173&lt;&gt;""),TODAY()-MAX(T173,R173,P173,N173,K173),"—"))</f>
        <v/>
      </c>
      <c r="AA173" s="19">
        <f>IF(B173="","",IF(V173="11-결과등록완료","— 완료",IF(V173="01-미제출",IF(J173&lt;TODAY(),"계획서 제출 독촉 (OVERDUE)","계획서 제출 대기"),IF(V173="02-제출_미검토","설계자: 계획서 검토 착수",IF(V173="03-검토중","설계자: 승인 처리",IF(V173="04-검토중_보완","보완 요청 → 협력사 재제출 독촉",IF(V173="05-계획서승인","시험편 준비 현황 확인",IF(V173="06-BIW중단","BIW 생산팀 확인 → 일정 재수립",IF(V173="07-미인수","협력사 인수 독촉",IF(V173="08-단품준비완료","시험 일정 확인",IF(V173="09-시험준비중","시험 진행 모니터링",IF(V173="10-시험완료","결과 보고서 전산 등록 독촉",IF(V173="12-조건부승인","조건부 승인 여부 판단 → 관련부서 협의","—")))))))))))))</f>
        <v/>
      </c>
      <c r="AB173" s="15" t="n"/>
    </row>
    <row r="174">
      <c r="A174" s="5">
        <f>IF(B174="","",ROW()-4)</f>
        <v/>
      </c>
      <c r="B174" s="13" t="n"/>
      <c r="C174" s="14">
        <f>IF(B174="","",IFERROR(VLOOKUP(D174,'Reference Data 기준데이터'!$A$30:$D$41,2,FALSE),""))</f>
        <v/>
      </c>
      <c r="D174" s="15" t="n"/>
      <c r="E174" s="14">
        <f>IF(B174="","",IFERROR(VLOOKUP(D174,'Reference Data 기준데이터'!$A$30:$D$41,3,FALSE),""))</f>
        <v/>
      </c>
      <c r="F174" s="15" t="n"/>
      <c r="G174" s="14">
        <f>IF(B174="","",IFERROR(VLOOKUP(F174,'Reference Data 기준데이터'!$A$9:$E$26,2,FALSE),""))</f>
        <v/>
      </c>
      <c r="H174" s="14">
        <f>IF(B174="","",IFERROR(VLOOKUP(F174,'Reference Data 기준데이터'!$A$9:$E$26,5,FALSE),""))</f>
        <v/>
      </c>
      <c r="I174" s="16">
        <f>IF(B174="","",IFERROR(VLOOKUP(B174,'Reference Data 기준데이터'!$A$3:$J$5,3,FALSE),""))</f>
        <v/>
      </c>
      <c r="J174" s="16">
        <f>IF(B174="","",IFERROR(I174+VLOOKUP(B174,'Reference Data 기준데이터'!$A$3:$J$5,7,FALSE),""))</f>
        <v/>
      </c>
      <c r="K174" s="20" t="n"/>
      <c r="L174" s="13" t="n"/>
      <c r="M174" s="16">
        <f>IF(B174="","",IFERROR(I174+VLOOKUP(B174,'Reference Data 기준데이터'!$A$3:$J$5,8,FALSE),""))</f>
        <v/>
      </c>
      <c r="N174" s="20" t="n"/>
      <c r="O174" s="16">
        <f>IF(B174="","",IFERROR(IF(G174="차량장착",MAX(I174+VLOOKUP(B174,'Reference Data 기준데이터'!$A$3:$J$5,9,FALSE),VLOOKUP(B174,'Reference Data 기준데이터'!$A$3:$J$5,4,FALSE)),I174+VLOOKUP(B174,'Reference Data 기준데이터'!$A$3:$J$5,9,FALSE)),""))</f>
        <v/>
      </c>
      <c r="P174" s="20" t="n"/>
      <c r="Q174" s="16">
        <f>IF(B174="","",IFERROR(O174+VLOOKUP(F174,'Reference Data 기준데이터'!$A$9:$E$26,4,FALSE),""))</f>
        <v/>
      </c>
      <c r="R174" s="20" t="n"/>
      <c r="S174" s="16">
        <f>IF(B174="","",IFERROR(MIN(I174+VLOOKUP(B174,'Reference Data 기준데이터'!$A$3:$J$5,10,FALSE),VLOOKUP(B174,'Reference Data 기준데이터'!$A$3:$J$5,6,FALSE)),""))</f>
        <v/>
      </c>
      <c r="T174" s="20" t="n"/>
      <c r="U174" s="13" t="n"/>
      <c r="V174" s="17">
        <f>IF(B174="","",IF(U174&lt;&gt;"",U174,IF(AND(T174&lt;&gt;"",R174&lt;&gt;""),"11-결과등록완료",IF(AND(R174&lt;&gt;"",T174=""),"10-시험완료",IF(AND(P174&lt;&gt;"",R174=""),"09-시험준비중",IF(AND(N174&lt;&gt;"",P174=""),"08-단품준비완료",IF(L174="Approved","05-계획서승인",IF(L174="Revision Needed","04-검토중_보완",IF(L174="Under Review","03-검토중",IF(AND(K174&lt;&gt;"",L174=""),"02-제출_미검토","01-미제출"))))))))))</f>
        <v/>
      </c>
      <c r="W174" s="18">
        <f>IF(B174="","",IFS(V174="01-미제출",0,V174="02-제출_미검토",0.05,V174="03-검토중",0.1,V174="04-검토중_보완",0.05,V174="05-계획서승인",0.2,V174="06-BIW중단",0.15,V174="07-미인수",0.3,V174="08-단품준비완료",0.4,V174="09-시험준비중",0.55,V174="10-시험완료",0.85,V174="11-결과등록완료",1,V174="12-조건부승인",0.9,TRUE,0))</f>
        <v/>
      </c>
      <c r="X174" s="5">
        <f>IF(B174="","",IF(T174&lt;&gt;"","-",IF(S174="","N/A",S174-TODAY())))</f>
        <v/>
      </c>
      <c r="Y174" s="17">
        <f>IF(B174="","",IF(V174="11-결과등록완료","DONE",IF(U174="06-BIW중단","BLOCKED",IF(AND(K174="",J174&lt;TODAY()),"CRITICAL",IF(AND(ISNUMBER(X174),X174&lt;=0),"OVERDUE",IF(AND(ISNUMBER(X174),X174&lt;=14),"WARNING",IF(U174&lt;&gt;"","ACTION","ON TRACK")))))))</f>
        <v/>
      </c>
      <c r="Z174" s="5">
        <f>IF(B174="","",IF(OR(T174&lt;&gt;"",R174&lt;&gt;"",P174&lt;&gt;"",N174&lt;&gt;"",K174&lt;&gt;""),TODAY()-MAX(T174,R174,P174,N174,K174),"—"))</f>
        <v/>
      </c>
      <c r="AA174" s="19">
        <f>IF(B174="","",IF(V174="11-결과등록완료","— 완료",IF(V174="01-미제출",IF(J174&lt;TODAY(),"계획서 제출 독촉 (OVERDUE)","계획서 제출 대기"),IF(V174="02-제출_미검토","설계자: 계획서 검토 착수",IF(V174="03-검토중","설계자: 승인 처리",IF(V174="04-검토중_보완","보완 요청 → 협력사 재제출 독촉",IF(V174="05-계획서승인","시험편 준비 현황 확인",IF(V174="06-BIW중단","BIW 생산팀 확인 → 일정 재수립",IF(V174="07-미인수","협력사 인수 독촉",IF(V174="08-단품준비완료","시험 일정 확인",IF(V174="09-시험준비중","시험 진행 모니터링",IF(V174="10-시험완료","결과 보고서 전산 등록 독촉",IF(V174="12-조건부승인","조건부 승인 여부 판단 → 관련부서 협의","—")))))))))))))</f>
        <v/>
      </c>
      <c r="AB174" s="15" t="n"/>
    </row>
    <row r="175">
      <c r="A175" s="5">
        <f>IF(B175="","",ROW()-4)</f>
        <v/>
      </c>
      <c r="B175" s="13" t="n"/>
      <c r="C175" s="14">
        <f>IF(B175="","",IFERROR(VLOOKUP(D175,'Reference Data 기준데이터'!$A$30:$D$41,2,FALSE),""))</f>
        <v/>
      </c>
      <c r="D175" s="15" t="n"/>
      <c r="E175" s="14">
        <f>IF(B175="","",IFERROR(VLOOKUP(D175,'Reference Data 기준데이터'!$A$30:$D$41,3,FALSE),""))</f>
        <v/>
      </c>
      <c r="F175" s="15" t="n"/>
      <c r="G175" s="14">
        <f>IF(B175="","",IFERROR(VLOOKUP(F175,'Reference Data 기준데이터'!$A$9:$E$26,2,FALSE),""))</f>
        <v/>
      </c>
      <c r="H175" s="14">
        <f>IF(B175="","",IFERROR(VLOOKUP(F175,'Reference Data 기준데이터'!$A$9:$E$26,5,FALSE),""))</f>
        <v/>
      </c>
      <c r="I175" s="16">
        <f>IF(B175="","",IFERROR(VLOOKUP(B175,'Reference Data 기준데이터'!$A$3:$J$5,3,FALSE),""))</f>
        <v/>
      </c>
      <c r="J175" s="16">
        <f>IF(B175="","",IFERROR(I175+VLOOKUP(B175,'Reference Data 기준데이터'!$A$3:$J$5,7,FALSE),""))</f>
        <v/>
      </c>
      <c r="K175" s="20" t="n"/>
      <c r="L175" s="13" t="n"/>
      <c r="M175" s="16">
        <f>IF(B175="","",IFERROR(I175+VLOOKUP(B175,'Reference Data 기준데이터'!$A$3:$J$5,8,FALSE),""))</f>
        <v/>
      </c>
      <c r="N175" s="20" t="n"/>
      <c r="O175" s="16">
        <f>IF(B175="","",IFERROR(IF(G175="차량장착",MAX(I175+VLOOKUP(B175,'Reference Data 기준데이터'!$A$3:$J$5,9,FALSE),VLOOKUP(B175,'Reference Data 기준데이터'!$A$3:$J$5,4,FALSE)),I175+VLOOKUP(B175,'Reference Data 기준데이터'!$A$3:$J$5,9,FALSE)),""))</f>
        <v/>
      </c>
      <c r="P175" s="20" t="n"/>
      <c r="Q175" s="16">
        <f>IF(B175="","",IFERROR(O175+VLOOKUP(F175,'Reference Data 기준데이터'!$A$9:$E$26,4,FALSE),""))</f>
        <v/>
      </c>
      <c r="R175" s="20" t="n"/>
      <c r="S175" s="16">
        <f>IF(B175="","",IFERROR(MIN(I175+VLOOKUP(B175,'Reference Data 기준데이터'!$A$3:$J$5,10,FALSE),VLOOKUP(B175,'Reference Data 기준데이터'!$A$3:$J$5,6,FALSE)),""))</f>
        <v/>
      </c>
      <c r="T175" s="20" t="n"/>
      <c r="U175" s="13" t="n"/>
      <c r="V175" s="17">
        <f>IF(B175="","",IF(U175&lt;&gt;"",U175,IF(AND(T175&lt;&gt;"",R175&lt;&gt;""),"11-결과등록완료",IF(AND(R175&lt;&gt;"",T175=""),"10-시험완료",IF(AND(P175&lt;&gt;"",R175=""),"09-시험준비중",IF(AND(N175&lt;&gt;"",P175=""),"08-단품준비완료",IF(L175="Approved","05-계획서승인",IF(L175="Revision Needed","04-검토중_보완",IF(L175="Under Review","03-검토중",IF(AND(K175&lt;&gt;"",L175=""),"02-제출_미검토","01-미제출"))))))))))</f>
        <v/>
      </c>
      <c r="W175" s="18">
        <f>IF(B175="","",IFS(V175="01-미제출",0,V175="02-제출_미검토",0.05,V175="03-검토중",0.1,V175="04-검토중_보완",0.05,V175="05-계획서승인",0.2,V175="06-BIW중단",0.15,V175="07-미인수",0.3,V175="08-단품준비완료",0.4,V175="09-시험준비중",0.55,V175="10-시험완료",0.85,V175="11-결과등록완료",1,V175="12-조건부승인",0.9,TRUE,0))</f>
        <v/>
      </c>
      <c r="X175" s="5">
        <f>IF(B175="","",IF(T175&lt;&gt;"","-",IF(S175="","N/A",S175-TODAY())))</f>
        <v/>
      </c>
      <c r="Y175" s="17">
        <f>IF(B175="","",IF(V175="11-결과등록완료","DONE",IF(U175="06-BIW중단","BLOCKED",IF(AND(K175="",J175&lt;TODAY()),"CRITICAL",IF(AND(ISNUMBER(X175),X175&lt;=0),"OVERDUE",IF(AND(ISNUMBER(X175),X175&lt;=14),"WARNING",IF(U175&lt;&gt;"","ACTION","ON TRACK")))))))</f>
        <v/>
      </c>
      <c r="Z175" s="5">
        <f>IF(B175="","",IF(OR(T175&lt;&gt;"",R175&lt;&gt;"",P175&lt;&gt;"",N175&lt;&gt;"",K175&lt;&gt;""),TODAY()-MAX(T175,R175,P175,N175,K175),"—"))</f>
        <v/>
      </c>
      <c r="AA175" s="19">
        <f>IF(B175="","",IF(V175="11-결과등록완료","— 완료",IF(V175="01-미제출",IF(J175&lt;TODAY(),"계획서 제출 독촉 (OVERDUE)","계획서 제출 대기"),IF(V175="02-제출_미검토","설계자: 계획서 검토 착수",IF(V175="03-검토중","설계자: 승인 처리",IF(V175="04-검토중_보완","보완 요청 → 협력사 재제출 독촉",IF(V175="05-계획서승인","시험편 준비 현황 확인",IF(V175="06-BIW중단","BIW 생산팀 확인 → 일정 재수립",IF(V175="07-미인수","협력사 인수 독촉",IF(V175="08-단품준비완료","시험 일정 확인",IF(V175="09-시험준비중","시험 진행 모니터링",IF(V175="10-시험완료","결과 보고서 전산 등록 독촉",IF(V175="12-조건부승인","조건부 승인 여부 판단 → 관련부서 협의","—")))))))))))))</f>
        <v/>
      </c>
      <c r="AB175" s="15" t="n"/>
    </row>
    <row r="176">
      <c r="A176" s="5">
        <f>IF(B176="","",ROW()-4)</f>
        <v/>
      </c>
      <c r="B176" s="13" t="n"/>
      <c r="C176" s="14">
        <f>IF(B176="","",IFERROR(VLOOKUP(D176,'Reference Data 기준데이터'!$A$30:$D$41,2,FALSE),""))</f>
        <v/>
      </c>
      <c r="D176" s="15" t="n"/>
      <c r="E176" s="14">
        <f>IF(B176="","",IFERROR(VLOOKUP(D176,'Reference Data 기준데이터'!$A$30:$D$41,3,FALSE),""))</f>
        <v/>
      </c>
      <c r="F176" s="15" t="n"/>
      <c r="G176" s="14">
        <f>IF(B176="","",IFERROR(VLOOKUP(F176,'Reference Data 기준데이터'!$A$9:$E$26,2,FALSE),""))</f>
        <v/>
      </c>
      <c r="H176" s="14">
        <f>IF(B176="","",IFERROR(VLOOKUP(F176,'Reference Data 기준데이터'!$A$9:$E$26,5,FALSE),""))</f>
        <v/>
      </c>
      <c r="I176" s="16">
        <f>IF(B176="","",IFERROR(VLOOKUP(B176,'Reference Data 기준데이터'!$A$3:$J$5,3,FALSE),""))</f>
        <v/>
      </c>
      <c r="J176" s="16">
        <f>IF(B176="","",IFERROR(I176+VLOOKUP(B176,'Reference Data 기준데이터'!$A$3:$J$5,7,FALSE),""))</f>
        <v/>
      </c>
      <c r="K176" s="20" t="n"/>
      <c r="L176" s="13" t="n"/>
      <c r="M176" s="16">
        <f>IF(B176="","",IFERROR(I176+VLOOKUP(B176,'Reference Data 기준데이터'!$A$3:$J$5,8,FALSE),""))</f>
        <v/>
      </c>
      <c r="N176" s="20" t="n"/>
      <c r="O176" s="16">
        <f>IF(B176="","",IFERROR(IF(G176="차량장착",MAX(I176+VLOOKUP(B176,'Reference Data 기준데이터'!$A$3:$J$5,9,FALSE),VLOOKUP(B176,'Reference Data 기준데이터'!$A$3:$J$5,4,FALSE)),I176+VLOOKUP(B176,'Reference Data 기준데이터'!$A$3:$J$5,9,FALSE)),""))</f>
        <v/>
      </c>
      <c r="P176" s="20" t="n"/>
      <c r="Q176" s="16">
        <f>IF(B176="","",IFERROR(O176+VLOOKUP(F176,'Reference Data 기준데이터'!$A$9:$E$26,4,FALSE),""))</f>
        <v/>
      </c>
      <c r="R176" s="20" t="n"/>
      <c r="S176" s="16">
        <f>IF(B176="","",IFERROR(MIN(I176+VLOOKUP(B176,'Reference Data 기준데이터'!$A$3:$J$5,10,FALSE),VLOOKUP(B176,'Reference Data 기준데이터'!$A$3:$J$5,6,FALSE)),""))</f>
        <v/>
      </c>
      <c r="T176" s="20" t="n"/>
      <c r="U176" s="13" t="n"/>
      <c r="V176" s="17">
        <f>IF(B176="","",IF(U176&lt;&gt;"",U176,IF(AND(T176&lt;&gt;"",R176&lt;&gt;""),"11-결과등록완료",IF(AND(R176&lt;&gt;"",T176=""),"10-시험완료",IF(AND(P176&lt;&gt;"",R176=""),"09-시험준비중",IF(AND(N176&lt;&gt;"",P176=""),"08-단품준비완료",IF(L176="Approved","05-계획서승인",IF(L176="Revision Needed","04-검토중_보완",IF(L176="Under Review","03-검토중",IF(AND(K176&lt;&gt;"",L176=""),"02-제출_미검토","01-미제출"))))))))))</f>
        <v/>
      </c>
      <c r="W176" s="18">
        <f>IF(B176="","",IFS(V176="01-미제출",0,V176="02-제출_미검토",0.05,V176="03-검토중",0.1,V176="04-검토중_보완",0.05,V176="05-계획서승인",0.2,V176="06-BIW중단",0.15,V176="07-미인수",0.3,V176="08-단품준비완료",0.4,V176="09-시험준비중",0.55,V176="10-시험완료",0.85,V176="11-결과등록완료",1,V176="12-조건부승인",0.9,TRUE,0))</f>
        <v/>
      </c>
      <c r="X176" s="5">
        <f>IF(B176="","",IF(T176&lt;&gt;"","-",IF(S176="","N/A",S176-TODAY())))</f>
        <v/>
      </c>
      <c r="Y176" s="17">
        <f>IF(B176="","",IF(V176="11-결과등록완료","DONE",IF(U176="06-BIW중단","BLOCKED",IF(AND(K176="",J176&lt;TODAY()),"CRITICAL",IF(AND(ISNUMBER(X176),X176&lt;=0),"OVERDUE",IF(AND(ISNUMBER(X176),X176&lt;=14),"WARNING",IF(U176&lt;&gt;"","ACTION","ON TRACK")))))))</f>
        <v/>
      </c>
      <c r="Z176" s="5">
        <f>IF(B176="","",IF(OR(T176&lt;&gt;"",R176&lt;&gt;"",P176&lt;&gt;"",N176&lt;&gt;"",K176&lt;&gt;""),TODAY()-MAX(T176,R176,P176,N176,K176),"—"))</f>
        <v/>
      </c>
      <c r="AA176" s="19">
        <f>IF(B176="","",IF(V176="11-결과등록완료","— 완료",IF(V176="01-미제출",IF(J176&lt;TODAY(),"계획서 제출 독촉 (OVERDUE)","계획서 제출 대기"),IF(V176="02-제출_미검토","설계자: 계획서 검토 착수",IF(V176="03-검토중","설계자: 승인 처리",IF(V176="04-검토중_보완","보완 요청 → 협력사 재제출 독촉",IF(V176="05-계획서승인","시험편 준비 현황 확인",IF(V176="06-BIW중단","BIW 생산팀 확인 → 일정 재수립",IF(V176="07-미인수","협력사 인수 독촉",IF(V176="08-단품준비완료","시험 일정 확인",IF(V176="09-시험준비중","시험 진행 모니터링",IF(V176="10-시험완료","결과 보고서 전산 등록 독촉",IF(V176="12-조건부승인","조건부 승인 여부 판단 → 관련부서 협의","—")))))))))))))</f>
        <v/>
      </c>
      <c r="AB176" s="15" t="n"/>
    </row>
    <row r="177">
      <c r="A177" s="5">
        <f>IF(B177="","",ROW()-4)</f>
        <v/>
      </c>
      <c r="B177" s="13" t="n"/>
      <c r="C177" s="14">
        <f>IF(B177="","",IFERROR(VLOOKUP(D177,'Reference Data 기준데이터'!$A$30:$D$41,2,FALSE),""))</f>
        <v/>
      </c>
      <c r="D177" s="15" t="n"/>
      <c r="E177" s="14">
        <f>IF(B177="","",IFERROR(VLOOKUP(D177,'Reference Data 기준데이터'!$A$30:$D$41,3,FALSE),""))</f>
        <v/>
      </c>
      <c r="F177" s="15" t="n"/>
      <c r="G177" s="14">
        <f>IF(B177="","",IFERROR(VLOOKUP(F177,'Reference Data 기준데이터'!$A$9:$E$26,2,FALSE),""))</f>
        <v/>
      </c>
      <c r="H177" s="14">
        <f>IF(B177="","",IFERROR(VLOOKUP(F177,'Reference Data 기준데이터'!$A$9:$E$26,5,FALSE),""))</f>
        <v/>
      </c>
      <c r="I177" s="16">
        <f>IF(B177="","",IFERROR(VLOOKUP(B177,'Reference Data 기준데이터'!$A$3:$J$5,3,FALSE),""))</f>
        <v/>
      </c>
      <c r="J177" s="16">
        <f>IF(B177="","",IFERROR(I177+VLOOKUP(B177,'Reference Data 기준데이터'!$A$3:$J$5,7,FALSE),""))</f>
        <v/>
      </c>
      <c r="K177" s="20" t="n"/>
      <c r="L177" s="13" t="n"/>
      <c r="M177" s="16">
        <f>IF(B177="","",IFERROR(I177+VLOOKUP(B177,'Reference Data 기준데이터'!$A$3:$J$5,8,FALSE),""))</f>
        <v/>
      </c>
      <c r="N177" s="20" t="n"/>
      <c r="O177" s="16">
        <f>IF(B177="","",IFERROR(IF(G177="차량장착",MAX(I177+VLOOKUP(B177,'Reference Data 기준데이터'!$A$3:$J$5,9,FALSE),VLOOKUP(B177,'Reference Data 기준데이터'!$A$3:$J$5,4,FALSE)),I177+VLOOKUP(B177,'Reference Data 기준데이터'!$A$3:$J$5,9,FALSE)),""))</f>
        <v/>
      </c>
      <c r="P177" s="20" t="n"/>
      <c r="Q177" s="16">
        <f>IF(B177="","",IFERROR(O177+VLOOKUP(F177,'Reference Data 기준데이터'!$A$9:$E$26,4,FALSE),""))</f>
        <v/>
      </c>
      <c r="R177" s="20" t="n"/>
      <c r="S177" s="16">
        <f>IF(B177="","",IFERROR(MIN(I177+VLOOKUP(B177,'Reference Data 기준데이터'!$A$3:$J$5,10,FALSE),VLOOKUP(B177,'Reference Data 기준데이터'!$A$3:$J$5,6,FALSE)),""))</f>
        <v/>
      </c>
      <c r="T177" s="20" t="n"/>
      <c r="U177" s="13" t="n"/>
      <c r="V177" s="17">
        <f>IF(B177="","",IF(U177&lt;&gt;"",U177,IF(AND(T177&lt;&gt;"",R177&lt;&gt;""),"11-결과등록완료",IF(AND(R177&lt;&gt;"",T177=""),"10-시험완료",IF(AND(P177&lt;&gt;"",R177=""),"09-시험준비중",IF(AND(N177&lt;&gt;"",P177=""),"08-단품준비완료",IF(L177="Approved","05-계획서승인",IF(L177="Revision Needed","04-검토중_보완",IF(L177="Under Review","03-검토중",IF(AND(K177&lt;&gt;"",L177=""),"02-제출_미검토","01-미제출"))))))))))</f>
        <v/>
      </c>
      <c r="W177" s="18">
        <f>IF(B177="","",IFS(V177="01-미제출",0,V177="02-제출_미검토",0.05,V177="03-검토중",0.1,V177="04-검토중_보완",0.05,V177="05-계획서승인",0.2,V177="06-BIW중단",0.15,V177="07-미인수",0.3,V177="08-단품준비완료",0.4,V177="09-시험준비중",0.55,V177="10-시험완료",0.85,V177="11-결과등록완료",1,V177="12-조건부승인",0.9,TRUE,0))</f>
        <v/>
      </c>
      <c r="X177" s="5">
        <f>IF(B177="","",IF(T177&lt;&gt;"","-",IF(S177="","N/A",S177-TODAY())))</f>
        <v/>
      </c>
      <c r="Y177" s="17">
        <f>IF(B177="","",IF(V177="11-결과등록완료","DONE",IF(U177="06-BIW중단","BLOCKED",IF(AND(K177="",J177&lt;TODAY()),"CRITICAL",IF(AND(ISNUMBER(X177),X177&lt;=0),"OVERDUE",IF(AND(ISNUMBER(X177),X177&lt;=14),"WARNING",IF(U177&lt;&gt;"","ACTION","ON TRACK")))))))</f>
        <v/>
      </c>
      <c r="Z177" s="5">
        <f>IF(B177="","",IF(OR(T177&lt;&gt;"",R177&lt;&gt;"",P177&lt;&gt;"",N177&lt;&gt;"",K177&lt;&gt;""),TODAY()-MAX(T177,R177,P177,N177,K177),"—"))</f>
        <v/>
      </c>
      <c r="AA177" s="19">
        <f>IF(B177="","",IF(V177="11-결과등록완료","— 완료",IF(V177="01-미제출",IF(J177&lt;TODAY(),"계획서 제출 독촉 (OVERDUE)","계획서 제출 대기"),IF(V177="02-제출_미검토","설계자: 계획서 검토 착수",IF(V177="03-검토중","설계자: 승인 처리",IF(V177="04-검토중_보완","보완 요청 → 협력사 재제출 독촉",IF(V177="05-계획서승인","시험편 준비 현황 확인",IF(V177="06-BIW중단","BIW 생산팀 확인 → 일정 재수립",IF(V177="07-미인수","협력사 인수 독촉",IF(V177="08-단품준비완료","시험 일정 확인",IF(V177="09-시험준비중","시험 진행 모니터링",IF(V177="10-시험완료","결과 보고서 전산 등록 독촉",IF(V177="12-조건부승인","조건부 승인 여부 판단 → 관련부서 협의","—")))))))))))))</f>
        <v/>
      </c>
      <c r="AB177" s="15" t="n"/>
    </row>
    <row r="178">
      <c r="A178" s="5">
        <f>IF(B178="","",ROW()-4)</f>
        <v/>
      </c>
      <c r="B178" s="13" t="n"/>
      <c r="C178" s="14">
        <f>IF(B178="","",IFERROR(VLOOKUP(D178,'Reference Data 기준데이터'!$A$30:$D$41,2,FALSE),""))</f>
        <v/>
      </c>
      <c r="D178" s="15" t="n"/>
      <c r="E178" s="14">
        <f>IF(B178="","",IFERROR(VLOOKUP(D178,'Reference Data 기준데이터'!$A$30:$D$41,3,FALSE),""))</f>
        <v/>
      </c>
      <c r="F178" s="15" t="n"/>
      <c r="G178" s="14">
        <f>IF(B178="","",IFERROR(VLOOKUP(F178,'Reference Data 기준데이터'!$A$9:$E$26,2,FALSE),""))</f>
        <v/>
      </c>
      <c r="H178" s="14">
        <f>IF(B178="","",IFERROR(VLOOKUP(F178,'Reference Data 기준데이터'!$A$9:$E$26,5,FALSE),""))</f>
        <v/>
      </c>
      <c r="I178" s="16">
        <f>IF(B178="","",IFERROR(VLOOKUP(B178,'Reference Data 기준데이터'!$A$3:$J$5,3,FALSE),""))</f>
        <v/>
      </c>
      <c r="J178" s="16">
        <f>IF(B178="","",IFERROR(I178+VLOOKUP(B178,'Reference Data 기준데이터'!$A$3:$J$5,7,FALSE),""))</f>
        <v/>
      </c>
      <c r="K178" s="20" t="n"/>
      <c r="L178" s="13" t="n"/>
      <c r="M178" s="16">
        <f>IF(B178="","",IFERROR(I178+VLOOKUP(B178,'Reference Data 기준데이터'!$A$3:$J$5,8,FALSE),""))</f>
        <v/>
      </c>
      <c r="N178" s="20" t="n"/>
      <c r="O178" s="16">
        <f>IF(B178="","",IFERROR(IF(G178="차량장착",MAX(I178+VLOOKUP(B178,'Reference Data 기준데이터'!$A$3:$J$5,9,FALSE),VLOOKUP(B178,'Reference Data 기준데이터'!$A$3:$J$5,4,FALSE)),I178+VLOOKUP(B178,'Reference Data 기준데이터'!$A$3:$J$5,9,FALSE)),""))</f>
        <v/>
      </c>
      <c r="P178" s="20" t="n"/>
      <c r="Q178" s="16">
        <f>IF(B178="","",IFERROR(O178+VLOOKUP(F178,'Reference Data 기준데이터'!$A$9:$E$26,4,FALSE),""))</f>
        <v/>
      </c>
      <c r="R178" s="20" t="n"/>
      <c r="S178" s="16">
        <f>IF(B178="","",IFERROR(MIN(I178+VLOOKUP(B178,'Reference Data 기준데이터'!$A$3:$J$5,10,FALSE),VLOOKUP(B178,'Reference Data 기준데이터'!$A$3:$J$5,6,FALSE)),""))</f>
        <v/>
      </c>
      <c r="T178" s="20" t="n"/>
      <c r="U178" s="13" t="n"/>
      <c r="V178" s="17">
        <f>IF(B178="","",IF(U178&lt;&gt;"",U178,IF(AND(T178&lt;&gt;"",R178&lt;&gt;""),"11-결과등록완료",IF(AND(R178&lt;&gt;"",T178=""),"10-시험완료",IF(AND(P178&lt;&gt;"",R178=""),"09-시험준비중",IF(AND(N178&lt;&gt;"",P178=""),"08-단품준비완료",IF(L178="Approved","05-계획서승인",IF(L178="Revision Needed","04-검토중_보완",IF(L178="Under Review","03-검토중",IF(AND(K178&lt;&gt;"",L178=""),"02-제출_미검토","01-미제출"))))))))))</f>
        <v/>
      </c>
      <c r="W178" s="18">
        <f>IF(B178="","",IFS(V178="01-미제출",0,V178="02-제출_미검토",0.05,V178="03-검토중",0.1,V178="04-검토중_보완",0.05,V178="05-계획서승인",0.2,V178="06-BIW중단",0.15,V178="07-미인수",0.3,V178="08-단품준비완료",0.4,V178="09-시험준비중",0.55,V178="10-시험완료",0.85,V178="11-결과등록완료",1,V178="12-조건부승인",0.9,TRUE,0))</f>
        <v/>
      </c>
      <c r="X178" s="5">
        <f>IF(B178="","",IF(T178&lt;&gt;"","-",IF(S178="","N/A",S178-TODAY())))</f>
        <v/>
      </c>
      <c r="Y178" s="17">
        <f>IF(B178="","",IF(V178="11-결과등록완료","DONE",IF(U178="06-BIW중단","BLOCKED",IF(AND(K178="",J178&lt;TODAY()),"CRITICAL",IF(AND(ISNUMBER(X178),X178&lt;=0),"OVERDUE",IF(AND(ISNUMBER(X178),X178&lt;=14),"WARNING",IF(U178&lt;&gt;"","ACTION","ON TRACK")))))))</f>
        <v/>
      </c>
      <c r="Z178" s="5">
        <f>IF(B178="","",IF(OR(T178&lt;&gt;"",R178&lt;&gt;"",P178&lt;&gt;"",N178&lt;&gt;"",K178&lt;&gt;""),TODAY()-MAX(T178,R178,P178,N178,K178),"—"))</f>
        <v/>
      </c>
      <c r="AA178" s="19">
        <f>IF(B178="","",IF(V178="11-결과등록완료","— 완료",IF(V178="01-미제출",IF(J178&lt;TODAY(),"계획서 제출 독촉 (OVERDUE)","계획서 제출 대기"),IF(V178="02-제출_미검토","설계자: 계획서 검토 착수",IF(V178="03-검토중","설계자: 승인 처리",IF(V178="04-검토중_보완","보완 요청 → 협력사 재제출 독촉",IF(V178="05-계획서승인","시험편 준비 현황 확인",IF(V178="06-BIW중단","BIW 생산팀 확인 → 일정 재수립",IF(V178="07-미인수","협력사 인수 독촉",IF(V178="08-단품준비완료","시험 일정 확인",IF(V178="09-시험준비중","시험 진행 모니터링",IF(V178="10-시험완료","결과 보고서 전산 등록 독촉",IF(V178="12-조건부승인","조건부 승인 여부 판단 → 관련부서 협의","—")))))))))))))</f>
        <v/>
      </c>
      <c r="AB178" s="15" t="n"/>
    </row>
    <row r="179">
      <c r="A179" s="5">
        <f>IF(B179="","",ROW()-4)</f>
        <v/>
      </c>
      <c r="B179" s="13" t="n"/>
      <c r="C179" s="14">
        <f>IF(B179="","",IFERROR(VLOOKUP(D179,'Reference Data 기준데이터'!$A$30:$D$41,2,FALSE),""))</f>
        <v/>
      </c>
      <c r="D179" s="15" t="n"/>
      <c r="E179" s="14">
        <f>IF(B179="","",IFERROR(VLOOKUP(D179,'Reference Data 기준데이터'!$A$30:$D$41,3,FALSE),""))</f>
        <v/>
      </c>
      <c r="F179" s="15" t="n"/>
      <c r="G179" s="14">
        <f>IF(B179="","",IFERROR(VLOOKUP(F179,'Reference Data 기준데이터'!$A$9:$E$26,2,FALSE),""))</f>
        <v/>
      </c>
      <c r="H179" s="14">
        <f>IF(B179="","",IFERROR(VLOOKUP(F179,'Reference Data 기준데이터'!$A$9:$E$26,5,FALSE),""))</f>
        <v/>
      </c>
      <c r="I179" s="16">
        <f>IF(B179="","",IFERROR(VLOOKUP(B179,'Reference Data 기준데이터'!$A$3:$J$5,3,FALSE),""))</f>
        <v/>
      </c>
      <c r="J179" s="16">
        <f>IF(B179="","",IFERROR(I179+VLOOKUP(B179,'Reference Data 기준데이터'!$A$3:$J$5,7,FALSE),""))</f>
        <v/>
      </c>
      <c r="K179" s="20" t="n"/>
      <c r="L179" s="13" t="n"/>
      <c r="M179" s="16">
        <f>IF(B179="","",IFERROR(I179+VLOOKUP(B179,'Reference Data 기준데이터'!$A$3:$J$5,8,FALSE),""))</f>
        <v/>
      </c>
      <c r="N179" s="20" t="n"/>
      <c r="O179" s="16">
        <f>IF(B179="","",IFERROR(IF(G179="차량장착",MAX(I179+VLOOKUP(B179,'Reference Data 기준데이터'!$A$3:$J$5,9,FALSE),VLOOKUP(B179,'Reference Data 기준데이터'!$A$3:$J$5,4,FALSE)),I179+VLOOKUP(B179,'Reference Data 기준데이터'!$A$3:$J$5,9,FALSE)),""))</f>
        <v/>
      </c>
      <c r="P179" s="20" t="n"/>
      <c r="Q179" s="16">
        <f>IF(B179="","",IFERROR(O179+VLOOKUP(F179,'Reference Data 기준데이터'!$A$9:$E$26,4,FALSE),""))</f>
        <v/>
      </c>
      <c r="R179" s="20" t="n"/>
      <c r="S179" s="16">
        <f>IF(B179="","",IFERROR(MIN(I179+VLOOKUP(B179,'Reference Data 기준데이터'!$A$3:$J$5,10,FALSE),VLOOKUP(B179,'Reference Data 기준데이터'!$A$3:$J$5,6,FALSE)),""))</f>
        <v/>
      </c>
      <c r="T179" s="20" t="n"/>
      <c r="U179" s="13" t="n"/>
      <c r="V179" s="17">
        <f>IF(B179="","",IF(U179&lt;&gt;"",U179,IF(AND(T179&lt;&gt;"",R179&lt;&gt;""),"11-결과등록완료",IF(AND(R179&lt;&gt;"",T179=""),"10-시험완료",IF(AND(P179&lt;&gt;"",R179=""),"09-시험준비중",IF(AND(N179&lt;&gt;"",P179=""),"08-단품준비완료",IF(L179="Approved","05-계획서승인",IF(L179="Revision Needed","04-검토중_보완",IF(L179="Under Review","03-검토중",IF(AND(K179&lt;&gt;"",L179=""),"02-제출_미검토","01-미제출"))))))))))</f>
        <v/>
      </c>
      <c r="W179" s="18">
        <f>IF(B179="","",IFS(V179="01-미제출",0,V179="02-제출_미검토",0.05,V179="03-검토중",0.1,V179="04-검토중_보완",0.05,V179="05-계획서승인",0.2,V179="06-BIW중단",0.15,V179="07-미인수",0.3,V179="08-단품준비완료",0.4,V179="09-시험준비중",0.55,V179="10-시험완료",0.85,V179="11-결과등록완료",1,V179="12-조건부승인",0.9,TRUE,0))</f>
        <v/>
      </c>
      <c r="X179" s="5">
        <f>IF(B179="","",IF(T179&lt;&gt;"","-",IF(S179="","N/A",S179-TODAY())))</f>
        <v/>
      </c>
      <c r="Y179" s="17">
        <f>IF(B179="","",IF(V179="11-결과등록완료","DONE",IF(U179="06-BIW중단","BLOCKED",IF(AND(K179="",J179&lt;TODAY()),"CRITICAL",IF(AND(ISNUMBER(X179),X179&lt;=0),"OVERDUE",IF(AND(ISNUMBER(X179),X179&lt;=14),"WARNING",IF(U179&lt;&gt;"","ACTION","ON TRACK")))))))</f>
        <v/>
      </c>
      <c r="Z179" s="5">
        <f>IF(B179="","",IF(OR(T179&lt;&gt;"",R179&lt;&gt;"",P179&lt;&gt;"",N179&lt;&gt;"",K179&lt;&gt;""),TODAY()-MAX(T179,R179,P179,N179,K179),"—"))</f>
        <v/>
      </c>
      <c r="AA179" s="19">
        <f>IF(B179="","",IF(V179="11-결과등록완료","— 완료",IF(V179="01-미제출",IF(J179&lt;TODAY(),"계획서 제출 독촉 (OVERDUE)","계획서 제출 대기"),IF(V179="02-제출_미검토","설계자: 계획서 검토 착수",IF(V179="03-검토중","설계자: 승인 처리",IF(V179="04-검토중_보완","보완 요청 → 협력사 재제출 독촉",IF(V179="05-계획서승인","시험편 준비 현황 확인",IF(V179="06-BIW중단","BIW 생산팀 확인 → 일정 재수립",IF(V179="07-미인수","협력사 인수 독촉",IF(V179="08-단품준비완료","시험 일정 확인",IF(V179="09-시험준비중","시험 진행 모니터링",IF(V179="10-시험완료","결과 보고서 전산 등록 독촉",IF(V179="12-조건부승인","조건부 승인 여부 판단 → 관련부서 협의","—")))))))))))))</f>
        <v/>
      </c>
      <c r="AB179" s="15" t="n"/>
    </row>
    <row r="180">
      <c r="A180" s="5">
        <f>IF(B180="","",ROW()-4)</f>
        <v/>
      </c>
      <c r="B180" s="13" t="n"/>
      <c r="C180" s="14">
        <f>IF(B180="","",IFERROR(VLOOKUP(D180,'Reference Data 기준데이터'!$A$30:$D$41,2,FALSE),""))</f>
        <v/>
      </c>
      <c r="D180" s="15" t="n"/>
      <c r="E180" s="14">
        <f>IF(B180="","",IFERROR(VLOOKUP(D180,'Reference Data 기준데이터'!$A$30:$D$41,3,FALSE),""))</f>
        <v/>
      </c>
      <c r="F180" s="15" t="n"/>
      <c r="G180" s="14">
        <f>IF(B180="","",IFERROR(VLOOKUP(F180,'Reference Data 기준데이터'!$A$9:$E$26,2,FALSE),""))</f>
        <v/>
      </c>
      <c r="H180" s="14">
        <f>IF(B180="","",IFERROR(VLOOKUP(F180,'Reference Data 기준데이터'!$A$9:$E$26,5,FALSE),""))</f>
        <v/>
      </c>
      <c r="I180" s="16">
        <f>IF(B180="","",IFERROR(VLOOKUP(B180,'Reference Data 기준데이터'!$A$3:$J$5,3,FALSE),""))</f>
        <v/>
      </c>
      <c r="J180" s="16">
        <f>IF(B180="","",IFERROR(I180+VLOOKUP(B180,'Reference Data 기준데이터'!$A$3:$J$5,7,FALSE),""))</f>
        <v/>
      </c>
      <c r="K180" s="20" t="n"/>
      <c r="L180" s="13" t="n"/>
      <c r="M180" s="16">
        <f>IF(B180="","",IFERROR(I180+VLOOKUP(B180,'Reference Data 기준데이터'!$A$3:$J$5,8,FALSE),""))</f>
        <v/>
      </c>
      <c r="N180" s="20" t="n"/>
      <c r="O180" s="16">
        <f>IF(B180="","",IFERROR(IF(G180="차량장착",MAX(I180+VLOOKUP(B180,'Reference Data 기준데이터'!$A$3:$J$5,9,FALSE),VLOOKUP(B180,'Reference Data 기준데이터'!$A$3:$J$5,4,FALSE)),I180+VLOOKUP(B180,'Reference Data 기준데이터'!$A$3:$J$5,9,FALSE)),""))</f>
        <v/>
      </c>
      <c r="P180" s="20" t="n"/>
      <c r="Q180" s="16">
        <f>IF(B180="","",IFERROR(O180+VLOOKUP(F180,'Reference Data 기준데이터'!$A$9:$E$26,4,FALSE),""))</f>
        <v/>
      </c>
      <c r="R180" s="20" t="n"/>
      <c r="S180" s="16">
        <f>IF(B180="","",IFERROR(MIN(I180+VLOOKUP(B180,'Reference Data 기준데이터'!$A$3:$J$5,10,FALSE),VLOOKUP(B180,'Reference Data 기준데이터'!$A$3:$J$5,6,FALSE)),""))</f>
        <v/>
      </c>
      <c r="T180" s="20" t="n"/>
      <c r="U180" s="13" t="n"/>
      <c r="V180" s="17">
        <f>IF(B180="","",IF(U180&lt;&gt;"",U180,IF(AND(T180&lt;&gt;"",R180&lt;&gt;""),"11-결과등록완료",IF(AND(R180&lt;&gt;"",T180=""),"10-시험완료",IF(AND(P180&lt;&gt;"",R180=""),"09-시험준비중",IF(AND(N180&lt;&gt;"",P180=""),"08-단품준비완료",IF(L180="Approved","05-계획서승인",IF(L180="Revision Needed","04-검토중_보완",IF(L180="Under Review","03-검토중",IF(AND(K180&lt;&gt;"",L180=""),"02-제출_미검토","01-미제출"))))))))))</f>
        <v/>
      </c>
      <c r="W180" s="18">
        <f>IF(B180="","",IFS(V180="01-미제출",0,V180="02-제출_미검토",0.05,V180="03-검토중",0.1,V180="04-검토중_보완",0.05,V180="05-계획서승인",0.2,V180="06-BIW중단",0.15,V180="07-미인수",0.3,V180="08-단품준비완료",0.4,V180="09-시험준비중",0.55,V180="10-시험완료",0.85,V180="11-결과등록완료",1,V180="12-조건부승인",0.9,TRUE,0))</f>
        <v/>
      </c>
      <c r="X180" s="5">
        <f>IF(B180="","",IF(T180&lt;&gt;"","-",IF(S180="","N/A",S180-TODAY())))</f>
        <v/>
      </c>
      <c r="Y180" s="17">
        <f>IF(B180="","",IF(V180="11-결과등록완료","DONE",IF(U180="06-BIW중단","BLOCKED",IF(AND(K180="",J180&lt;TODAY()),"CRITICAL",IF(AND(ISNUMBER(X180),X180&lt;=0),"OVERDUE",IF(AND(ISNUMBER(X180),X180&lt;=14),"WARNING",IF(U180&lt;&gt;"","ACTION","ON TRACK")))))))</f>
        <v/>
      </c>
      <c r="Z180" s="5">
        <f>IF(B180="","",IF(OR(T180&lt;&gt;"",R180&lt;&gt;"",P180&lt;&gt;"",N180&lt;&gt;"",K180&lt;&gt;""),TODAY()-MAX(T180,R180,P180,N180,K180),"—"))</f>
        <v/>
      </c>
      <c r="AA180" s="19">
        <f>IF(B180="","",IF(V180="11-결과등록완료","— 완료",IF(V180="01-미제출",IF(J180&lt;TODAY(),"계획서 제출 독촉 (OVERDUE)","계획서 제출 대기"),IF(V180="02-제출_미검토","설계자: 계획서 검토 착수",IF(V180="03-검토중","설계자: 승인 처리",IF(V180="04-검토중_보완","보완 요청 → 협력사 재제출 독촉",IF(V180="05-계획서승인","시험편 준비 현황 확인",IF(V180="06-BIW중단","BIW 생산팀 확인 → 일정 재수립",IF(V180="07-미인수","협력사 인수 독촉",IF(V180="08-단품준비완료","시험 일정 확인",IF(V180="09-시험준비중","시험 진행 모니터링",IF(V180="10-시험완료","결과 보고서 전산 등록 독촉",IF(V180="12-조건부승인","조건부 승인 여부 판단 → 관련부서 협의","—")))))))))))))</f>
        <v/>
      </c>
      <c r="AB180" s="15" t="n"/>
    </row>
    <row r="181">
      <c r="A181" s="5">
        <f>IF(B181="","",ROW()-4)</f>
        <v/>
      </c>
      <c r="B181" s="13" t="n"/>
      <c r="C181" s="14">
        <f>IF(B181="","",IFERROR(VLOOKUP(D181,'Reference Data 기준데이터'!$A$30:$D$41,2,FALSE),""))</f>
        <v/>
      </c>
      <c r="D181" s="15" t="n"/>
      <c r="E181" s="14">
        <f>IF(B181="","",IFERROR(VLOOKUP(D181,'Reference Data 기준데이터'!$A$30:$D$41,3,FALSE),""))</f>
        <v/>
      </c>
      <c r="F181" s="15" t="n"/>
      <c r="G181" s="14">
        <f>IF(B181="","",IFERROR(VLOOKUP(F181,'Reference Data 기준데이터'!$A$9:$E$26,2,FALSE),""))</f>
        <v/>
      </c>
      <c r="H181" s="14">
        <f>IF(B181="","",IFERROR(VLOOKUP(F181,'Reference Data 기준데이터'!$A$9:$E$26,5,FALSE),""))</f>
        <v/>
      </c>
      <c r="I181" s="16">
        <f>IF(B181="","",IFERROR(VLOOKUP(B181,'Reference Data 기준데이터'!$A$3:$J$5,3,FALSE),""))</f>
        <v/>
      </c>
      <c r="J181" s="16">
        <f>IF(B181="","",IFERROR(I181+VLOOKUP(B181,'Reference Data 기준데이터'!$A$3:$J$5,7,FALSE),""))</f>
        <v/>
      </c>
      <c r="K181" s="20" t="n"/>
      <c r="L181" s="13" t="n"/>
      <c r="M181" s="16">
        <f>IF(B181="","",IFERROR(I181+VLOOKUP(B181,'Reference Data 기준데이터'!$A$3:$J$5,8,FALSE),""))</f>
        <v/>
      </c>
      <c r="N181" s="20" t="n"/>
      <c r="O181" s="16">
        <f>IF(B181="","",IFERROR(IF(G181="차량장착",MAX(I181+VLOOKUP(B181,'Reference Data 기준데이터'!$A$3:$J$5,9,FALSE),VLOOKUP(B181,'Reference Data 기준데이터'!$A$3:$J$5,4,FALSE)),I181+VLOOKUP(B181,'Reference Data 기준데이터'!$A$3:$J$5,9,FALSE)),""))</f>
        <v/>
      </c>
      <c r="P181" s="20" t="n"/>
      <c r="Q181" s="16">
        <f>IF(B181="","",IFERROR(O181+VLOOKUP(F181,'Reference Data 기준데이터'!$A$9:$E$26,4,FALSE),""))</f>
        <v/>
      </c>
      <c r="R181" s="20" t="n"/>
      <c r="S181" s="16">
        <f>IF(B181="","",IFERROR(MIN(I181+VLOOKUP(B181,'Reference Data 기준데이터'!$A$3:$J$5,10,FALSE),VLOOKUP(B181,'Reference Data 기준데이터'!$A$3:$J$5,6,FALSE)),""))</f>
        <v/>
      </c>
      <c r="T181" s="20" t="n"/>
      <c r="U181" s="13" t="n"/>
      <c r="V181" s="17">
        <f>IF(B181="","",IF(U181&lt;&gt;"",U181,IF(AND(T181&lt;&gt;"",R181&lt;&gt;""),"11-결과등록완료",IF(AND(R181&lt;&gt;"",T181=""),"10-시험완료",IF(AND(P181&lt;&gt;"",R181=""),"09-시험준비중",IF(AND(N181&lt;&gt;"",P181=""),"08-단품준비완료",IF(L181="Approved","05-계획서승인",IF(L181="Revision Needed","04-검토중_보완",IF(L181="Under Review","03-검토중",IF(AND(K181&lt;&gt;"",L181=""),"02-제출_미검토","01-미제출"))))))))))</f>
        <v/>
      </c>
      <c r="W181" s="18">
        <f>IF(B181="","",IFS(V181="01-미제출",0,V181="02-제출_미검토",0.05,V181="03-검토중",0.1,V181="04-검토중_보완",0.05,V181="05-계획서승인",0.2,V181="06-BIW중단",0.15,V181="07-미인수",0.3,V181="08-단품준비완료",0.4,V181="09-시험준비중",0.55,V181="10-시험완료",0.85,V181="11-결과등록완료",1,V181="12-조건부승인",0.9,TRUE,0))</f>
        <v/>
      </c>
      <c r="X181" s="5">
        <f>IF(B181="","",IF(T181&lt;&gt;"","-",IF(S181="","N/A",S181-TODAY())))</f>
        <v/>
      </c>
      <c r="Y181" s="17">
        <f>IF(B181="","",IF(V181="11-결과등록완료","DONE",IF(U181="06-BIW중단","BLOCKED",IF(AND(K181="",J181&lt;TODAY()),"CRITICAL",IF(AND(ISNUMBER(X181),X181&lt;=0),"OVERDUE",IF(AND(ISNUMBER(X181),X181&lt;=14),"WARNING",IF(U181&lt;&gt;"","ACTION","ON TRACK")))))))</f>
        <v/>
      </c>
      <c r="Z181" s="5">
        <f>IF(B181="","",IF(OR(T181&lt;&gt;"",R181&lt;&gt;"",P181&lt;&gt;"",N181&lt;&gt;"",K181&lt;&gt;""),TODAY()-MAX(T181,R181,P181,N181,K181),"—"))</f>
        <v/>
      </c>
      <c r="AA181" s="19">
        <f>IF(B181="","",IF(V181="11-결과등록완료","— 완료",IF(V181="01-미제출",IF(J181&lt;TODAY(),"계획서 제출 독촉 (OVERDUE)","계획서 제출 대기"),IF(V181="02-제출_미검토","설계자: 계획서 검토 착수",IF(V181="03-검토중","설계자: 승인 처리",IF(V181="04-검토중_보완","보완 요청 → 협력사 재제출 독촉",IF(V181="05-계획서승인","시험편 준비 현황 확인",IF(V181="06-BIW중단","BIW 생산팀 확인 → 일정 재수립",IF(V181="07-미인수","협력사 인수 독촉",IF(V181="08-단품준비완료","시험 일정 확인",IF(V181="09-시험준비중","시험 진행 모니터링",IF(V181="10-시험완료","결과 보고서 전산 등록 독촉",IF(V181="12-조건부승인","조건부 승인 여부 판단 → 관련부서 협의","—")))))))))))))</f>
        <v/>
      </c>
      <c r="AB181" s="15" t="n"/>
    </row>
    <row r="182">
      <c r="A182" s="5">
        <f>IF(B182="","",ROW()-4)</f>
        <v/>
      </c>
      <c r="B182" s="13" t="n"/>
      <c r="C182" s="14">
        <f>IF(B182="","",IFERROR(VLOOKUP(D182,'Reference Data 기준데이터'!$A$30:$D$41,2,FALSE),""))</f>
        <v/>
      </c>
      <c r="D182" s="15" t="n"/>
      <c r="E182" s="14">
        <f>IF(B182="","",IFERROR(VLOOKUP(D182,'Reference Data 기준데이터'!$A$30:$D$41,3,FALSE),""))</f>
        <v/>
      </c>
      <c r="F182" s="15" t="n"/>
      <c r="G182" s="14">
        <f>IF(B182="","",IFERROR(VLOOKUP(F182,'Reference Data 기준데이터'!$A$9:$E$26,2,FALSE),""))</f>
        <v/>
      </c>
      <c r="H182" s="14">
        <f>IF(B182="","",IFERROR(VLOOKUP(F182,'Reference Data 기준데이터'!$A$9:$E$26,5,FALSE),""))</f>
        <v/>
      </c>
      <c r="I182" s="16">
        <f>IF(B182="","",IFERROR(VLOOKUP(B182,'Reference Data 기준데이터'!$A$3:$J$5,3,FALSE),""))</f>
        <v/>
      </c>
      <c r="J182" s="16">
        <f>IF(B182="","",IFERROR(I182+VLOOKUP(B182,'Reference Data 기준데이터'!$A$3:$J$5,7,FALSE),""))</f>
        <v/>
      </c>
      <c r="K182" s="20" t="n"/>
      <c r="L182" s="13" t="n"/>
      <c r="M182" s="16">
        <f>IF(B182="","",IFERROR(I182+VLOOKUP(B182,'Reference Data 기준데이터'!$A$3:$J$5,8,FALSE),""))</f>
        <v/>
      </c>
      <c r="N182" s="20" t="n"/>
      <c r="O182" s="16">
        <f>IF(B182="","",IFERROR(IF(G182="차량장착",MAX(I182+VLOOKUP(B182,'Reference Data 기준데이터'!$A$3:$J$5,9,FALSE),VLOOKUP(B182,'Reference Data 기준데이터'!$A$3:$J$5,4,FALSE)),I182+VLOOKUP(B182,'Reference Data 기준데이터'!$A$3:$J$5,9,FALSE)),""))</f>
        <v/>
      </c>
      <c r="P182" s="20" t="n"/>
      <c r="Q182" s="16">
        <f>IF(B182="","",IFERROR(O182+VLOOKUP(F182,'Reference Data 기준데이터'!$A$9:$E$26,4,FALSE),""))</f>
        <v/>
      </c>
      <c r="R182" s="20" t="n"/>
      <c r="S182" s="16">
        <f>IF(B182="","",IFERROR(MIN(I182+VLOOKUP(B182,'Reference Data 기준데이터'!$A$3:$J$5,10,FALSE),VLOOKUP(B182,'Reference Data 기준데이터'!$A$3:$J$5,6,FALSE)),""))</f>
        <v/>
      </c>
      <c r="T182" s="20" t="n"/>
      <c r="U182" s="13" t="n"/>
      <c r="V182" s="17">
        <f>IF(B182="","",IF(U182&lt;&gt;"",U182,IF(AND(T182&lt;&gt;"",R182&lt;&gt;""),"11-결과등록완료",IF(AND(R182&lt;&gt;"",T182=""),"10-시험완료",IF(AND(P182&lt;&gt;"",R182=""),"09-시험준비중",IF(AND(N182&lt;&gt;"",P182=""),"08-단품준비완료",IF(L182="Approved","05-계획서승인",IF(L182="Revision Needed","04-검토중_보완",IF(L182="Under Review","03-검토중",IF(AND(K182&lt;&gt;"",L182=""),"02-제출_미검토","01-미제출"))))))))))</f>
        <v/>
      </c>
      <c r="W182" s="18">
        <f>IF(B182="","",IFS(V182="01-미제출",0,V182="02-제출_미검토",0.05,V182="03-검토중",0.1,V182="04-검토중_보완",0.05,V182="05-계획서승인",0.2,V182="06-BIW중단",0.15,V182="07-미인수",0.3,V182="08-단품준비완료",0.4,V182="09-시험준비중",0.55,V182="10-시험완료",0.85,V182="11-결과등록완료",1,V182="12-조건부승인",0.9,TRUE,0))</f>
        <v/>
      </c>
      <c r="X182" s="5">
        <f>IF(B182="","",IF(T182&lt;&gt;"","-",IF(S182="","N/A",S182-TODAY())))</f>
        <v/>
      </c>
      <c r="Y182" s="17">
        <f>IF(B182="","",IF(V182="11-결과등록완료","DONE",IF(U182="06-BIW중단","BLOCKED",IF(AND(K182="",J182&lt;TODAY()),"CRITICAL",IF(AND(ISNUMBER(X182),X182&lt;=0),"OVERDUE",IF(AND(ISNUMBER(X182),X182&lt;=14),"WARNING",IF(U182&lt;&gt;"","ACTION","ON TRACK")))))))</f>
        <v/>
      </c>
      <c r="Z182" s="5">
        <f>IF(B182="","",IF(OR(T182&lt;&gt;"",R182&lt;&gt;"",P182&lt;&gt;"",N182&lt;&gt;"",K182&lt;&gt;""),TODAY()-MAX(T182,R182,P182,N182,K182),"—"))</f>
        <v/>
      </c>
      <c r="AA182" s="19">
        <f>IF(B182="","",IF(V182="11-결과등록완료","— 완료",IF(V182="01-미제출",IF(J182&lt;TODAY(),"계획서 제출 독촉 (OVERDUE)","계획서 제출 대기"),IF(V182="02-제출_미검토","설계자: 계획서 검토 착수",IF(V182="03-검토중","설계자: 승인 처리",IF(V182="04-검토중_보완","보완 요청 → 협력사 재제출 독촉",IF(V182="05-계획서승인","시험편 준비 현황 확인",IF(V182="06-BIW중단","BIW 생산팀 확인 → 일정 재수립",IF(V182="07-미인수","협력사 인수 독촉",IF(V182="08-단품준비완료","시험 일정 확인",IF(V182="09-시험준비중","시험 진행 모니터링",IF(V182="10-시험완료","결과 보고서 전산 등록 독촉",IF(V182="12-조건부승인","조건부 승인 여부 판단 → 관련부서 협의","—")))))))))))))</f>
        <v/>
      </c>
      <c r="AB182" s="15" t="n"/>
    </row>
    <row r="183">
      <c r="A183" s="5">
        <f>IF(B183="","",ROW()-4)</f>
        <v/>
      </c>
      <c r="B183" s="13" t="n"/>
      <c r="C183" s="14">
        <f>IF(B183="","",IFERROR(VLOOKUP(D183,'Reference Data 기준데이터'!$A$30:$D$41,2,FALSE),""))</f>
        <v/>
      </c>
      <c r="D183" s="15" t="n"/>
      <c r="E183" s="14">
        <f>IF(B183="","",IFERROR(VLOOKUP(D183,'Reference Data 기준데이터'!$A$30:$D$41,3,FALSE),""))</f>
        <v/>
      </c>
      <c r="F183" s="15" t="n"/>
      <c r="G183" s="14">
        <f>IF(B183="","",IFERROR(VLOOKUP(F183,'Reference Data 기준데이터'!$A$9:$E$26,2,FALSE),""))</f>
        <v/>
      </c>
      <c r="H183" s="14">
        <f>IF(B183="","",IFERROR(VLOOKUP(F183,'Reference Data 기준데이터'!$A$9:$E$26,5,FALSE),""))</f>
        <v/>
      </c>
      <c r="I183" s="16">
        <f>IF(B183="","",IFERROR(VLOOKUP(B183,'Reference Data 기준데이터'!$A$3:$J$5,3,FALSE),""))</f>
        <v/>
      </c>
      <c r="J183" s="16">
        <f>IF(B183="","",IFERROR(I183+VLOOKUP(B183,'Reference Data 기준데이터'!$A$3:$J$5,7,FALSE),""))</f>
        <v/>
      </c>
      <c r="K183" s="20" t="n"/>
      <c r="L183" s="13" t="n"/>
      <c r="M183" s="16">
        <f>IF(B183="","",IFERROR(I183+VLOOKUP(B183,'Reference Data 기준데이터'!$A$3:$J$5,8,FALSE),""))</f>
        <v/>
      </c>
      <c r="N183" s="20" t="n"/>
      <c r="O183" s="16">
        <f>IF(B183="","",IFERROR(IF(G183="차량장착",MAX(I183+VLOOKUP(B183,'Reference Data 기준데이터'!$A$3:$J$5,9,FALSE),VLOOKUP(B183,'Reference Data 기준데이터'!$A$3:$J$5,4,FALSE)),I183+VLOOKUP(B183,'Reference Data 기준데이터'!$A$3:$J$5,9,FALSE)),""))</f>
        <v/>
      </c>
      <c r="P183" s="20" t="n"/>
      <c r="Q183" s="16">
        <f>IF(B183="","",IFERROR(O183+VLOOKUP(F183,'Reference Data 기준데이터'!$A$9:$E$26,4,FALSE),""))</f>
        <v/>
      </c>
      <c r="R183" s="20" t="n"/>
      <c r="S183" s="16">
        <f>IF(B183="","",IFERROR(MIN(I183+VLOOKUP(B183,'Reference Data 기준데이터'!$A$3:$J$5,10,FALSE),VLOOKUP(B183,'Reference Data 기준데이터'!$A$3:$J$5,6,FALSE)),""))</f>
        <v/>
      </c>
      <c r="T183" s="20" t="n"/>
      <c r="U183" s="13" t="n"/>
      <c r="V183" s="17">
        <f>IF(B183="","",IF(U183&lt;&gt;"",U183,IF(AND(T183&lt;&gt;"",R183&lt;&gt;""),"11-결과등록완료",IF(AND(R183&lt;&gt;"",T183=""),"10-시험완료",IF(AND(P183&lt;&gt;"",R183=""),"09-시험준비중",IF(AND(N183&lt;&gt;"",P183=""),"08-단품준비완료",IF(L183="Approved","05-계획서승인",IF(L183="Revision Needed","04-검토중_보완",IF(L183="Under Review","03-검토중",IF(AND(K183&lt;&gt;"",L183=""),"02-제출_미검토","01-미제출"))))))))))</f>
        <v/>
      </c>
      <c r="W183" s="18">
        <f>IF(B183="","",IFS(V183="01-미제출",0,V183="02-제출_미검토",0.05,V183="03-검토중",0.1,V183="04-검토중_보완",0.05,V183="05-계획서승인",0.2,V183="06-BIW중단",0.15,V183="07-미인수",0.3,V183="08-단품준비완료",0.4,V183="09-시험준비중",0.55,V183="10-시험완료",0.85,V183="11-결과등록완료",1,V183="12-조건부승인",0.9,TRUE,0))</f>
        <v/>
      </c>
      <c r="X183" s="5">
        <f>IF(B183="","",IF(T183&lt;&gt;"","-",IF(S183="","N/A",S183-TODAY())))</f>
        <v/>
      </c>
      <c r="Y183" s="17">
        <f>IF(B183="","",IF(V183="11-결과등록완료","DONE",IF(U183="06-BIW중단","BLOCKED",IF(AND(K183="",J183&lt;TODAY()),"CRITICAL",IF(AND(ISNUMBER(X183),X183&lt;=0),"OVERDUE",IF(AND(ISNUMBER(X183),X183&lt;=14),"WARNING",IF(U183&lt;&gt;"","ACTION","ON TRACK")))))))</f>
        <v/>
      </c>
      <c r="Z183" s="5">
        <f>IF(B183="","",IF(OR(T183&lt;&gt;"",R183&lt;&gt;"",P183&lt;&gt;"",N183&lt;&gt;"",K183&lt;&gt;""),TODAY()-MAX(T183,R183,P183,N183,K183),"—"))</f>
        <v/>
      </c>
      <c r="AA183" s="19">
        <f>IF(B183="","",IF(V183="11-결과등록완료","— 완료",IF(V183="01-미제출",IF(J183&lt;TODAY(),"계획서 제출 독촉 (OVERDUE)","계획서 제출 대기"),IF(V183="02-제출_미검토","설계자: 계획서 검토 착수",IF(V183="03-검토중","설계자: 승인 처리",IF(V183="04-검토중_보완","보완 요청 → 협력사 재제출 독촉",IF(V183="05-계획서승인","시험편 준비 현황 확인",IF(V183="06-BIW중단","BIW 생산팀 확인 → 일정 재수립",IF(V183="07-미인수","협력사 인수 독촉",IF(V183="08-단품준비완료","시험 일정 확인",IF(V183="09-시험준비중","시험 진행 모니터링",IF(V183="10-시험완료","결과 보고서 전산 등록 독촉",IF(V183="12-조건부승인","조건부 승인 여부 판단 → 관련부서 협의","—")))))))))))))</f>
        <v/>
      </c>
      <c r="AB183" s="15" t="n"/>
    </row>
    <row r="184">
      <c r="A184" s="5">
        <f>IF(B184="","",ROW()-4)</f>
        <v/>
      </c>
      <c r="B184" s="13" t="n"/>
      <c r="C184" s="14">
        <f>IF(B184="","",IFERROR(VLOOKUP(D184,'Reference Data 기준데이터'!$A$30:$D$41,2,FALSE),""))</f>
        <v/>
      </c>
      <c r="D184" s="15" t="n"/>
      <c r="E184" s="14">
        <f>IF(B184="","",IFERROR(VLOOKUP(D184,'Reference Data 기준데이터'!$A$30:$D$41,3,FALSE),""))</f>
        <v/>
      </c>
      <c r="F184" s="15" t="n"/>
      <c r="G184" s="14">
        <f>IF(B184="","",IFERROR(VLOOKUP(F184,'Reference Data 기준데이터'!$A$9:$E$26,2,FALSE),""))</f>
        <v/>
      </c>
      <c r="H184" s="14">
        <f>IF(B184="","",IFERROR(VLOOKUP(F184,'Reference Data 기준데이터'!$A$9:$E$26,5,FALSE),""))</f>
        <v/>
      </c>
      <c r="I184" s="16">
        <f>IF(B184="","",IFERROR(VLOOKUP(B184,'Reference Data 기준데이터'!$A$3:$J$5,3,FALSE),""))</f>
        <v/>
      </c>
      <c r="J184" s="16">
        <f>IF(B184="","",IFERROR(I184+VLOOKUP(B184,'Reference Data 기준데이터'!$A$3:$J$5,7,FALSE),""))</f>
        <v/>
      </c>
      <c r="K184" s="20" t="n"/>
      <c r="L184" s="13" t="n"/>
      <c r="M184" s="16">
        <f>IF(B184="","",IFERROR(I184+VLOOKUP(B184,'Reference Data 기준데이터'!$A$3:$J$5,8,FALSE),""))</f>
        <v/>
      </c>
      <c r="N184" s="20" t="n"/>
      <c r="O184" s="16">
        <f>IF(B184="","",IFERROR(IF(G184="차량장착",MAX(I184+VLOOKUP(B184,'Reference Data 기준데이터'!$A$3:$J$5,9,FALSE),VLOOKUP(B184,'Reference Data 기준데이터'!$A$3:$J$5,4,FALSE)),I184+VLOOKUP(B184,'Reference Data 기준데이터'!$A$3:$J$5,9,FALSE)),""))</f>
        <v/>
      </c>
      <c r="P184" s="20" t="n"/>
      <c r="Q184" s="16">
        <f>IF(B184="","",IFERROR(O184+VLOOKUP(F184,'Reference Data 기준데이터'!$A$9:$E$26,4,FALSE),""))</f>
        <v/>
      </c>
      <c r="R184" s="20" t="n"/>
      <c r="S184" s="16">
        <f>IF(B184="","",IFERROR(MIN(I184+VLOOKUP(B184,'Reference Data 기준데이터'!$A$3:$J$5,10,FALSE),VLOOKUP(B184,'Reference Data 기준데이터'!$A$3:$J$5,6,FALSE)),""))</f>
        <v/>
      </c>
      <c r="T184" s="20" t="n"/>
      <c r="U184" s="13" t="n"/>
      <c r="V184" s="17">
        <f>IF(B184="","",IF(U184&lt;&gt;"",U184,IF(AND(T184&lt;&gt;"",R184&lt;&gt;""),"11-결과등록완료",IF(AND(R184&lt;&gt;"",T184=""),"10-시험완료",IF(AND(P184&lt;&gt;"",R184=""),"09-시험준비중",IF(AND(N184&lt;&gt;"",P184=""),"08-단품준비완료",IF(L184="Approved","05-계획서승인",IF(L184="Revision Needed","04-검토중_보완",IF(L184="Under Review","03-검토중",IF(AND(K184&lt;&gt;"",L184=""),"02-제출_미검토","01-미제출"))))))))))</f>
        <v/>
      </c>
      <c r="W184" s="18">
        <f>IF(B184="","",IFS(V184="01-미제출",0,V184="02-제출_미검토",0.05,V184="03-검토중",0.1,V184="04-검토중_보완",0.05,V184="05-계획서승인",0.2,V184="06-BIW중단",0.15,V184="07-미인수",0.3,V184="08-단품준비완료",0.4,V184="09-시험준비중",0.55,V184="10-시험완료",0.85,V184="11-결과등록완료",1,V184="12-조건부승인",0.9,TRUE,0))</f>
        <v/>
      </c>
      <c r="X184" s="5">
        <f>IF(B184="","",IF(T184&lt;&gt;"","-",IF(S184="","N/A",S184-TODAY())))</f>
        <v/>
      </c>
      <c r="Y184" s="17">
        <f>IF(B184="","",IF(V184="11-결과등록완료","DONE",IF(U184="06-BIW중단","BLOCKED",IF(AND(K184="",J184&lt;TODAY()),"CRITICAL",IF(AND(ISNUMBER(X184),X184&lt;=0),"OVERDUE",IF(AND(ISNUMBER(X184),X184&lt;=14),"WARNING",IF(U184&lt;&gt;"","ACTION","ON TRACK")))))))</f>
        <v/>
      </c>
      <c r="Z184" s="5">
        <f>IF(B184="","",IF(OR(T184&lt;&gt;"",R184&lt;&gt;"",P184&lt;&gt;"",N184&lt;&gt;"",K184&lt;&gt;""),TODAY()-MAX(T184,R184,P184,N184,K184),"—"))</f>
        <v/>
      </c>
      <c r="AA184" s="19">
        <f>IF(B184="","",IF(V184="11-결과등록완료","— 완료",IF(V184="01-미제출",IF(J184&lt;TODAY(),"계획서 제출 독촉 (OVERDUE)","계획서 제출 대기"),IF(V184="02-제출_미검토","설계자: 계획서 검토 착수",IF(V184="03-검토중","설계자: 승인 처리",IF(V184="04-검토중_보완","보완 요청 → 협력사 재제출 독촉",IF(V184="05-계획서승인","시험편 준비 현황 확인",IF(V184="06-BIW중단","BIW 생산팀 확인 → 일정 재수립",IF(V184="07-미인수","협력사 인수 독촉",IF(V184="08-단품준비완료","시험 일정 확인",IF(V184="09-시험준비중","시험 진행 모니터링",IF(V184="10-시험완료","결과 보고서 전산 등록 독촉",IF(V184="12-조건부승인","조건부 승인 여부 판단 → 관련부서 협의","—")))))))))))))</f>
        <v/>
      </c>
      <c r="AB184" s="15" t="n"/>
    </row>
    <row r="185">
      <c r="A185" s="5">
        <f>IF(B185="","",ROW()-4)</f>
        <v/>
      </c>
      <c r="B185" s="13" t="n"/>
      <c r="C185" s="14">
        <f>IF(B185="","",IFERROR(VLOOKUP(D185,'Reference Data 기준데이터'!$A$30:$D$41,2,FALSE),""))</f>
        <v/>
      </c>
      <c r="D185" s="15" t="n"/>
      <c r="E185" s="14">
        <f>IF(B185="","",IFERROR(VLOOKUP(D185,'Reference Data 기준데이터'!$A$30:$D$41,3,FALSE),""))</f>
        <v/>
      </c>
      <c r="F185" s="15" t="n"/>
      <c r="G185" s="14">
        <f>IF(B185="","",IFERROR(VLOOKUP(F185,'Reference Data 기준데이터'!$A$9:$E$26,2,FALSE),""))</f>
        <v/>
      </c>
      <c r="H185" s="14">
        <f>IF(B185="","",IFERROR(VLOOKUP(F185,'Reference Data 기준데이터'!$A$9:$E$26,5,FALSE),""))</f>
        <v/>
      </c>
      <c r="I185" s="16">
        <f>IF(B185="","",IFERROR(VLOOKUP(B185,'Reference Data 기준데이터'!$A$3:$J$5,3,FALSE),""))</f>
        <v/>
      </c>
      <c r="J185" s="16">
        <f>IF(B185="","",IFERROR(I185+VLOOKUP(B185,'Reference Data 기준데이터'!$A$3:$J$5,7,FALSE),""))</f>
        <v/>
      </c>
      <c r="K185" s="20" t="n"/>
      <c r="L185" s="13" t="n"/>
      <c r="M185" s="16">
        <f>IF(B185="","",IFERROR(I185+VLOOKUP(B185,'Reference Data 기준데이터'!$A$3:$J$5,8,FALSE),""))</f>
        <v/>
      </c>
      <c r="N185" s="20" t="n"/>
      <c r="O185" s="16">
        <f>IF(B185="","",IFERROR(IF(G185="차량장착",MAX(I185+VLOOKUP(B185,'Reference Data 기준데이터'!$A$3:$J$5,9,FALSE),VLOOKUP(B185,'Reference Data 기준데이터'!$A$3:$J$5,4,FALSE)),I185+VLOOKUP(B185,'Reference Data 기준데이터'!$A$3:$J$5,9,FALSE)),""))</f>
        <v/>
      </c>
      <c r="P185" s="20" t="n"/>
      <c r="Q185" s="16">
        <f>IF(B185="","",IFERROR(O185+VLOOKUP(F185,'Reference Data 기준데이터'!$A$9:$E$26,4,FALSE),""))</f>
        <v/>
      </c>
      <c r="R185" s="20" t="n"/>
      <c r="S185" s="16">
        <f>IF(B185="","",IFERROR(MIN(I185+VLOOKUP(B185,'Reference Data 기준데이터'!$A$3:$J$5,10,FALSE),VLOOKUP(B185,'Reference Data 기준데이터'!$A$3:$J$5,6,FALSE)),""))</f>
        <v/>
      </c>
      <c r="T185" s="20" t="n"/>
      <c r="U185" s="13" t="n"/>
      <c r="V185" s="17">
        <f>IF(B185="","",IF(U185&lt;&gt;"",U185,IF(AND(T185&lt;&gt;"",R185&lt;&gt;""),"11-결과등록완료",IF(AND(R185&lt;&gt;"",T185=""),"10-시험완료",IF(AND(P185&lt;&gt;"",R185=""),"09-시험준비중",IF(AND(N185&lt;&gt;"",P185=""),"08-단품준비완료",IF(L185="Approved","05-계획서승인",IF(L185="Revision Needed","04-검토중_보완",IF(L185="Under Review","03-검토중",IF(AND(K185&lt;&gt;"",L185=""),"02-제출_미검토","01-미제출"))))))))))</f>
        <v/>
      </c>
      <c r="W185" s="18">
        <f>IF(B185="","",IFS(V185="01-미제출",0,V185="02-제출_미검토",0.05,V185="03-검토중",0.1,V185="04-검토중_보완",0.05,V185="05-계획서승인",0.2,V185="06-BIW중단",0.15,V185="07-미인수",0.3,V185="08-단품준비완료",0.4,V185="09-시험준비중",0.55,V185="10-시험완료",0.85,V185="11-결과등록완료",1,V185="12-조건부승인",0.9,TRUE,0))</f>
        <v/>
      </c>
      <c r="X185" s="5">
        <f>IF(B185="","",IF(T185&lt;&gt;"","-",IF(S185="","N/A",S185-TODAY())))</f>
        <v/>
      </c>
      <c r="Y185" s="17">
        <f>IF(B185="","",IF(V185="11-결과등록완료","DONE",IF(U185="06-BIW중단","BLOCKED",IF(AND(K185="",J185&lt;TODAY()),"CRITICAL",IF(AND(ISNUMBER(X185),X185&lt;=0),"OVERDUE",IF(AND(ISNUMBER(X185),X185&lt;=14),"WARNING",IF(U185&lt;&gt;"","ACTION","ON TRACK")))))))</f>
        <v/>
      </c>
      <c r="Z185" s="5">
        <f>IF(B185="","",IF(OR(T185&lt;&gt;"",R185&lt;&gt;"",P185&lt;&gt;"",N185&lt;&gt;"",K185&lt;&gt;""),TODAY()-MAX(T185,R185,P185,N185,K185),"—"))</f>
        <v/>
      </c>
      <c r="AA185" s="19">
        <f>IF(B185="","",IF(V185="11-결과등록완료","— 완료",IF(V185="01-미제출",IF(J185&lt;TODAY(),"계획서 제출 독촉 (OVERDUE)","계획서 제출 대기"),IF(V185="02-제출_미검토","설계자: 계획서 검토 착수",IF(V185="03-검토중","설계자: 승인 처리",IF(V185="04-검토중_보완","보완 요청 → 협력사 재제출 독촉",IF(V185="05-계획서승인","시험편 준비 현황 확인",IF(V185="06-BIW중단","BIW 생산팀 확인 → 일정 재수립",IF(V185="07-미인수","협력사 인수 독촉",IF(V185="08-단품준비완료","시험 일정 확인",IF(V185="09-시험준비중","시험 진행 모니터링",IF(V185="10-시험완료","결과 보고서 전산 등록 독촉",IF(V185="12-조건부승인","조건부 승인 여부 판단 → 관련부서 협의","—")))))))))))))</f>
        <v/>
      </c>
      <c r="AB185" s="15" t="n"/>
    </row>
    <row r="186">
      <c r="A186" s="5">
        <f>IF(B186="","",ROW()-4)</f>
        <v/>
      </c>
      <c r="B186" s="13" t="n"/>
      <c r="C186" s="14">
        <f>IF(B186="","",IFERROR(VLOOKUP(D186,'Reference Data 기준데이터'!$A$30:$D$41,2,FALSE),""))</f>
        <v/>
      </c>
      <c r="D186" s="15" t="n"/>
      <c r="E186" s="14">
        <f>IF(B186="","",IFERROR(VLOOKUP(D186,'Reference Data 기준데이터'!$A$30:$D$41,3,FALSE),""))</f>
        <v/>
      </c>
      <c r="F186" s="15" t="n"/>
      <c r="G186" s="14">
        <f>IF(B186="","",IFERROR(VLOOKUP(F186,'Reference Data 기준데이터'!$A$9:$E$26,2,FALSE),""))</f>
        <v/>
      </c>
      <c r="H186" s="14">
        <f>IF(B186="","",IFERROR(VLOOKUP(F186,'Reference Data 기준데이터'!$A$9:$E$26,5,FALSE),""))</f>
        <v/>
      </c>
      <c r="I186" s="16">
        <f>IF(B186="","",IFERROR(VLOOKUP(B186,'Reference Data 기준데이터'!$A$3:$J$5,3,FALSE),""))</f>
        <v/>
      </c>
      <c r="J186" s="16">
        <f>IF(B186="","",IFERROR(I186+VLOOKUP(B186,'Reference Data 기준데이터'!$A$3:$J$5,7,FALSE),""))</f>
        <v/>
      </c>
      <c r="K186" s="20" t="n"/>
      <c r="L186" s="13" t="n"/>
      <c r="M186" s="16">
        <f>IF(B186="","",IFERROR(I186+VLOOKUP(B186,'Reference Data 기준데이터'!$A$3:$J$5,8,FALSE),""))</f>
        <v/>
      </c>
      <c r="N186" s="20" t="n"/>
      <c r="O186" s="16">
        <f>IF(B186="","",IFERROR(IF(G186="차량장착",MAX(I186+VLOOKUP(B186,'Reference Data 기준데이터'!$A$3:$J$5,9,FALSE),VLOOKUP(B186,'Reference Data 기준데이터'!$A$3:$J$5,4,FALSE)),I186+VLOOKUP(B186,'Reference Data 기준데이터'!$A$3:$J$5,9,FALSE)),""))</f>
        <v/>
      </c>
      <c r="P186" s="20" t="n"/>
      <c r="Q186" s="16">
        <f>IF(B186="","",IFERROR(O186+VLOOKUP(F186,'Reference Data 기준데이터'!$A$9:$E$26,4,FALSE),""))</f>
        <v/>
      </c>
      <c r="R186" s="20" t="n"/>
      <c r="S186" s="16">
        <f>IF(B186="","",IFERROR(MIN(I186+VLOOKUP(B186,'Reference Data 기준데이터'!$A$3:$J$5,10,FALSE),VLOOKUP(B186,'Reference Data 기준데이터'!$A$3:$J$5,6,FALSE)),""))</f>
        <v/>
      </c>
      <c r="T186" s="20" t="n"/>
      <c r="U186" s="13" t="n"/>
      <c r="V186" s="17">
        <f>IF(B186="","",IF(U186&lt;&gt;"",U186,IF(AND(T186&lt;&gt;"",R186&lt;&gt;""),"11-결과등록완료",IF(AND(R186&lt;&gt;"",T186=""),"10-시험완료",IF(AND(P186&lt;&gt;"",R186=""),"09-시험준비중",IF(AND(N186&lt;&gt;"",P186=""),"08-단품준비완료",IF(L186="Approved","05-계획서승인",IF(L186="Revision Needed","04-검토중_보완",IF(L186="Under Review","03-검토중",IF(AND(K186&lt;&gt;"",L186=""),"02-제출_미검토","01-미제출"))))))))))</f>
        <v/>
      </c>
      <c r="W186" s="18">
        <f>IF(B186="","",IFS(V186="01-미제출",0,V186="02-제출_미검토",0.05,V186="03-검토중",0.1,V186="04-검토중_보완",0.05,V186="05-계획서승인",0.2,V186="06-BIW중단",0.15,V186="07-미인수",0.3,V186="08-단품준비완료",0.4,V186="09-시험준비중",0.55,V186="10-시험완료",0.85,V186="11-결과등록완료",1,V186="12-조건부승인",0.9,TRUE,0))</f>
        <v/>
      </c>
      <c r="X186" s="5">
        <f>IF(B186="","",IF(T186&lt;&gt;"","-",IF(S186="","N/A",S186-TODAY())))</f>
        <v/>
      </c>
      <c r="Y186" s="17">
        <f>IF(B186="","",IF(V186="11-결과등록완료","DONE",IF(U186="06-BIW중단","BLOCKED",IF(AND(K186="",J186&lt;TODAY()),"CRITICAL",IF(AND(ISNUMBER(X186),X186&lt;=0),"OVERDUE",IF(AND(ISNUMBER(X186),X186&lt;=14),"WARNING",IF(U186&lt;&gt;"","ACTION","ON TRACK")))))))</f>
        <v/>
      </c>
      <c r="Z186" s="5">
        <f>IF(B186="","",IF(OR(T186&lt;&gt;"",R186&lt;&gt;"",P186&lt;&gt;"",N186&lt;&gt;"",K186&lt;&gt;""),TODAY()-MAX(T186,R186,P186,N186,K186),"—"))</f>
        <v/>
      </c>
      <c r="AA186" s="19">
        <f>IF(B186="","",IF(V186="11-결과등록완료","— 완료",IF(V186="01-미제출",IF(J186&lt;TODAY(),"계획서 제출 독촉 (OVERDUE)","계획서 제출 대기"),IF(V186="02-제출_미검토","설계자: 계획서 검토 착수",IF(V186="03-검토중","설계자: 승인 처리",IF(V186="04-검토중_보완","보완 요청 → 협력사 재제출 독촉",IF(V186="05-계획서승인","시험편 준비 현황 확인",IF(V186="06-BIW중단","BIW 생산팀 확인 → 일정 재수립",IF(V186="07-미인수","협력사 인수 독촉",IF(V186="08-단품준비완료","시험 일정 확인",IF(V186="09-시험준비중","시험 진행 모니터링",IF(V186="10-시험완료","결과 보고서 전산 등록 독촉",IF(V186="12-조건부승인","조건부 승인 여부 판단 → 관련부서 협의","—")))))))))))))</f>
        <v/>
      </c>
      <c r="AB186" s="15" t="n"/>
    </row>
    <row r="187">
      <c r="A187" s="5">
        <f>IF(B187="","",ROW()-4)</f>
        <v/>
      </c>
      <c r="B187" s="13" t="n"/>
      <c r="C187" s="14">
        <f>IF(B187="","",IFERROR(VLOOKUP(D187,'Reference Data 기준데이터'!$A$30:$D$41,2,FALSE),""))</f>
        <v/>
      </c>
      <c r="D187" s="15" t="n"/>
      <c r="E187" s="14">
        <f>IF(B187="","",IFERROR(VLOOKUP(D187,'Reference Data 기준데이터'!$A$30:$D$41,3,FALSE),""))</f>
        <v/>
      </c>
      <c r="F187" s="15" t="n"/>
      <c r="G187" s="14">
        <f>IF(B187="","",IFERROR(VLOOKUP(F187,'Reference Data 기준데이터'!$A$9:$E$26,2,FALSE),""))</f>
        <v/>
      </c>
      <c r="H187" s="14">
        <f>IF(B187="","",IFERROR(VLOOKUP(F187,'Reference Data 기준데이터'!$A$9:$E$26,5,FALSE),""))</f>
        <v/>
      </c>
      <c r="I187" s="16">
        <f>IF(B187="","",IFERROR(VLOOKUP(B187,'Reference Data 기준데이터'!$A$3:$J$5,3,FALSE),""))</f>
        <v/>
      </c>
      <c r="J187" s="16">
        <f>IF(B187="","",IFERROR(I187+VLOOKUP(B187,'Reference Data 기준데이터'!$A$3:$J$5,7,FALSE),""))</f>
        <v/>
      </c>
      <c r="K187" s="20" t="n"/>
      <c r="L187" s="13" t="n"/>
      <c r="M187" s="16">
        <f>IF(B187="","",IFERROR(I187+VLOOKUP(B187,'Reference Data 기준데이터'!$A$3:$J$5,8,FALSE),""))</f>
        <v/>
      </c>
      <c r="N187" s="20" t="n"/>
      <c r="O187" s="16">
        <f>IF(B187="","",IFERROR(IF(G187="차량장착",MAX(I187+VLOOKUP(B187,'Reference Data 기준데이터'!$A$3:$J$5,9,FALSE),VLOOKUP(B187,'Reference Data 기준데이터'!$A$3:$J$5,4,FALSE)),I187+VLOOKUP(B187,'Reference Data 기준데이터'!$A$3:$J$5,9,FALSE)),""))</f>
        <v/>
      </c>
      <c r="P187" s="20" t="n"/>
      <c r="Q187" s="16">
        <f>IF(B187="","",IFERROR(O187+VLOOKUP(F187,'Reference Data 기준데이터'!$A$9:$E$26,4,FALSE),""))</f>
        <v/>
      </c>
      <c r="R187" s="20" t="n"/>
      <c r="S187" s="16">
        <f>IF(B187="","",IFERROR(MIN(I187+VLOOKUP(B187,'Reference Data 기준데이터'!$A$3:$J$5,10,FALSE),VLOOKUP(B187,'Reference Data 기준데이터'!$A$3:$J$5,6,FALSE)),""))</f>
        <v/>
      </c>
      <c r="T187" s="20" t="n"/>
      <c r="U187" s="13" t="n"/>
      <c r="V187" s="17">
        <f>IF(B187="","",IF(U187&lt;&gt;"",U187,IF(AND(T187&lt;&gt;"",R187&lt;&gt;""),"11-결과등록완료",IF(AND(R187&lt;&gt;"",T187=""),"10-시험완료",IF(AND(P187&lt;&gt;"",R187=""),"09-시험준비중",IF(AND(N187&lt;&gt;"",P187=""),"08-단품준비완료",IF(L187="Approved","05-계획서승인",IF(L187="Revision Needed","04-검토중_보완",IF(L187="Under Review","03-검토중",IF(AND(K187&lt;&gt;"",L187=""),"02-제출_미검토","01-미제출"))))))))))</f>
        <v/>
      </c>
      <c r="W187" s="18">
        <f>IF(B187="","",IFS(V187="01-미제출",0,V187="02-제출_미검토",0.05,V187="03-검토중",0.1,V187="04-검토중_보완",0.05,V187="05-계획서승인",0.2,V187="06-BIW중단",0.15,V187="07-미인수",0.3,V187="08-단품준비완료",0.4,V187="09-시험준비중",0.55,V187="10-시험완료",0.85,V187="11-결과등록완료",1,V187="12-조건부승인",0.9,TRUE,0))</f>
        <v/>
      </c>
      <c r="X187" s="5">
        <f>IF(B187="","",IF(T187&lt;&gt;"","-",IF(S187="","N/A",S187-TODAY())))</f>
        <v/>
      </c>
      <c r="Y187" s="17">
        <f>IF(B187="","",IF(V187="11-결과등록완료","DONE",IF(U187="06-BIW중단","BLOCKED",IF(AND(K187="",J187&lt;TODAY()),"CRITICAL",IF(AND(ISNUMBER(X187),X187&lt;=0),"OVERDUE",IF(AND(ISNUMBER(X187),X187&lt;=14),"WARNING",IF(U187&lt;&gt;"","ACTION","ON TRACK")))))))</f>
        <v/>
      </c>
      <c r="Z187" s="5">
        <f>IF(B187="","",IF(OR(T187&lt;&gt;"",R187&lt;&gt;"",P187&lt;&gt;"",N187&lt;&gt;"",K187&lt;&gt;""),TODAY()-MAX(T187,R187,P187,N187,K187),"—"))</f>
        <v/>
      </c>
      <c r="AA187" s="19">
        <f>IF(B187="","",IF(V187="11-결과등록완료","— 완료",IF(V187="01-미제출",IF(J187&lt;TODAY(),"계획서 제출 독촉 (OVERDUE)","계획서 제출 대기"),IF(V187="02-제출_미검토","설계자: 계획서 검토 착수",IF(V187="03-검토중","설계자: 승인 처리",IF(V187="04-검토중_보완","보완 요청 → 협력사 재제출 독촉",IF(V187="05-계획서승인","시험편 준비 현황 확인",IF(V187="06-BIW중단","BIW 생산팀 확인 → 일정 재수립",IF(V187="07-미인수","협력사 인수 독촉",IF(V187="08-단품준비완료","시험 일정 확인",IF(V187="09-시험준비중","시험 진행 모니터링",IF(V187="10-시험완료","결과 보고서 전산 등록 독촉",IF(V187="12-조건부승인","조건부 승인 여부 판단 → 관련부서 협의","—")))))))))))))</f>
        <v/>
      </c>
      <c r="AB187" s="15" t="n"/>
    </row>
    <row r="188">
      <c r="A188" s="5">
        <f>IF(B188="","",ROW()-4)</f>
        <v/>
      </c>
      <c r="B188" s="13" t="n"/>
      <c r="C188" s="14">
        <f>IF(B188="","",IFERROR(VLOOKUP(D188,'Reference Data 기준데이터'!$A$30:$D$41,2,FALSE),""))</f>
        <v/>
      </c>
      <c r="D188" s="15" t="n"/>
      <c r="E188" s="14">
        <f>IF(B188="","",IFERROR(VLOOKUP(D188,'Reference Data 기준데이터'!$A$30:$D$41,3,FALSE),""))</f>
        <v/>
      </c>
      <c r="F188" s="15" t="n"/>
      <c r="G188" s="14">
        <f>IF(B188="","",IFERROR(VLOOKUP(F188,'Reference Data 기준데이터'!$A$9:$E$26,2,FALSE),""))</f>
        <v/>
      </c>
      <c r="H188" s="14">
        <f>IF(B188="","",IFERROR(VLOOKUP(F188,'Reference Data 기준데이터'!$A$9:$E$26,5,FALSE),""))</f>
        <v/>
      </c>
      <c r="I188" s="16">
        <f>IF(B188="","",IFERROR(VLOOKUP(B188,'Reference Data 기준데이터'!$A$3:$J$5,3,FALSE),""))</f>
        <v/>
      </c>
      <c r="J188" s="16">
        <f>IF(B188="","",IFERROR(I188+VLOOKUP(B188,'Reference Data 기준데이터'!$A$3:$J$5,7,FALSE),""))</f>
        <v/>
      </c>
      <c r="K188" s="20" t="n"/>
      <c r="L188" s="13" t="n"/>
      <c r="M188" s="16">
        <f>IF(B188="","",IFERROR(I188+VLOOKUP(B188,'Reference Data 기준데이터'!$A$3:$J$5,8,FALSE),""))</f>
        <v/>
      </c>
      <c r="N188" s="20" t="n"/>
      <c r="O188" s="16">
        <f>IF(B188="","",IFERROR(IF(G188="차량장착",MAX(I188+VLOOKUP(B188,'Reference Data 기준데이터'!$A$3:$J$5,9,FALSE),VLOOKUP(B188,'Reference Data 기준데이터'!$A$3:$J$5,4,FALSE)),I188+VLOOKUP(B188,'Reference Data 기준데이터'!$A$3:$J$5,9,FALSE)),""))</f>
        <v/>
      </c>
      <c r="P188" s="20" t="n"/>
      <c r="Q188" s="16">
        <f>IF(B188="","",IFERROR(O188+VLOOKUP(F188,'Reference Data 기준데이터'!$A$9:$E$26,4,FALSE),""))</f>
        <v/>
      </c>
      <c r="R188" s="20" t="n"/>
      <c r="S188" s="16">
        <f>IF(B188="","",IFERROR(MIN(I188+VLOOKUP(B188,'Reference Data 기준데이터'!$A$3:$J$5,10,FALSE),VLOOKUP(B188,'Reference Data 기준데이터'!$A$3:$J$5,6,FALSE)),""))</f>
        <v/>
      </c>
      <c r="T188" s="20" t="n"/>
      <c r="U188" s="13" t="n"/>
      <c r="V188" s="17">
        <f>IF(B188="","",IF(U188&lt;&gt;"",U188,IF(AND(T188&lt;&gt;"",R188&lt;&gt;""),"11-결과등록완료",IF(AND(R188&lt;&gt;"",T188=""),"10-시험완료",IF(AND(P188&lt;&gt;"",R188=""),"09-시험준비중",IF(AND(N188&lt;&gt;"",P188=""),"08-단품준비완료",IF(L188="Approved","05-계획서승인",IF(L188="Revision Needed","04-검토중_보완",IF(L188="Under Review","03-검토중",IF(AND(K188&lt;&gt;"",L188=""),"02-제출_미검토","01-미제출"))))))))))</f>
        <v/>
      </c>
      <c r="W188" s="18">
        <f>IF(B188="","",IFS(V188="01-미제출",0,V188="02-제출_미검토",0.05,V188="03-검토중",0.1,V188="04-검토중_보완",0.05,V188="05-계획서승인",0.2,V188="06-BIW중단",0.15,V188="07-미인수",0.3,V188="08-단품준비완료",0.4,V188="09-시험준비중",0.55,V188="10-시험완료",0.85,V188="11-결과등록완료",1,V188="12-조건부승인",0.9,TRUE,0))</f>
        <v/>
      </c>
      <c r="X188" s="5">
        <f>IF(B188="","",IF(T188&lt;&gt;"","-",IF(S188="","N/A",S188-TODAY())))</f>
        <v/>
      </c>
      <c r="Y188" s="17">
        <f>IF(B188="","",IF(V188="11-결과등록완료","DONE",IF(U188="06-BIW중단","BLOCKED",IF(AND(K188="",J188&lt;TODAY()),"CRITICAL",IF(AND(ISNUMBER(X188),X188&lt;=0),"OVERDUE",IF(AND(ISNUMBER(X188),X188&lt;=14),"WARNING",IF(U188&lt;&gt;"","ACTION","ON TRACK")))))))</f>
        <v/>
      </c>
      <c r="Z188" s="5">
        <f>IF(B188="","",IF(OR(T188&lt;&gt;"",R188&lt;&gt;"",P188&lt;&gt;"",N188&lt;&gt;"",K188&lt;&gt;""),TODAY()-MAX(T188,R188,P188,N188,K188),"—"))</f>
        <v/>
      </c>
      <c r="AA188" s="19">
        <f>IF(B188="","",IF(V188="11-결과등록완료","— 완료",IF(V188="01-미제출",IF(J188&lt;TODAY(),"계획서 제출 독촉 (OVERDUE)","계획서 제출 대기"),IF(V188="02-제출_미검토","설계자: 계획서 검토 착수",IF(V188="03-검토중","설계자: 승인 처리",IF(V188="04-검토중_보완","보완 요청 → 협력사 재제출 독촉",IF(V188="05-계획서승인","시험편 준비 현황 확인",IF(V188="06-BIW중단","BIW 생산팀 확인 → 일정 재수립",IF(V188="07-미인수","협력사 인수 독촉",IF(V188="08-단품준비완료","시험 일정 확인",IF(V188="09-시험준비중","시험 진행 모니터링",IF(V188="10-시험완료","결과 보고서 전산 등록 독촉",IF(V188="12-조건부승인","조건부 승인 여부 판단 → 관련부서 협의","—")))))))))))))</f>
        <v/>
      </c>
      <c r="AB188" s="15" t="n"/>
    </row>
    <row r="189">
      <c r="A189" s="5">
        <f>IF(B189="","",ROW()-4)</f>
        <v/>
      </c>
      <c r="B189" s="13" t="n"/>
      <c r="C189" s="14">
        <f>IF(B189="","",IFERROR(VLOOKUP(D189,'Reference Data 기준데이터'!$A$30:$D$41,2,FALSE),""))</f>
        <v/>
      </c>
      <c r="D189" s="15" t="n"/>
      <c r="E189" s="14">
        <f>IF(B189="","",IFERROR(VLOOKUP(D189,'Reference Data 기준데이터'!$A$30:$D$41,3,FALSE),""))</f>
        <v/>
      </c>
      <c r="F189" s="15" t="n"/>
      <c r="G189" s="14">
        <f>IF(B189="","",IFERROR(VLOOKUP(F189,'Reference Data 기준데이터'!$A$9:$E$26,2,FALSE),""))</f>
        <v/>
      </c>
      <c r="H189" s="14">
        <f>IF(B189="","",IFERROR(VLOOKUP(F189,'Reference Data 기준데이터'!$A$9:$E$26,5,FALSE),""))</f>
        <v/>
      </c>
      <c r="I189" s="16">
        <f>IF(B189="","",IFERROR(VLOOKUP(B189,'Reference Data 기준데이터'!$A$3:$J$5,3,FALSE),""))</f>
        <v/>
      </c>
      <c r="J189" s="16">
        <f>IF(B189="","",IFERROR(I189+VLOOKUP(B189,'Reference Data 기준데이터'!$A$3:$J$5,7,FALSE),""))</f>
        <v/>
      </c>
      <c r="K189" s="20" t="n"/>
      <c r="L189" s="13" t="n"/>
      <c r="M189" s="16">
        <f>IF(B189="","",IFERROR(I189+VLOOKUP(B189,'Reference Data 기준데이터'!$A$3:$J$5,8,FALSE),""))</f>
        <v/>
      </c>
      <c r="N189" s="20" t="n"/>
      <c r="O189" s="16">
        <f>IF(B189="","",IFERROR(IF(G189="차량장착",MAX(I189+VLOOKUP(B189,'Reference Data 기준데이터'!$A$3:$J$5,9,FALSE),VLOOKUP(B189,'Reference Data 기준데이터'!$A$3:$J$5,4,FALSE)),I189+VLOOKUP(B189,'Reference Data 기준데이터'!$A$3:$J$5,9,FALSE)),""))</f>
        <v/>
      </c>
      <c r="P189" s="20" t="n"/>
      <c r="Q189" s="16">
        <f>IF(B189="","",IFERROR(O189+VLOOKUP(F189,'Reference Data 기준데이터'!$A$9:$E$26,4,FALSE),""))</f>
        <v/>
      </c>
      <c r="R189" s="20" t="n"/>
      <c r="S189" s="16">
        <f>IF(B189="","",IFERROR(MIN(I189+VLOOKUP(B189,'Reference Data 기준데이터'!$A$3:$J$5,10,FALSE),VLOOKUP(B189,'Reference Data 기준데이터'!$A$3:$J$5,6,FALSE)),""))</f>
        <v/>
      </c>
      <c r="T189" s="20" t="n"/>
      <c r="U189" s="13" t="n"/>
      <c r="V189" s="17">
        <f>IF(B189="","",IF(U189&lt;&gt;"",U189,IF(AND(T189&lt;&gt;"",R189&lt;&gt;""),"11-결과등록완료",IF(AND(R189&lt;&gt;"",T189=""),"10-시험완료",IF(AND(P189&lt;&gt;"",R189=""),"09-시험준비중",IF(AND(N189&lt;&gt;"",P189=""),"08-단품준비완료",IF(L189="Approved","05-계획서승인",IF(L189="Revision Needed","04-검토중_보완",IF(L189="Under Review","03-검토중",IF(AND(K189&lt;&gt;"",L189=""),"02-제출_미검토","01-미제출"))))))))))</f>
        <v/>
      </c>
      <c r="W189" s="18">
        <f>IF(B189="","",IFS(V189="01-미제출",0,V189="02-제출_미검토",0.05,V189="03-검토중",0.1,V189="04-검토중_보완",0.05,V189="05-계획서승인",0.2,V189="06-BIW중단",0.15,V189="07-미인수",0.3,V189="08-단품준비완료",0.4,V189="09-시험준비중",0.55,V189="10-시험완료",0.85,V189="11-결과등록완료",1,V189="12-조건부승인",0.9,TRUE,0))</f>
        <v/>
      </c>
      <c r="X189" s="5">
        <f>IF(B189="","",IF(T189&lt;&gt;"","-",IF(S189="","N/A",S189-TODAY())))</f>
        <v/>
      </c>
      <c r="Y189" s="17">
        <f>IF(B189="","",IF(V189="11-결과등록완료","DONE",IF(U189="06-BIW중단","BLOCKED",IF(AND(K189="",J189&lt;TODAY()),"CRITICAL",IF(AND(ISNUMBER(X189),X189&lt;=0),"OVERDUE",IF(AND(ISNUMBER(X189),X189&lt;=14),"WARNING",IF(U189&lt;&gt;"","ACTION","ON TRACK")))))))</f>
        <v/>
      </c>
      <c r="Z189" s="5">
        <f>IF(B189="","",IF(OR(T189&lt;&gt;"",R189&lt;&gt;"",P189&lt;&gt;"",N189&lt;&gt;"",K189&lt;&gt;""),TODAY()-MAX(T189,R189,P189,N189,K189),"—"))</f>
        <v/>
      </c>
      <c r="AA189" s="19">
        <f>IF(B189="","",IF(V189="11-결과등록완료","— 완료",IF(V189="01-미제출",IF(J189&lt;TODAY(),"계획서 제출 독촉 (OVERDUE)","계획서 제출 대기"),IF(V189="02-제출_미검토","설계자: 계획서 검토 착수",IF(V189="03-검토중","설계자: 승인 처리",IF(V189="04-검토중_보완","보완 요청 → 협력사 재제출 독촉",IF(V189="05-계획서승인","시험편 준비 현황 확인",IF(V189="06-BIW중단","BIW 생산팀 확인 → 일정 재수립",IF(V189="07-미인수","협력사 인수 독촉",IF(V189="08-단품준비완료","시험 일정 확인",IF(V189="09-시험준비중","시험 진행 모니터링",IF(V189="10-시험완료","결과 보고서 전산 등록 독촉",IF(V189="12-조건부승인","조건부 승인 여부 판단 → 관련부서 협의","—")))))))))))))</f>
        <v/>
      </c>
      <c r="AB189" s="15" t="n"/>
    </row>
    <row r="190">
      <c r="A190" s="5">
        <f>IF(B190="","",ROW()-4)</f>
        <v/>
      </c>
      <c r="B190" s="13" t="n"/>
      <c r="C190" s="14">
        <f>IF(B190="","",IFERROR(VLOOKUP(D190,'Reference Data 기준데이터'!$A$30:$D$41,2,FALSE),""))</f>
        <v/>
      </c>
      <c r="D190" s="15" t="n"/>
      <c r="E190" s="14">
        <f>IF(B190="","",IFERROR(VLOOKUP(D190,'Reference Data 기준데이터'!$A$30:$D$41,3,FALSE),""))</f>
        <v/>
      </c>
      <c r="F190" s="15" t="n"/>
      <c r="G190" s="14">
        <f>IF(B190="","",IFERROR(VLOOKUP(F190,'Reference Data 기준데이터'!$A$9:$E$26,2,FALSE),""))</f>
        <v/>
      </c>
      <c r="H190" s="14">
        <f>IF(B190="","",IFERROR(VLOOKUP(F190,'Reference Data 기준데이터'!$A$9:$E$26,5,FALSE),""))</f>
        <v/>
      </c>
      <c r="I190" s="16">
        <f>IF(B190="","",IFERROR(VLOOKUP(B190,'Reference Data 기준데이터'!$A$3:$J$5,3,FALSE),""))</f>
        <v/>
      </c>
      <c r="J190" s="16">
        <f>IF(B190="","",IFERROR(I190+VLOOKUP(B190,'Reference Data 기준데이터'!$A$3:$J$5,7,FALSE),""))</f>
        <v/>
      </c>
      <c r="K190" s="20" t="n"/>
      <c r="L190" s="13" t="n"/>
      <c r="M190" s="16">
        <f>IF(B190="","",IFERROR(I190+VLOOKUP(B190,'Reference Data 기준데이터'!$A$3:$J$5,8,FALSE),""))</f>
        <v/>
      </c>
      <c r="N190" s="20" t="n"/>
      <c r="O190" s="16">
        <f>IF(B190="","",IFERROR(IF(G190="차량장착",MAX(I190+VLOOKUP(B190,'Reference Data 기준데이터'!$A$3:$J$5,9,FALSE),VLOOKUP(B190,'Reference Data 기준데이터'!$A$3:$J$5,4,FALSE)),I190+VLOOKUP(B190,'Reference Data 기준데이터'!$A$3:$J$5,9,FALSE)),""))</f>
        <v/>
      </c>
      <c r="P190" s="20" t="n"/>
      <c r="Q190" s="16">
        <f>IF(B190="","",IFERROR(O190+VLOOKUP(F190,'Reference Data 기준데이터'!$A$9:$E$26,4,FALSE),""))</f>
        <v/>
      </c>
      <c r="R190" s="20" t="n"/>
      <c r="S190" s="16">
        <f>IF(B190="","",IFERROR(MIN(I190+VLOOKUP(B190,'Reference Data 기준데이터'!$A$3:$J$5,10,FALSE),VLOOKUP(B190,'Reference Data 기준데이터'!$A$3:$J$5,6,FALSE)),""))</f>
        <v/>
      </c>
      <c r="T190" s="20" t="n"/>
      <c r="U190" s="13" t="n"/>
      <c r="V190" s="17">
        <f>IF(B190="","",IF(U190&lt;&gt;"",U190,IF(AND(T190&lt;&gt;"",R190&lt;&gt;""),"11-결과등록완료",IF(AND(R190&lt;&gt;"",T190=""),"10-시험완료",IF(AND(P190&lt;&gt;"",R190=""),"09-시험준비중",IF(AND(N190&lt;&gt;"",P190=""),"08-단품준비완료",IF(L190="Approved","05-계획서승인",IF(L190="Revision Needed","04-검토중_보완",IF(L190="Under Review","03-검토중",IF(AND(K190&lt;&gt;"",L190=""),"02-제출_미검토","01-미제출"))))))))))</f>
        <v/>
      </c>
      <c r="W190" s="18">
        <f>IF(B190="","",IFS(V190="01-미제출",0,V190="02-제출_미검토",0.05,V190="03-검토중",0.1,V190="04-검토중_보완",0.05,V190="05-계획서승인",0.2,V190="06-BIW중단",0.15,V190="07-미인수",0.3,V190="08-단품준비완료",0.4,V190="09-시험준비중",0.55,V190="10-시험완료",0.85,V190="11-결과등록완료",1,V190="12-조건부승인",0.9,TRUE,0))</f>
        <v/>
      </c>
      <c r="X190" s="5">
        <f>IF(B190="","",IF(T190&lt;&gt;"","-",IF(S190="","N/A",S190-TODAY())))</f>
        <v/>
      </c>
      <c r="Y190" s="17">
        <f>IF(B190="","",IF(V190="11-결과등록완료","DONE",IF(U190="06-BIW중단","BLOCKED",IF(AND(K190="",J190&lt;TODAY()),"CRITICAL",IF(AND(ISNUMBER(X190),X190&lt;=0),"OVERDUE",IF(AND(ISNUMBER(X190),X190&lt;=14),"WARNING",IF(U190&lt;&gt;"","ACTION","ON TRACK")))))))</f>
        <v/>
      </c>
      <c r="Z190" s="5">
        <f>IF(B190="","",IF(OR(T190&lt;&gt;"",R190&lt;&gt;"",P190&lt;&gt;"",N190&lt;&gt;"",K190&lt;&gt;""),TODAY()-MAX(T190,R190,P190,N190,K190),"—"))</f>
        <v/>
      </c>
      <c r="AA190" s="19">
        <f>IF(B190="","",IF(V190="11-결과등록완료","— 완료",IF(V190="01-미제출",IF(J190&lt;TODAY(),"계획서 제출 독촉 (OVERDUE)","계획서 제출 대기"),IF(V190="02-제출_미검토","설계자: 계획서 검토 착수",IF(V190="03-검토중","설계자: 승인 처리",IF(V190="04-검토중_보완","보완 요청 → 협력사 재제출 독촉",IF(V190="05-계획서승인","시험편 준비 현황 확인",IF(V190="06-BIW중단","BIW 생산팀 확인 → 일정 재수립",IF(V190="07-미인수","협력사 인수 독촉",IF(V190="08-단품준비완료","시험 일정 확인",IF(V190="09-시험준비중","시험 진행 모니터링",IF(V190="10-시험완료","결과 보고서 전산 등록 독촉",IF(V190="12-조건부승인","조건부 승인 여부 판단 → 관련부서 협의","—")))))))))))))</f>
        <v/>
      </c>
      <c r="AB190" s="15" t="n"/>
    </row>
    <row r="191">
      <c r="A191" s="5">
        <f>IF(B191="","",ROW()-4)</f>
        <v/>
      </c>
      <c r="B191" s="13" t="n"/>
      <c r="C191" s="14">
        <f>IF(B191="","",IFERROR(VLOOKUP(D191,'Reference Data 기준데이터'!$A$30:$D$41,2,FALSE),""))</f>
        <v/>
      </c>
      <c r="D191" s="15" t="n"/>
      <c r="E191" s="14">
        <f>IF(B191="","",IFERROR(VLOOKUP(D191,'Reference Data 기준데이터'!$A$30:$D$41,3,FALSE),""))</f>
        <v/>
      </c>
      <c r="F191" s="15" t="n"/>
      <c r="G191" s="14">
        <f>IF(B191="","",IFERROR(VLOOKUP(F191,'Reference Data 기준데이터'!$A$9:$E$26,2,FALSE),""))</f>
        <v/>
      </c>
      <c r="H191" s="14">
        <f>IF(B191="","",IFERROR(VLOOKUP(F191,'Reference Data 기준데이터'!$A$9:$E$26,5,FALSE),""))</f>
        <v/>
      </c>
      <c r="I191" s="16">
        <f>IF(B191="","",IFERROR(VLOOKUP(B191,'Reference Data 기준데이터'!$A$3:$J$5,3,FALSE),""))</f>
        <v/>
      </c>
      <c r="J191" s="16">
        <f>IF(B191="","",IFERROR(I191+VLOOKUP(B191,'Reference Data 기준데이터'!$A$3:$J$5,7,FALSE),""))</f>
        <v/>
      </c>
      <c r="K191" s="20" t="n"/>
      <c r="L191" s="13" t="n"/>
      <c r="M191" s="16">
        <f>IF(B191="","",IFERROR(I191+VLOOKUP(B191,'Reference Data 기준데이터'!$A$3:$J$5,8,FALSE),""))</f>
        <v/>
      </c>
      <c r="N191" s="20" t="n"/>
      <c r="O191" s="16">
        <f>IF(B191="","",IFERROR(IF(G191="차량장착",MAX(I191+VLOOKUP(B191,'Reference Data 기준데이터'!$A$3:$J$5,9,FALSE),VLOOKUP(B191,'Reference Data 기준데이터'!$A$3:$J$5,4,FALSE)),I191+VLOOKUP(B191,'Reference Data 기준데이터'!$A$3:$J$5,9,FALSE)),""))</f>
        <v/>
      </c>
      <c r="P191" s="20" t="n"/>
      <c r="Q191" s="16">
        <f>IF(B191="","",IFERROR(O191+VLOOKUP(F191,'Reference Data 기준데이터'!$A$9:$E$26,4,FALSE),""))</f>
        <v/>
      </c>
      <c r="R191" s="20" t="n"/>
      <c r="S191" s="16">
        <f>IF(B191="","",IFERROR(MIN(I191+VLOOKUP(B191,'Reference Data 기준데이터'!$A$3:$J$5,10,FALSE),VLOOKUP(B191,'Reference Data 기준데이터'!$A$3:$J$5,6,FALSE)),""))</f>
        <v/>
      </c>
      <c r="T191" s="20" t="n"/>
      <c r="U191" s="13" t="n"/>
      <c r="V191" s="17">
        <f>IF(B191="","",IF(U191&lt;&gt;"",U191,IF(AND(T191&lt;&gt;"",R191&lt;&gt;""),"11-결과등록완료",IF(AND(R191&lt;&gt;"",T191=""),"10-시험완료",IF(AND(P191&lt;&gt;"",R191=""),"09-시험준비중",IF(AND(N191&lt;&gt;"",P191=""),"08-단품준비완료",IF(L191="Approved","05-계획서승인",IF(L191="Revision Needed","04-검토중_보완",IF(L191="Under Review","03-검토중",IF(AND(K191&lt;&gt;"",L191=""),"02-제출_미검토","01-미제출"))))))))))</f>
        <v/>
      </c>
      <c r="W191" s="18">
        <f>IF(B191="","",IFS(V191="01-미제출",0,V191="02-제출_미검토",0.05,V191="03-검토중",0.1,V191="04-검토중_보완",0.05,V191="05-계획서승인",0.2,V191="06-BIW중단",0.15,V191="07-미인수",0.3,V191="08-단품준비완료",0.4,V191="09-시험준비중",0.55,V191="10-시험완료",0.85,V191="11-결과등록완료",1,V191="12-조건부승인",0.9,TRUE,0))</f>
        <v/>
      </c>
      <c r="X191" s="5">
        <f>IF(B191="","",IF(T191&lt;&gt;"","-",IF(S191="","N/A",S191-TODAY())))</f>
        <v/>
      </c>
      <c r="Y191" s="17">
        <f>IF(B191="","",IF(V191="11-결과등록완료","DONE",IF(U191="06-BIW중단","BLOCKED",IF(AND(K191="",J191&lt;TODAY()),"CRITICAL",IF(AND(ISNUMBER(X191),X191&lt;=0),"OVERDUE",IF(AND(ISNUMBER(X191),X191&lt;=14),"WARNING",IF(U191&lt;&gt;"","ACTION","ON TRACK")))))))</f>
        <v/>
      </c>
      <c r="Z191" s="5">
        <f>IF(B191="","",IF(OR(T191&lt;&gt;"",R191&lt;&gt;"",P191&lt;&gt;"",N191&lt;&gt;"",K191&lt;&gt;""),TODAY()-MAX(T191,R191,P191,N191,K191),"—"))</f>
        <v/>
      </c>
      <c r="AA191" s="19">
        <f>IF(B191="","",IF(V191="11-결과등록완료","— 완료",IF(V191="01-미제출",IF(J191&lt;TODAY(),"계획서 제출 독촉 (OVERDUE)","계획서 제출 대기"),IF(V191="02-제출_미검토","설계자: 계획서 검토 착수",IF(V191="03-검토중","설계자: 승인 처리",IF(V191="04-검토중_보완","보완 요청 → 협력사 재제출 독촉",IF(V191="05-계획서승인","시험편 준비 현황 확인",IF(V191="06-BIW중단","BIW 생산팀 확인 → 일정 재수립",IF(V191="07-미인수","협력사 인수 독촉",IF(V191="08-단품준비완료","시험 일정 확인",IF(V191="09-시험준비중","시험 진행 모니터링",IF(V191="10-시험완료","결과 보고서 전산 등록 독촉",IF(V191="12-조건부승인","조건부 승인 여부 판단 → 관련부서 협의","—")))))))))))))</f>
        <v/>
      </c>
      <c r="AB191" s="15" t="n"/>
    </row>
    <row r="192">
      <c r="A192" s="5">
        <f>IF(B192="","",ROW()-4)</f>
        <v/>
      </c>
      <c r="B192" s="13" t="n"/>
      <c r="C192" s="14">
        <f>IF(B192="","",IFERROR(VLOOKUP(D192,'Reference Data 기준데이터'!$A$30:$D$41,2,FALSE),""))</f>
        <v/>
      </c>
      <c r="D192" s="15" t="n"/>
      <c r="E192" s="14">
        <f>IF(B192="","",IFERROR(VLOOKUP(D192,'Reference Data 기준데이터'!$A$30:$D$41,3,FALSE),""))</f>
        <v/>
      </c>
      <c r="F192" s="15" t="n"/>
      <c r="G192" s="14">
        <f>IF(B192="","",IFERROR(VLOOKUP(F192,'Reference Data 기준데이터'!$A$9:$E$26,2,FALSE),""))</f>
        <v/>
      </c>
      <c r="H192" s="14">
        <f>IF(B192="","",IFERROR(VLOOKUP(F192,'Reference Data 기준데이터'!$A$9:$E$26,5,FALSE),""))</f>
        <v/>
      </c>
      <c r="I192" s="16">
        <f>IF(B192="","",IFERROR(VLOOKUP(B192,'Reference Data 기준데이터'!$A$3:$J$5,3,FALSE),""))</f>
        <v/>
      </c>
      <c r="J192" s="16">
        <f>IF(B192="","",IFERROR(I192+VLOOKUP(B192,'Reference Data 기준데이터'!$A$3:$J$5,7,FALSE),""))</f>
        <v/>
      </c>
      <c r="K192" s="20" t="n"/>
      <c r="L192" s="13" t="n"/>
      <c r="M192" s="16">
        <f>IF(B192="","",IFERROR(I192+VLOOKUP(B192,'Reference Data 기준데이터'!$A$3:$J$5,8,FALSE),""))</f>
        <v/>
      </c>
      <c r="N192" s="20" t="n"/>
      <c r="O192" s="16">
        <f>IF(B192="","",IFERROR(IF(G192="차량장착",MAX(I192+VLOOKUP(B192,'Reference Data 기준데이터'!$A$3:$J$5,9,FALSE),VLOOKUP(B192,'Reference Data 기준데이터'!$A$3:$J$5,4,FALSE)),I192+VLOOKUP(B192,'Reference Data 기준데이터'!$A$3:$J$5,9,FALSE)),""))</f>
        <v/>
      </c>
      <c r="P192" s="20" t="n"/>
      <c r="Q192" s="16">
        <f>IF(B192="","",IFERROR(O192+VLOOKUP(F192,'Reference Data 기준데이터'!$A$9:$E$26,4,FALSE),""))</f>
        <v/>
      </c>
      <c r="R192" s="20" t="n"/>
      <c r="S192" s="16">
        <f>IF(B192="","",IFERROR(MIN(I192+VLOOKUP(B192,'Reference Data 기준데이터'!$A$3:$J$5,10,FALSE),VLOOKUP(B192,'Reference Data 기준데이터'!$A$3:$J$5,6,FALSE)),""))</f>
        <v/>
      </c>
      <c r="T192" s="20" t="n"/>
      <c r="U192" s="13" t="n"/>
      <c r="V192" s="17">
        <f>IF(B192="","",IF(U192&lt;&gt;"",U192,IF(AND(T192&lt;&gt;"",R192&lt;&gt;""),"11-결과등록완료",IF(AND(R192&lt;&gt;"",T192=""),"10-시험완료",IF(AND(P192&lt;&gt;"",R192=""),"09-시험준비중",IF(AND(N192&lt;&gt;"",P192=""),"08-단품준비완료",IF(L192="Approved","05-계획서승인",IF(L192="Revision Needed","04-검토중_보완",IF(L192="Under Review","03-검토중",IF(AND(K192&lt;&gt;"",L192=""),"02-제출_미검토","01-미제출"))))))))))</f>
        <v/>
      </c>
      <c r="W192" s="18">
        <f>IF(B192="","",IFS(V192="01-미제출",0,V192="02-제출_미검토",0.05,V192="03-검토중",0.1,V192="04-검토중_보완",0.05,V192="05-계획서승인",0.2,V192="06-BIW중단",0.15,V192="07-미인수",0.3,V192="08-단품준비완료",0.4,V192="09-시험준비중",0.55,V192="10-시험완료",0.85,V192="11-결과등록완료",1,V192="12-조건부승인",0.9,TRUE,0))</f>
        <v/>
      </c>
      <c r="X192" s="5">
        <f>IF(B192="","",IF(T192&lt;&gt;"","-",IF(S192="","N/A",S192-TODAY())))</f>
        <v/>
      </c>
      <c r="Y192" s="17">
        <f>IF(B192="","",IF(V192="11-결과등록완료","DONE",IF(U192="06-BIW중단","BLOCKED",IF(AND(K192="",J192&lt;TODAY()),"CRITICAL",IF(AND(ISNUMBER(X192),X192&lt;=0),"OVERDUE",IF(AND(ISNUMBER(X192),X192&lt;=14),"WARNING",IF(U192&lt;&gt;"","ACTION","ON TRACK")))))))</f>
        <v/>
      </c>
      <c r="Z192" s="5">
        <f>IF(B192="","",IF(OR(T192&lt;&gt;"",R192&lt;&gt;"",P192&lt;&gt;"",N192&lt;&gt;"",K192&lt;&gt;""),TODAY()-MAX(T192,R192,P192,N192,K192),"—"))</f>
        <v/>
      </c>
      <c r="AA192" s="19">
        <f>IF(B192="","",IF(V192="11-결과등록완료","— 완료",IF(V192="01-미제출",IF(J192&lt;TODAY(),"계획서 제출 독촉 (OVERDUE)","계획서 제출 대기"),IF(V192="02-제출_미검토","설계자: 계획서 검토 착수",IF(V192="03-검토중","설계자: 승인 처리",IF(V192="04-검토중_보완","보완 요청 → 협력사 재제출 독촉",IF(V192="05-계획서승인","시험편 준비 현황 확인",IF(V192="06-BIW중단","BIW 생산팀 확인 → 일정 재수립",IF(V192="07-미인수","협력사 인수 독촉",IF(V192="08-단품준비완료","시험 일정 확인",IF(V192="09-시험준비중","시험 진행 모니터링",IF(V192="10-시험완료","결과 보고서 전산 등록 독촉",IF(V192="12-조건부승인","조건부 승인 여부 판단 → 관련부서 협의","—")))))))))))))</f>
        <v/>
      </c>
      <c r="AB192" s="15" t="n"/>
    </row>
    <row r="193">
      <c r="A193" s="5">
        <f>IF(B193="","",ROW()-4)</f>
        <v/>
      </c>
      <c r="B193" s="13" t="n"/>
      <c r="C193" s="14">
        <f>IF(B193="","",IFERROR(VLOOKUP(D193,'Reference Data 기준데이터'!$A$30:$D$41,2,FALSE),""))</f>
        <v/>
      </c>
      <c r="D193" s="15" t="n"/>
      <c r="E193" s="14">
        <f>IF(B193="","",IFERROR(VLOOKUP(D193,'Reference Data 기준데이터'!$A$30:$D$41,3,FALSE),""))</f>
        <v/>
      </c>
      <c r="F193" s="15" t="n"/>
      <c r="G193" s="14">
        <f>IF(B193="","",IFERROR(VLOOKUP(F193,'Reference Data 기준데이터'!$A$9:$E$26,2,FALSE),""))</f>
        <v/>
      </c>
      <c r="H193" s="14">
        <f>IF(B193="","",IFERROR(VLOOKUP(F193,'Reference Data 기준데이터'!$A$9:$E$26,5,FALSE),""))</f>
        <v/>
      </c>
      <c r="I193" s="16">
        <f>IF(B193="","",IFERROR(VLOOKUP(B193,'Reference Data 기준데이터'!$A$3:$J$5,3,FALSE),""))</f>
        <v/>
      </c>
      <c r="J193" s="16">
        <f>IF(B193="","",IFERROR(I193+VLOOKUP(B193,'Reference Data 기준데이터'!$A$3:$J$5,7,FALSE),""))</f>
        <v/>
      </c>
      <c r="K193" s="20" t="n"/>
      <c r="L193" s="13" t="n"/>
      <c r="M193" s="16">
        <f>IF(B193="","",IFERROR(I193+VLOOKUP(B193,'Reference Data 기준데이터'!$A$3:$J$5,8,FALSE),""))</f>
        <v/>
      </c>
      <c r="N193" s="20" t="n"/>
      <c r="O193" s="16">
        <f>IF(B193="","",IFERROR(IF(G193="차량장착",MAX(I193+VLOOKUP(B193,'Reference Data 기준데이터'!$A$3:$J$5,9,FALSE),VLOOKUP(B193,'Reference Data 기준데이터'!$A$3:$J$5,4,FALSE)),I193+VLOOKUP(B193,'Reference Data 기준데이터'!$A$3:$J$5,9,FALSE)),""))</f>
        <v/>
      </c>
      <c r="P193" s="20" t="n"/>
      <c r="Q193" s="16">
        <f>IF(B193="","",IFERROR(O193+VLOOKUP(F193,'Reference Data 기준데이터'!$A$9:$E$26,4,FALSE),""))</f>
        <v/>
      </c>
      <c r="R193" s="20" t="n"/>
      <c r="S193" s="16">
        <f>IF(B193="","",IFERROR(MIN(I193+VLOOKUP(B193,'Reference Data 기준데이터'!$A$3:$J$5,10,FALSE),VLOOKUP(B193,'Reference Data 기준데이터'!$A$3:$J$5,6,FALSE)),""))</f>
        <v/>
      </c>
      <c r="T193" s="20" t="n"/>
      <c r="U193" s="13" t="n"/>
      <c r="V193" s="17">
        <f>IF(B193="","",IF(U193&lt;&gt;"",U193,IF(AND(T193&lt;&gt;"",R193&lt;&gt;""),"11-결과등록완료",IF(AND(R193&lt;&gt;"",T193=""),"10-시험완료",IF(AND(P193&lt;&gt;"",R193=""),"09-시험준비중",IF(AND(N193&lt;&gt;"",P193=""),"08-단품준비완료",IF(L193="Approved","05-계획서승인",IF(L193="Revision Needed","04-검토중_보완",IF(L193="Under Review","03-검토중",IF(AND(K193&lt;&gt;"",L193=""),"02-제출_미검토","01-미제출"))))))))))</f>
        <v/>
      </c>
      <c r="W193" s="18">
        <f>IF(B193="","",IFS(V193="01-미제출",0,V193="02-제출_미검토",0.05,V193="03-검토중",0.1,V193="04-검토중_보완",0.05,V193="05-계획서승인",0.2,V193="06-BIW중단",0.15,V193="07-미인수",0.3,V193="08-단품준비완료",0.4,V193="09-시험준비중",0.55,V193="10-시험완료",0.85,V193="11-결과등록완료",1,V193="12-조건부승인",0.9,TRUE,0))</f>
        <v/>
      </c>
      <c r="X193" s="5">
        <f>IF(B193="","",IF(T193&lt;&gt;"","-",IF(S193="","N/A",S193-TODAY())))</f>
        <v/>
      </c>
      <c r="Y193" s="17">
        <f>IF(B193="","",IF(V193="11-결과등록완료","DONE",IF(U193="06-BIW중단","BLOCKED",IF(AND(K193="",J193&lt;TODAY()),"CRITICAL",IF(AND(ISNUMBER(X193),X193&lt;=0),"OVERDUE",IF(AND(ISNUMBER(X193),X193&lt;=14),"WARNING",IF(U193&lt;&gt;"","ACTION","ON TRACK")))))))</f>
        <v/>
      </c>
      <c r="Z193" s="5">
        <f>IF(B193="","",IF(OR(T193&lt;&gt;"",R193&lt;&gt;"",P193&lt;&gt;"",N193&lt;&gt;"",K193&lt;&gt;""),TODAY()-MAX(T193,R193,P193,N193,K193),"—"))</f>
        <v/>
      </c>
      <c r="AA193" s="19">
        <f>IF(B193="","",IF(V193="11-결과등록완료","— 완료",IF(V193="01-미제출",IF(J193&lt;TODAY(),"계획서 제출 독촉 (OVERDUE)","계획서 제출 대기"),IF(V193="02-제출_미검토","설계자: 계획서 검토 착수",IF(V193="03-검토중","설계자: 승인 처리",IF(V193="04-검토중_보완","보완 요청 → 협력사 재제출 독촉",IF(V193="05-계획서승인","시험편 준비 현황 확인",IF(V193="06-BIW중단","BIW 생산팀 확인 → 일정 재수립",IF(V193="07-미인수","협력사 인수 독촉",IF(V193="08-단품준비완료","시험 일정 확인",IF(V193="09-시험준비중","시험 진행 모니터링",IF(V193="10-시험완료","결과 보고서 전산 등록 독촉",IF(V193="12-조건부승인","조건부 승인 여부 판단 → 관련부서 협의","—")))))))))))))</f>
        <v/>
      </c>
      <c r="AB193" s="15" t="n"/>
    </row>
    <row r="194">
      <c r="A194" s="5">
        <f>IF(B194="","",ROW()-4)</f>
        <v/>
      </c>
      <c r="B194" s="13" t="n"/>
      <c r="C194" s="14">
        <f>IF(B194="","",IFERROR(VLOOKUP(D194,'Reference Data 기준데이터'!$A$30:$D$41,2,FALSE),""))</f>
        <v/>
      </c>
      <c r="D194" s="15" t="n"/>
      <c r="E194" s="14">
        <f>IF(B194="","",IFERROR(VLOOKUP(D194,'Reference Data 기준데이터'!$A$30:$D$41,3,FALSE),""))</f>
        <v/>
      </c>
      <c r="F194" s="15" t="n"/>
      <c r="G194" s="14">
        <f>IF(B194="","",IFERROR(VLOOKUP(F194,'Reference Data 기준데이터'!$A$9:$E$26,2,FALSE),""))</f>
        <v/>
      </c>
      <c r="H194" s="14">
        <f>IF(B194="","",IFERROR(VLOOKUP(F194,'Reference Data 기준데이터'!$A$9:$E$26,5,FALSE),""))</f>
        <v/>
      </c>
      <c r="I194" s="16">
        <f>IF(B194="","",IFERROR(VLOOKUP(B194,'Reference Data 기준데이터'!$A$3:$J$5,3,FALSE),""))</f>
        <v/>
      </c>
      <c r="J194" s="16">
        <f>IF(B194="","",IFERROR(I194+VLOOKUP(B194,'Reference Data 기준데이터'!$A$3:$J$5,7,FALSE),""))</f>
        <v/>
      </c>
      <c r="K194" s="20" t="n"/>
      <c r="L194" s="13" t="n"/>
      <c r="M194" s="16">
        <f>IF(B194="","",IFERROR(I194+VLOOKUP(B194,'Reference Data 기준데이터'!$A$3:$J$5,8,FALSE),""))</f>
        <v/>
      </c>
      <c r="N194" s="20" t="n"/>
      <c r="O194" s="16">
        <f>IF(B194="","",IFERROR(IF(G194="차량장착",MAX(I194+VLOOKUP(B194,'Reference Data 기준데이터'!$A$3:$J$5,9,FALSE),VLOOKUP(B194,'Reference Data 기준데이터'!$A$3:$J$5,4,FALSE)),I194+VLOOKUP(B194,'Reference Data 기준데이터'!$A$3:$J$5,9,FALSE)),""))</f>
        <v/>
      </c>
      <c r="P194" s="20" t="n"/>
      <c r="Q194" s="16">
        <f>IF(B194="","",IFERROR(O194+VLOOKUP(F194,'Reference Data 기준데이터'!$A$9:$E$26,4,FALSE),""))</f>
        <v/>
      </c>
      <c r="R194" s="20" t="n"/>
      <c r="S194" s="16">
        <f>IF(B194="","",IFERROR(MIN(I194+VLOOKUP(B194,'Reference Data 기준데이터'!$A$3:$J$5,10,FALSE),VLOOKUP(B194,'Reference Data 기준데이터'!$A$3:$J$5,6,FALSE)),""))</f>
        <v/>
      </c>
      <c r="T194" s="20" t="n"/>
      <c r="U194" s="13" t="n"/>
      <c r="V194" s="17">
        <f>IF(B194="","",IF(U194&lt;&gt;"",U194,IF(AND(T194&lt;&gt;"",R194&lt;&gt;""),"11-결과등록완료",IF(AND(R194&lt;&gt;"",T194=""),"10-시험완료",IF(AND(P194&lt;&gt;"",R194=""),"09-시험준비중",IF(AND(N194&lt;&gt;"",P194=""),"08-단품준비완료",IF(L194="Approved","05-계획서승인",IF(L194="Revision Needed","04-검토중_보완",IF(L194="Under Review","03-검토중",IF(AND(K194&lt;&gt;"",L194=""),"02-제출_미검토","01-미제출"))))))))))</f>
        <v/>
      </c>
      <c r="W194" s="18">
        <f>IF(B194="","",IFS(V194="01-미제출",0,V194="02-제출_미검토",0.05,V194="03-검토중",0.1,V194="04-검토중_보완",0.05,V194="05-계획서승인",0.2,V194="06-BIW중단",0.15,V194="07-미인수",0.3,V194="08-단품준비완료",0.4,V194="09-시험준비중",0.55,V194="10-시험완료",0.85,V194="11-결과등록완료",1,V194="12-조건부승인",0.9,TRUE,0))</f>
        <v/>
      </c>
      <c r="X194" s="5">
        <f>IF(B194="","",IF(T194&lt;&gt;"","-",IF(S194="","N/A",S194-TODAY())))</f>
        <v/>
      </c>
      <c r="Y194" s="17">
        <f>IF(B194="","",IF(V194="11-결과등록완료","DONE",IF(U194="06-BIW중단","BLOCKED",IF(AND(K194="",J194&lt;TODAY()),"CRITICAL",IF(AND(ISNUMBER(X194),X194&lt;=0),"OVERDUE",IF(AND(ISNUMBER(X194),X194&lt;=14),"WARNING",IF(U194&lt;&gt;"","ACTION","ON TRACK")))))))</f>
        <v/>
      </c>
      <c r="Z194" s="5">
        <f>IF(B194="","",IF(OR(T194&lt;&gt;"",R194&lt;&gt;"",P194&lt;&gt;"",N194&lt;&gt;"",K194&lt;&gt;""),TODAY()-MAX(T194,R194,P194,N194,K194),"—"))</f>
        <v/>
      </c>
      <c r="AA194" s="19">
        <f>IF(B194="","",IF(V194="11-결과등록완료","— 완료",IF(V194="01-미제출",IF(J194&lt;TODAY(),"계획서 제출 독촉 (OVERDUE)","계획서 제출 대기"),IF(V194="02-제출_미검토","설계자: 계획서 검토 착수",IF(V194="03-검토중","설계자: 승인 처리",IF(V194="04-검토중_보완","보완 요청 → 협력사 재제출 독촉",IF(V194="05-계획서승인","시험편 준비 현황 확인",IF(V194="06-BIW중단","BIW 생산팀 확인 → 일정 재수립",IF(V194="07-미인수","협력사 인수 독촉",IF(V194="08-단품준비완료","시험 일정 확인",IF(V194="09-시험준비중","시험 진행 모니터링",IF(V194="10-시험완료","결과 보고서 전산 등록 독촉",IF(V194="12-조건부승인","조건부 승인 여부 판단 → 관련부서 협의","—")))))))))))))</f>
        <v/>
      </c>
      <c r="AB194" s="15" t="n"/>
    </row>
    <row r="195">
      <c r="A195" s="5">
        <f>IF(B195="","",ROW()-4)</f>
        <v/>
      </c>
      <c r="B195" s="13" t="n"/>
      <c r="C195" s="14">
        <f>IF(B195="","",IFERROR(VLOOKUP(D195,'Reference Data 기준데이터'!$A$30:$D$41,2,FALSE),""))</f>
        <v/>
      </c>
      <c r="D195" s="15" t="n"/>
      <c r="E195" s="14">
        <f>IF(B195="","",IFERROR(VLOOKUP(D195,'Reference Data 기준데이터'!$A$30:$D$41,3,FALSE),""))</f>
        <v/>
      </c>
      <c r="F195" s="15" t="n"/>
      <c r="G195" s="14">
        <f>IF(B195="","",IFERROR(VLOOKUP(F195,'Reference Data 기준데이터'!$A$9:$E$26,2,FALSE),""))</f>
        <v/>
      </c>
      <c r="H195" s="14">
        <f>IF(B195="","",IFERROR(VLOOKUP(F195,'Reference Data 기준데이터'!$A$9:$E$26,5,FALSE),""))</f>
        <v/>
      </c>
      <c r="I195" s="16">
        <f>IF(B195="","",IFERROR(VLOOKUP(B195,'Reference Data 기준데이터'!$A$3:$J$5,3,FALSE),""))</f>
        <v/>
      </c>
      <c r="J195" s="16">
        <f>IF(B195="","",IFERROR(I195+VLOOKUP(B195,'Reference Data 기준데이터'!$A$3:$J$5,7,FALSE),""))</f>
        <v/>
      </c>
      <c r="K195" s="20" t="n"/>
      <c r="L195" s="13" t="n"/>
      <c r="M195" s="16">
        <f>IF(B195="","",IFERROR(I195+VLOOKUP(B195,'Reference Data 기준데이터'!$A$3:$J$5,8,FALSE),""))</f>
        <v/>
      </c>
      <c r="N195" s="20" t="n"/>
      <c r="O195" s="16">
        <f>IF(B195="","",IFERROR(IF(G195="차량장착",MAX(I195+VLOOKUP(B195,'Reference Data 기준데이터'!$A$3:$J$5,9,FALSE),VLOOKUP(B195,'Reference Data 기준데이터'!$A$3:$J$5,4,FALSE)),I195+VLOOKUP(B195,'Reference Data 기준데이터'!$A$3:$J$5,9,FALSE)),""))</f>
        <v/>
      </c>
      <c r="P195" s="20" t="n"/>
      <c r="Q195" s="16">
        <f>IF(B195="","",IFERROR(O195+VLOOKUP(F195,'Reference Data 기준데이터'!$A$9:$E$26,4,FALSE),""))</f>
        <v/>
      </c>
      <c r="R195" s="20" t="n"/>
      <c r="S195" s="16">
        <f>IF(B195="","",IFERROR(MIN(I195+VLOOKUP(B195,'Reference Data 기준데이터'!$A$3:$J$5,10,FALSE),VLOOKUP(B195,'Reference Data 기준데이터'!$A$3:$J$5,6,FALSE)),""))</f>
        <v/>
      </c>
      <c r="T195" s="20" t="n"/>
      <c r="U195" s="13" t="n"/>
      <c r="V195" s="17">
        <f>IF(B195="","",IF(U195&lt;&gt;"",U195,IF(AND(T195&lt;&gt;"",R195&lt;&gt;""),"11-결과등록완료",IF(AND(R195&lt;&gt;"",T195=""),"10-시험완료",IF(AND(P195&lt;&gt;"",R195=""),"09-시험준비중",IF(AND(N195&lt;&gt;"",P195=""),"08-단품준비완료",IF(L195="Approved","05-계획서승인",IF(L195="Revision Needed","04-검토중_보완",IF(L195="Under Review","03-검토중",IF(AND(K195&lt;&gt;"",L195=""),"02-제출_미검토","01-미제출"))))))))))</f>
        <v/>
      </c>
      <c r="W195" s="18">
        <f>IF(B195="","",IFS(V195="01-미제출",0,V195="02-제출_미검토",0.05,V195="03-검토중",0.1,V195="04-검토중_보완",0.05,V195="05-계획서승인",0.2,V195="06-BIW중단",0.15,V195="07-미인수",0.3,V195="08-단품준비완료",0.4,V195="09-시험준비중",0.55,V195="10-시험완료",0.85,V195="11-결과등록완료",1,V195="12-조건부승인",0.9,TRUE,0))</f>
        <v/>
      </c>
      <c r="X195" s="5">
        <f>IF(B195="","",IF(T195&lt;&gt;"","-",IF(S195="","N/A",S195-TODAY())))</f>
        <v/>
      </c>
      <c r="Y195" s="17">
        <f>IF(B195="","",IF(V195="11-결과등록완료","DONE",IF(U195="06-BIW중단","BLOCKED",IF(AND(K195="",J195&lt;TODAY()),"CRITICAL",IF(AND(ISNUMBER(X195),X195&lt;=0),"OVERDUE",IF(AND(ISNUMBER(X195),X195&lt;=14),"WARNING",IF(U195&lt;&gt;"","ACTION","ON TRACK")))))))</f>
        <v/>
      </c>
      <c r="Z195" s="5">
        <f>IF(B195="","",IF(OR(T195&lt;&gt;"",R195&lt;&gt;"",P195&lt;&gt;"",N195&lt;&gt;"",K195&lt;&gt;""),TODAY()-MAX(T195,R195,P195,N195,K195),"—"))</f>
        <v/>
      </c>
      <c r="AA195" s="19">
        <f>IF(B195="","",IF(V195="11-결과등록완료","— 완료",IF(V195="01-미제출",IF(J195&lt;TODAY(),"계획서 제출 독촉 (OVERDUE)","계획서 제출 대기"),IF(V195="02-제출_미검토","설계자: 계획서 검토 착수",IF(V195="03-검토중","설계자: 승인 처리",IF(V195="04-검토중_보완","보완 요청 → 협력사 재제출 독촉",IF(V195="05-계획서승인","시험편 준비 현황 확인",IF(V195="06-BIW중단","BIW 생산팀 확인 → 일정 재수립",IF(V195="07-미인수","협력사 인수 독촉",IF(V195="08-단품준비완료","시험 일정 확인",IF(V195="09-시험준비중","시험 진행 모니터링",IF(V195="10-시험완료","결과 보고서 전산 등록 독촉",IF(V195="12-조건부승인","조건부 승인 여부 판단 → 관련부서 협의","—")))))))))))))</f>
        <v/>
      </c>
      <c r="AB195" s="15" t="n"/>
    </row>
    <row r="196">
      <c r="A196" s="5">
        <f>IF(B196="","",ROW()-4)</f>
        <v/>
      </c>
      <c r="B196" s="13" t="n"/>
      <c r="C196" s="14">
        <f>IF(B196="","",IFERROR(VLOOKUP(D196,'Reference Data 기준데이터'!$A$30:$D$41,2,FALSE),""))</f>
        <v/>
      </c>
      <c r="D196" s="15" t="n"/>
      <c r="E196" s="14">
        <f>IF(B196="","",IFERROR(VLOOKUP(D196,'Reference Data 기준데이터'!$A$30:$D$41,3,FALSE),""))</f>
        <v/>
      </c>
      <c r="F196" s="15" t="n"/>
      <c r="G196" s="14">
        <f>IF(B196="","",IFERROR(VLOOKUP(F196,'Reference Data 기준데이터'!$A$9:$E$26,2,FALSE),""))</f>
        <v/>
      </c>
      <c r="H196" s="14">
        <f>IF(B196="","",IFERROR(VLOOKUP(F196,'Reference Data 기준데이터'!$A$9:$E$26,5,FALSE),""))</f>
        <v/>
      </c>
      <c r="I196" s="16">
        <f>IF(B196="","",IFERROR(VLOOKUP(B196,'Reference Data 기준데이터'!$A$3:$J$5,3,FALSE),""))</f>
        <v/>
      </c>
      <c r="J196" s="16">
        <f>IF(B196="","",IFERROR(I196+VLOOKUP(B196,'Reference Data 기준데이터'!$A$3:$J$5,7,FALSE),""))</f>
        <v/>
      </c>
      <c r="K196" s="20" t="n"/>
      <c r="L196" s="13" t="n"/>
      <c r="M196" s="16">
        <f>IF(B196="","",IFERROR(I196+VLOOKUP(B196,'Reference Data 기준데이터'!$A$3:$J$5,8,FALSE),""))</f>
        <v/>
      </c>
      <c r="N196" s="20" t="n"/>
      <c r="O196" s="16">
        <f>IF(B196="","",IFERROR(IF(G196="차량장착",MAX(I196+VLOOKUP(B196,'Reference Data 기준데이터'!$A$3:$J$5,9,FALSE),VLOOKUP(B196,'Reference Data 기준데이터'!$A$3:$J$5,4,FALSE)),I196+VLOOKUP(B196,'Reference Data 기준데이터'!$A$3:$J$5,9,FALSE)),""))</f>
        <v/>
      </c>
      <c r="P196" s="20" t="n"/>
      <c r="Q196" s="16">
        <f>IF(B196="","",IFERROR(O196+VLOOKUP(F196,'Reference Data 기준데이터'!$A$9:$E$26,4,FALSE),""))</f>
        <v/>
      </c>
      <c r="R196" s="20" t="n"/>
      <c r="S196" s="16">
        <f>IF(B196="","",IFERROR(MIN(I196+VLOOKUP(B196,'Reference Data 기준데이터'!$A$3:$J$5,10,FALSE),VLOOKUP(B196,'Reference Data 기준데이터'!$A$3:$J$5,6,FALSE)),""))</f>
        <v/>
      </c>
      <c r="T196" s="20" t="n"/>
      <c r="U196" s="13" t="n"/>
      <c r="V196" s="17">
        <f>IF(B196="","",IF(U196&lt;&gt;"",U196,IF(AND(T196&lt;&gt;"",R196&lt;&gt;""),"11-결과등록완료",IF(AND(R196&lt;&gt;"",T196=""),"10-시험완료",IF(AND(P196&lt;&gt;"",R196=""),"09-시험준비중",IF(AND(N196&lt;&gt;"",P196=""),"08-단품준비완료",IF(L196="Approved","05-계획서승인",IF(L196="Revision Needed","04-검토중_보완",IF(L196="Under Review","03-검토중",IF(AND(K196&lt;&gt;"",L196=""),"02-제출_미검토","01-미제출"))))))))))</f>
        <v/>
      </c>
      <c r="W196" s="18">
        <f>IF(B196="","",IFS(V196="01-미제출",0,V196="02-제출_미검토",0.05,V196="03-검토중",0.1,V196="04-검토중_보완",0.05,V196="05-계획서승인",0.2,V196="06-BIW중단",0.15,V196="07-미인수",0.3,V196="08-단품준비완료",0.4,V196="09-시험준비중",0.55,V196="10-시험완료",0.85,V196="11-결과등록완료",1,V196="12-조건부승인",0.9,TRUE,0))</f>
        <v/>
      </c>
      <c r="X196" s="5">
        <f>IF(B196="","",IF(T196&lt;&gt;"","-",IF(S196="","N/A",S196-TODAY())))</f>
        <v/>
      </c>
      <c r="Y196" s="17">
        <f>IF(B196="","",IF(V196="11-결과등록완료","DONE",IF(U196="06-BIW중단","BLOCKED",IF(AND(K196="",J196&lt;TODAY()),"CRITICAL",IF(AND(ISNUMBER(X196),X196&lt;=0),"OVERDUE",IF(AND(ISNUMBER(X196),X196&lt;=14),"WARNING",IF(U196&lt;&gt;"","ACTION","ON TRACK")))))))</f>
        <v/>
      </c>
      <c r="Z196" s="5">
        <f>IF(B196="","",IF(OR(T196&lt;&gt;"",R196&lt;&gt;"",P196&lt;&gt;"",N196&lt;&gt;"",K196&lt;&gt;""),TODAY()-MAX(T196,R196,P196,N196,K196),"—"))</f>
        <v/>
      </c>
      <c r="AA196" s="19">
        <f>IF(B196="","",IF(V196="11-결과등록완료","— 완료",IF(V196="01-미제출",IF(J196&lt;TODAY(),"계획서 제출 독촉 (OVERDUE)","계획서 제출 대기"),IF(V196="02-제출_미검토","설계자: 계획서 검토 착수",IF(V196="03-검토중","설계자: 승인 처리",IF(V196="04-검토중_보완","보완 요청 → 협력사 재제출 독촉",IF(V196="05-계획서승인","시험편 준비 현황 확인",IF(V196="06-BIW중단","BIW 생산팀 확인 → 일정 재수립",IF(V196="07-미인수","협력사 인수 독촉",IF(V196="08-단품준비완료","시험 일정 확인",IF(V196="09-시험준비중","시험 진행 모니터링",IF(V196="10-시험완료","결과 보고서 전산 등록 독촉",IF(V196="12-조건부승인","조건부 승인 여부 판단 → 관련부서 협의","—")))))))))))))</f>
        <v/>
      </c>
      <c r="AB196" s="15" t="n"/>
    </row>
    <row r="197">
      <c r="A197" s="5">
        <f>IF(B197="","",ROW()-4)</f>
        <v/>
      </c>
      <c r="B197" s="13" t="n"/>
      <c r="C197" s="14">
        <f>IF(B197="","",IFERROR(VLOOKUP(D197,'Reference Data 기준데이터'!$A$30:$D$41,2,FALSE),""))</f>
        <v/>
      </c>
      <c r="D197" s="15" t="n"/>
      <c r="E197" s="14">
        <f>IF(B197="","",IFERROR(VLOOKUP(D197,'Reference Data 기준데이터'!$A$30:$D$41,3,FALSE),""))</f>
        <v/>
      </c>
      <c r="F197" s="15" t="n"/>
      <c r="G197" s="14">
        <f>IF(B197="","",IFERROR(VLOOKUP(F197,'Reference Data 기준데이터'!$A$9:$E$26,2,FALSE),""))</f>
        <v/>
      </c>
      <c r="H197" s="14">
        <f>IF(B197="","",IFERROR(VLOOKUP(F197,'Reference Data 기준데이터'!$A$9:$E$26,5,FALSE),""))</f>
        <v/>
      </c>
      <c r="I197" s="16">
        <f>IF(B197="","",IFERROR(VLOOKUP(B197,'Reference Data 기준데이터'!$A$3:$J$5,3,FALSE),""))</f>
        <v/>
      </c>
      <c r="J197" s="16">
        <f>IF(B197="","",IFERROR(I197+VLOOKUP(B197,'Reference Data 기준데이터'!$A$3:$J$5,7,FALSE),""))</f>
        <v/>
      </c>
      <c r="K197" s="20" t="n"/>
      <c r="L197" s="13" t="n"/>
      <c r="M197" s="16">
        <f>IF(B197="","",IFERROR(I197+VLOOKUP(B197,'Reference Data 기준데이터'!$A$3:$J$5,8,FALSE),""))</f>
        <v/>
      </c>
      <c r="N197" s="20" t="n"/>
      <c r="O197" s="16">
        <f>IF(B197="","",IFERROR(IF(G197="차량장착",MAX(I197+VLOOKUP(B197,'Reference Data 기준데이터'!$A$3:$J$5,9,FALSE),VLOOKUP(B197,'Reference Data 기준데이터'!$A$3:$J$5,4,FALSE)),I197+VLOOKUP(B197,'Reference Data 기준데이터'!$A$3:$J$5,9,FALSE)),""))</f>
        <v/>
      </c>
      <c r="P197" s="20" t="n"/>
      <c r="Q197" s="16">
        <f>IF(B197="","",IFERROR(O197+VLOOKUP(F197,'Reference Data 기준데이터'!$A$9:$E$26,4,FALSE),""))</f>
        <v/>
      </c>
      <c r="R197" s="20" t="n"/>
      <c r="S197" s="16">
        <f>IF(B197="","",IFERROR(MIN(I197+VLOOKUP(B197,'Reference Data 기준데이터'!$A$3:$J$5,10,FALSE),VLOOKUP(B197,'Reference Data 기준데이터'!$A$3:$J$5,6,FALSE)),""))</f>
        <v/>
      </c>
      <c r="T197" s="20" t="n"/>
      <c r="U197" s="13" t="n"/>
      <c r="V197" s="17">
        <f>IF(B197="","",IF(U197&lt;&gt;"",U197,IF(AND(T197&lt;&gt;"",R197&lt;&gt;""),"11-결과등록완료",IF(AND(R197&lt;&gt;"",T197=""),"10-시험완료",IF(AND(P197&lt;&gt;"",R197=""),"09-시험준비중",IF(AND(N197&lt;&gt;"",P197=""),"08-단품준비완료",IF(L197="Approved","05-계획서승인",IF(L197="Revision Needed","04-검토중_보완",IF(L197="Under Review","03-검토중",IF(AND(K197&lt;&gt;"",L197=""),"02-제출_미검토","01-미제출"))))))))))</f>
        <v/>
      </c>
      <c r="W197" s="18">
        <f>IF(B197="","",IFS(V197="01-미제출",0,V197="02-제출_미검토",0.05,V197="03-검토중",0.1,V197="04-검토중_보완",0.05,V197="05-계획서승인",0.2,V197="06-BIW중단",0.15,V197="07-미인수",0.3,V197="08-단품준비완료",0.4,V197="09-시험준비중",0.55,V197="10-시험완료",0.85,V197="11-결과등록완료",1,V197="12-조건부승인",0.9,TRUE,0))</f>
        <v/>
      </c>
      <c r="X197" s="5">
        <f>IF(B197="","",IF(T197&lt;&gt;"","-",IF(S197="","N/A",S197-TODAY())))</f>
        <v/>
      </c>
      <c r="Y197" s="17">
        <f>IF(B197="","",IF(V197="11-결과등록완료","DONE",IF(U197="06-BIW중단","BLOCKED",IF(AND(K197="",J197&lt;TODAY()),"CRITICAL",IF(AND(ISNUMBER(X197),X197&lt;=0),"OVERDUE",IF(AND(ISNUMBER(X197),X197&lt;=14),"WARNING",IF(U197&lt;&gt;"","ACTION","ON TRACK")))))))</f>
        <v/>
      </c>
      <c r="Z197" s="5">
        <f>IF(B197="","",IF(OR(T197&lt;&gt;"",R197&lt;&gt;"",P197&lt;&gt;"",N197&lt;&gt;"",K197&lt;&gt;""),TODAY()-MAX(T197,R197,P197,N197,K197),"—"))</f>
        <v/>
      </c>
      <c r="AA197" s="19">
        <f>IF(B197="","",IF(V197="11-결과등록완료","— 완료",IF(V197="01-미제출",IF(J197&lt;TODAY(),"계획서 제출 독촉 (OVERDUE)","계획서 제출 대기"),IF(V197="02-제출_미검토","설계자: 계획서 검토 착수",IF(V197="03-검토중","설계자: 승인 처리",IF(V197="04-검토중_보완","보완 요청 → 협력사 재제출 독촉",IF(V197="05-계획서승인","시험편 준비 현황 확인",IF(V197="06-BIW중단","BIW 생산팀 확인 → 일정 재수립",IF(V197="07-미인수","협력사 인수 독촉",IF(V197="08-단품준비완료","시험 일정 확인",IF(V197="09-시험준비중","시험 진행 모니터링",IF(V197="10-시험완료","결과 보고서 전산 등록 독촉",IF(V197="12-조건부승인","조건부 승인 여부 판단 → 관련부서 협의","—")))))))))))))</f>
        <v/>
      </c>
      <c r="AB197" s="15" t="n"/>
    </row>
    <row r="198">
      <c r="A198" s="5">
        <f>IF(B198="","",ROW()-4)</f>
        <v/>
      </c>
      <c r="B198" s="13" t="n"/>
      <c r="C198" s="14">
        <f>IF(B198="","",IFERROR(VLOOKUP(D198,'Reference Data 기준데이터'!$A$30:$D$41,2,FALSE),""))</f>
        <v/>
      </c>
      <c r="D198" s="15" t="n"/>
      <c r="E198" s="14">
        <f>IF(B198="","",IFERROR(VLOOKUP(D198,'Reference Data 기준데이터'!$A$30:$D$41,3,FALSE),""))</f>
        <v/>
      </c>
      <c r="F198" s="15" t="n"/>
      <c r="G198" s="14">
        <f>IF(B198="","",IFERROR(VLOOKUP(F198,'Reference Data 기준데이터'!$A$9:$E$26,2,FALSE),""))</f>
        <v/>
      </c>
      <c r="H198" s="14">
        <f>IF(B198="","",IFERROR(VLOOKUP(F198,'Reference Data 기준데이터'!$A$9:$E$26,5,FALSE),""))</f>
        <v/>
      </c>
      <c r="I198" s="16">
        <f>IF(B198="","",IFERROR(VLOOKUP(B198,'Reference Data 기준데이터'!$A$3:$J$5,3,FALSE),""))</f>
        <v/>
      </c>
      <c r="J198" s="16">
        <f>IF(B198="","",IFERROR(I198+VLOOKUP(B198,'Reference Data 기준데이터'!$A$3:$J$5,7,FALSE),""))</f>
        <v/>
      </c>
      <c r="K198" s="20" t="n"/>
      <c r="L198" s="13" t="n"/>
      <c r="M198" s="16">
        <f>IF(B198="","",IFERROR(I198+VLOOKUP(B198,'Reference Data 기준데이터'!$A$3:$J$5,8,FALSE),""))</f>
        <v/>
      </c>
      <c r="N198" s="20" t="n"/>
      <c r="O198" s="16">
        <f>IF(B198="","",IFERROR(IF(G198="차량장착",MAX(I198+VLOOKUP(B198,'Reference Data 기준데이터'!$A$3:$J$5,9,FALSE),VLOOKUP(B198,'Reference Data 기준데이터'!$A$3:$J$5,4,FALSE)),I198+VLOOKUP(B198,'Reference Data 기준데이터'!$A$3:$J$5,9,FALSE)),""))</f>
        <v/>
      </c>
      <c r="P198" s="20" t="n"/>
      <c r="Q198" s="16">
        <f>IF(B198="","",IFERROR(O198+VLOOKUP(F198,'Reference Data 기준데이터'!$A$9:$E$26,4,FALSE),""))</f>
        <v/>
      </c>
      <c r="R198" s="20" t="n"/>
      <c r="S198" s="16">
        <f>IF(B198="","",IFERROR(MIN(I198+VLOOKUP(B198,'Reference Data 기준데이터'!$A$3:$J$5,10,FALSE),VLOOKUP(B198,'Reference Data 기준데이터'!$A$3:$J$5,6,FALSE)),""))</f>
        <v/>
      </c>
      <c r="T198" s="20" t="n"/>
      <c r="U198" s="13" t="n"/>
      <c r="V198" s="17">
        <f>IF(B198="","",IF(U198&lt;&gt;"",U198,IF(AND(T198&lt;&gt;"",R198&lt;&gt;""),"11-결과등록완료",IF(AND(R198&lt;&gt;"",T198=""),"10-시험완료",IF(AND(P198&lt;&gt;"",R198=""),"09-시험준비중",IF(AND(N198&lt;&gt;"",P198=""),"08-단품준비완료",IF(L198="Approved","05-계획서승인",IF(L198="Revision Needed","04-검토중_보완",IF(L198="Under Review","03-검토중",IF(AND(K198&lt;&gt;"",L198=""),"02-제출_미검토","01-미제출"))))))))))</f>
        <v/>
      </c>
      <c r="W198" s="18">
        <f>IF(B198="","",IFS(V198="01-미제출",0,V198="02-제출_미검토",0.05,V198="03-검토중",0.1,V198="04-검토중_보완",0.05,V198="05-계획서승인",0.2,V198="06-BIW중단",0.15,V198="07-미인수",0.3,V198="08-단품준비완료",0.4,V198="09-시험준비중",0.55,V198="10-시험완료",0.85,V198="11-결과등록완료",1,V198="12-조건부승인",0.9,TRUE,0))</f>
        <v/>
      </c>
      <c r="X198" s="5">
        <f>IF(B198="","",IF(T198&lt;&gt;"","-",IF(S198="","N/A",S198-TODAY())))</f>
        <v/>
      </c>
      <c r="Y198" s="17">
        <f>IF(B198="","",IF(V198="11-결과등록완료","DONE",IF(U198="06-BIW중단","BLOCKED",IF(AND(K198="",J198&lt;TODAY()),"CRITICAL",IF(AND(ISNUMBER(X198),X198&lt;=0),"OVERDUE",IF(AND(ISNUMBER(X198),X198&lt;=14),"WARNING",IF(U198&lt;&gt;"","ACTION","ON TRACK")))))))</f>
        <v/>
      </c>
      <c r="Z198" s="5">
        <f>IF(B198="","",IF(OR(T198&lt;&gt;"",R198&lt;&gt;"",P198&lt;&gt;"",N198&lt;&gt;"",K198&lt;&gt;""),TODAY()-MAX(T198,R198,P198,N198,K198),"—"))</f>
        <v/>
      </c>
      <c r="AA198" s="19">
        <f>IF(B198="","",IF(V198="11-결과등록완료","— 완료",IF(V198="01-미제출",IF(J198&lt;TODAY(),"계획서 제출 독촉 (OVERDUE)","계획서 제출 대기"),IF(V198="02-제출_미검토","설계자: 계획서 검토 착수",IF(V198="03-검토중","설계자: 승인 처리",IF(V198="04-검토중_보완","보완 요청 → 협력사 재제출 독촉",IF(V198="05-계획서승인","시험편 준비 현황 확인",IF(V198="06-BIW중단","BIW 생산팀 확인 → 일정 재수립",IF(V198="07-미인수","협력사 인수 독촉",IF(V198="08-단품준비완료","시험 일정 확인",IF(V198="09-시험준비중","시험 진행 모니터링",IF(V198="10-시험완료","결과 보고서 전산 등록 독촉",IF(V198="12-조건부승인","조건부 승인 여부 판단 → 관련부서 협의","—")))))))))))))</f>
        <v/>
      </c>
      <c r="AB198" s="15" t="n"/>
    </row>
    <row r="199">
      <c r="A199" s="5">
        <f>IF(B199="","",ROW()-4)</f>
        <v/>
      </c>
      <c r="B199" s="13" t="n"/>
      <c r="C199" s="14">
        <f>IF(B199="","",IFERROR(VLOOKUP(D199,'Reference Data 기준데이터'!$A$30:$D$41,2,FALSE),""))</f>
        <v/>
      </c>
      <c r="D199" s="15" t="n"/>
      <c r="E199" s="14">
        <f>IF(B199="","",IFERROR(VLOOKUP(D199,'Reference Data 기준데이터'!$A$30:$D$41,3,FALSE),""))</f>
        <v/>
      </c>
      <c r="F199" s="15" t="n"/>
      <c r="G199" s="14">
        <f>IF(B199="","",IFERROR(VLOOKUP(F199,'Reference Data 기준데이터'!$A$9:$E$26,2,FALSE),""))</f>
        <v/>
      </c>
      <c r="H199" s="14">
        <f>IF(B199="","",IFERROR(VLOOKUP(F199,'Reference Data 기준데이터'!$A$9:$E$26,5,FALSE),""))</f>
        <v/>
      </c>
      <c r="I199" s="16">
        <f>IF(B199="","",IFERROR(VLOOKUP(B199,'Reference Data 기준데이터'!$A$3:$J$5,3,FALSE),""))</f>
        <v/>
      </c>
      <c r="J199" s="16">
        <f>IF(B199="","",IFERROR(I199+VLOOKUP(B199,'Reference Data 기준데이터'!$A$3:$J$5,7,FALSE),""))</f>
        <v/>
      </c>
      <c r="K199" s="20" t="n"/>
      <c r="L199" s="13" t="n"/>
      <c r="M199" s="16">
        <f>IF(B199="","",IFERROR(I199+VLOOKUP(B199,'Reference Data 기준데이터'!$A$3:$J$5,8,FALSE),""))</f>
        <v/>
      </c>
      <c r="N199" s="20" t="n"/>
      <c r="O199" s="16">
        <f>IF(B199="","",IFERROR(IF(G199="차량장착",MAX(I199+VLOOKUP(B199,'Reference Data 기준데이터'!$A$3:$J$5,9,FALSE),VLOOKUP(B199,'Reference Data 기준데이터'!$A$3:$J$5,4,FALSE)),I199+VLOOKUP(B199,'Reference Data 기준데이터'!$A$3:$J$5,9,FALSE)),""))</f>
        <v/>
      </c>
      <c r="P199" s="20" t="n"/>
      <c r="Q199" s="16">
        <f>IF(B199="","",IFERROR(O199+VLOOKUP(F199,'Reference Data 기준데이터'!$A$9:$E$26,4,FALSE),""))</f>
        <v/>
      </c>
      <c r="R199" s="20" t="n"/>
      <c r="S199" s="16">
        <f>IF(B199="","",IFERROR(MIN(I199+VLOOKUP(B199,'Reference Data 기준데이터'!$A$3:$J$5,10,FALSE),VLOOKUP(B199,'Reference Data 기준데이터'!$A$3:$J$5,6,FALSE)),""))</f>
        <v/>
      </c>
      <c r="T199" s="20" t="n"/>
      <c r="U199" s="13" t="n"/>
      <c r="V199" s="17">
        <f>IF(B199="","",IF(U199&lt;&gt;"",U199,IF(AND(T199&lt;&gt;"",R199&lt;&gt;""),"11-결과등록완료",IF(AND(R199&lt;&gt;"",T199=""),"10-시험완료",IF(AND(P199&lt;&gt;"",R199=""),"09-시험준비중",IF(AND(N199&lt;&gt;"",P199=""),"08-단품준비완료",IF(L199="Approved","05-계획서승인",IF(L199="Revision Needed","04-검토중_보완",IF(L199="Under Review","03-검토중",IF(AND(K199&lt;&gt;"",L199=""),"02-제출_미검토","01-미제출"))))))))))</f>
        <v/>
      </c>
      <c r="W199" s="18">
        <f>IF(B199="","",IFS(V199="01-미제출",0,V199="02-제출_미검토",0.05,V199="03-검토중",0.1,V199="04-검토중_보완",0.05,V199="05-계획서승인",0.2,V199="06-BIW중단",0.15,V199="07-미인수",0.3,V199="08-단품준비완료",0.4,V199="09-시험준비중",0.55,V199="10-시험완료",0.85,V199="11-결과등록완료",1,V199="12-조건부승인",0.9,TRUE,0))</f>
        <v/>
      </c>
      <c r="X199" s="5">
        <f>IF(B199="","",IF(T199&lt;&gt;"","-",IF(S199="","N/A",S199-TODAY())))</f>
        <v/>
      </c>
      <c r="Y199" s="17">
        <f>IF(B199="","",IF(V199="11-결과등록완료","DONE",IF(U199="06-BIW중단","BLOCKED",IF(AND(K199="",J199&lt;TODAY()),"CRITICAL",IF(AND(ISNUMBER(X199),X199&lt;=0),"OVERDUE",IF(AND(ISNUMBER(X199),X199&lt;=14),"WARNING",IF(U199&lt;&gt;"","ACTION","ON TRACK")))))))</f>
        <v/>
      </c>
      <c r="Z199" s="5">
        <f>IF(B199="","",IF(OR(T199&lt;&gt;"",R199&lt;&gt;"",P199&lt;&gt;"",N199&lt;&gt;"",K199&lt;&gt;""),TODAY()-MAX(T199,R199,P199,N199,K199),"—"))</f>
        <v/>
      </c>
      <c r="AA199" s="19">
        <f>IF(B199="","",IF(V199="11-결과등록완료","— 완료",IF(V199="01-미제출",IF(J199&lt;TODAY(),"계획서 제출 독촉 (OVERDUE)","계획서 제출 대기"),IF(V199="02-제출_미검토","설계자: 계획서 검토 착수",IF(V199="03-검토중","설계자: 승인 처리",IF(V199="04-검토중_보완","보완 요청 → 협력사 재제출 독촉",IF(V199="05-계획서승인","시험편 준비 현황 확인",IF(V199="06-BIW중단","BIW 생산팀 확인 → 일정 재수립",IF(V199="07-미인수","협력사 인수 독촉",IF(V199="08-단품준비완료","시험 일정 확인",IF(V199="09-시험준비중","시험 진행 모니터링",IF(V199="10-시험완료","결과 보고서 전산 등록 독촉",IF(V199="12-조건부승인","조건부 승인 여부 판단 → 관련부서 협의","—")))))))))))))</f>
        <v/>
      </c>
      <c r="AB199" s="15" t="n"/>
    </row>
    <row r="200">
      <c r="A200" s="5">
        <f>IF(B200="","",ROW()-4)</f>
        <v/>
      </c>
      <c r="B200" s="13" t="n"/>
      <c r="C200" s="14">
        <f>IF(B200="","",IFERROR(VLOOKUP(D200,'Reference Data 기준데이터'!$A$30:$D$41,2,FALSE),""))</f>
        <v/>
      </c>
      <c r="D200" s="15" t="n"/>
      <c r="E200" s="14">
        <f>IF(B200="","",IFERROR(VLOOKUP(D200,'Reference Data 기준데이터'!$A$30:$D$41,3,FALSE),""))</f>
        <v/>
      </c>
      <c r="F200" s="15" t="n"/>
      <c r="G200" s="14">
        <f>IF(B200="","",IFERROR(VLOOKUP(F200,'Reference Data 기준데이터'!$A$9:$E$26,2,FALSE),""))</f>
        <v/>
      </c>
      <c r="H200" s="14">
        <f>IF(B200="","",IFERROR(VLOOKUP(F200,'Reference Data 기준데이터'!$A$9:$E$26,5,FALSE),""))</f>
        <v/>
      </c>
      <c r="I200" s="16">
        <f>IF(B200="","",IFERROR(VLOOKUP(B200,'Reference Data 기준데이터'!$A$3:$J$5,3,FALSE),""))</f>
        <v/>
      </c>
      <c r="J200" s="16">
        <f>IF(B200="","",IFERROR(I200+VLOOKUP(B200,'Reference Data 기준데이터'!$A$3:$J$5,7,FALSE),""))</f>
        <v/>
      </c>
      <c r="K200" s="20" t="n"/>
      <c r="L200" s="13" t="n"/>
      <c r="M200" s="16">
        <f>IF(B200="","",IFERROR(I200+VLOOKUP(B200,'Reference Data 기준데이터'!$A$3:$J$5,8,FALSE),""))</f>
        <v/>
      </c>
      <c r="N200" s="20" t="n"/>
      <c r="O200" s="16">
        <f>IF(B200="","",IFERROR(IF(G200="차량장착",MAX(I200+VLOOKUP(B200,'Reference Data 기준데이터'!$A$3:$J$5,9,FALSE),VLOOKUP(B200,'Reference Data 기준데이터'!$A$3:$J$5,4,FALSE)),I200+VLOOKUP(B200,'Reference Data 기준데이터'!$A$3:$J$5,9,FALSE)),""))</f>
        <v/>
      </c>
      <c r="P200" s="20" t="n"/>
      <c r="Q200" s="16">
        <f>IF(B200="","",IFERROR(O200+VLOOKUP(F200,'Reference Data 기준데이터'!$A$9:$E$26,4,FALSE),""))</f>
        <v/>
      </c>
      <c r="R200" s="20" t="n"/>
      <c r="S200" s="16">
        <f>IF(B200="","",IFERROR(MIN(I200+VLOOKUP(B200,'Reference Data 기준데이터'!$A$3:$J$5,10,FALSE),VLOOKUP(B200,'Reference Data 기준데이터'!$A$3:$J$5,6,FALSE)),""))</f>
        <v/>
      </c>
      <c r="T200" s="20" t="n"/>
      <c r="U200" s="13" t="n"/>
      <c r="V200" s="17">
        <f>IF(B200="","",IF(U200&lt;&gt;"",U200,IF(AND(T200&lt;&gt;"",R200&lt;&gt;""),"11-결과등록완료",IF(AND(R200&lt;&gt;"",T200=""),"10-시험완료",IF(AND(P200&lt;&gt;"",R200=""),"09-시험준비중",IF(AND(N200&lt;&gt;"",P200=""),"08-단품준비완료",IF(L200="Approved","05-계획서승인",IF(L200="Revision Needed","04-검토중_보완",IF(L200="Under Review","03-검토중",IF(AND(K200&lt;&gt;"",L200=""),"02-제출_미검토","01-미제출"))))))))))</f>
        <v/>
      </c>
      <c r="W200" s="18">
        <f>IF(B200="","",IFS(V200="01-미제출",0,V200="02-제출_미검토",0.05,V200="03-검토중",0.1,V200="04-검토중_보완",0.05,V200="05-계획서승인",0.2,V200="06-BIW중단",0.15,V200="07-미인수",0.3,V200="08-단품준비완료",0.4,V200="09-시험준비중",0.55,V200="10-시험완료",0.85,V200="11-결과등록완료",1,V200="12-조건부승인",0.9,TRUE,0))</f>
        <v/>
      </c>
      <c r="X200" s="5">
        <f>IF(B200="","",IF(T200&lt;&gt;"","-",IF(S200="","N/A",S200-TODAY())))</f>
        <v/>
      </c>
      <c r="Y200" s="17">
        <f>IF(B200="","",IF(V200="11-결과등록완료","DONE",IF(U200="06-BIW중단","BLOCKED",IF(AND(K200="",J200&lt;TODAY()),"CRITICAL",IF(AND(ISNUMBER(X200),X200&lt;=0),"OVERDUE",IF(AND(ISNUMBER(X200),X200&lt;=14),"WARNING",IF(U200&lt;&gt;"","ACTION","ON TRACK")))))))</f>
        <v/>
      </c>
      <c r="Z200" s="5">
        <f>IF(B200="","",IF(OR(T200&lt;&gt;"",R200&lt;&gt;"",P200&lt;&gt;"",N200&lt;&gt;"",K200&lt;&gt;""),TODAY()-MAX(T200,R200,P200,N200,K200),"—"))</f>
        <v/>
      </c>
      <c r="AA200" s="19">
        <f>IF(B200="","",IF(V200="11-결과등록완료","— 완료",IF(V200="01-미제출",IF(J200&lt;TODAY(),"계획서 제출 독촉 (OVERDUE)","계획서 제출 대기"),IF(V200="02-제출_미검토","설계자: 계획서 검토 착수",IF(V200="03-검토중","설계자: 승인 처리",IF(V200="04-검토중_보완","보완 요청 → 협력사 재제출 독촉",IF(V200="05-계획서승인","시험편 준비 현황 확인",IF(V200="06-BIW중단","BIW 생산팀 확인 → 일정 재수립",IF(V200="07-미인수","협력사 인수 독촉",IF(V200="08-단품준비완료","시험 일정 확인",IF(V200="09-시험준비중","시험 진행 모니터링",IF(V200="10-시험완료","결과 보고서 전산 등록 독촉",IF(V200="12-조건부승인","조건부 승인 여부 판단 → 관련부서 협의","—")))))))))))))</f>
        <v/>
      </c>
      <c r="AB200" s="15" t="n"/>
    </row>
  </sheetData>
  <autoFilter ref="A4:AB200"/>
  <mergeCells count="1">
    <mergeCell ref="A1:AB2"/>
  </mergeCells>
  <conditionalFormatting sqref="V5:V200">
    <cfRule type="cellIs" priority="1" operator="equal" dxfId="0">
      <formula>"01-미제출"</formula>
    </cfRule>
    <cfRule type="cellIs" priority="2" operator="equal" dxfId="1">
      <formula>"02-제출_미검토"</formula>
    </cfRule>
    <cfRule type="cellIs" priority="3" operator="equal" dxfId="2">
      <formula>"03-검토중"</formula>
    </cfRule>
    <cfRule type="cellIs" priority="4" operator="equal" dxfId="3">
      <formula>"04-검토중_보완"</formula>
    </cfRule>
    <cfRule type="cellIs" priority="5" operator="equal" dxfId="4">
      <formula>"05-계획서승인"</formula>
    </cfRule>
    <cfRule type="cellIs" priority="6" operator="equal" dxfId="5">
      <formula>"06-BIW중단"</formula>
    </cfRule>
    <cfRule type="cellIs" priority="7" operator="equal" dxfId="6">
      <formula>"07-미인수"</formula>
    </cfRule>
    <cfRule type="cellIs" priority="8" operator="equal" dxfId="7">
      <formula>"08-단품준비완료"</formula>
    </cfRule>
    <cfRule type="cellIs" priority="9" operator="equal" dxfId="7">
      <formula>"09-시험준비중"</formula>
    </cfRule>
    <cfRule type="cellIs" priority="10" operator="equal" dxfId="8">
      <formula>"10-시험완료"</formula>
    </cfRule>
    <cfRule type="cellIs" priority="11" operator="equal" dxfId="9">
      <formula>"11-결과등록완료"</formula>
    </cfRule>
    <cfRule type="cellIs" priority="12" operator="equal" dxfId="10">
      <formula>"12-조건부승인"</formula>
    </cfRule>
  </conditionalFormatting>
  <conditionalFormatting sqref="Y5:Y200">
    <cfRule type="cellIs" priority="13" operator="equal" dxfId="7">
      <formula>"DONE"</formula>
    </cfRule>
    <cfRule type="cellIs" priority="14" operator="equal" dxfId="5">
      <formula>"BLOCKED"</formula>
    </cfRule>
    <cfRule type="cellIs" priority="15" operator="equal" dxfId="5">
      <formula>"CRITICAL"</formula>
    </cfRule>
    <cfRule type="cellIs" priority="16" operator="equal" dxfId="5">
      <formula>"OVERDUE"</formula>
    </cfRule>
    <cfRule type="cellIs" priority="17" operator="equal" dxfId="11">
      <formula>"WARNING"</formula>
    </cfRule>
    <cfRule type="cellIs" priority="18" operator="equal" dxfId="6">
      <formula>"ACTION"</formula>
    </cfRule>
    <cfRule type="cellIs" priority="19" operator="equal" dxfId="7">
      <formula>"ON TRACK"</formula>
    </cfRule>
  </conditionalFormatting>
  <conditionalFormatting sqref="W5:W200">
    <cfRule type="dataBar" priority="20">
      <dataBar>
        <cfvo type="num" val="0"/>
        <cfvo type="num" val="1"/>
        <color rgb="003B5998"/>
      </dataBar>
    </cfRule>
  </conditionalFormatting>
  <conditionalFormatting sqref="X5:X200">
    <cfRule type="cellIs" priority="21" operator="lessThanOrEqual" dxfId="5">
      <formula>0</formula>
    </cfRule>
    <cfRule type="cellIs" priority="22" operator="lessThanOrEqual" dxfId="11">
      <formula>14</formula>
    </cfRule>
  </conditionalFormatting>
  <conditionalFormatting sqref="Z5:Z200">
    <cfRule type="cellIs" priority="23" operator="greaterThan" dxfId="5">
      <formula>14</formula>
    </cfRule>
    <cfRule type="cellIs" priority="24" operator="greaterThan" dxfId="6">
      <formula>7</formula>
    </cfRule>
  </conditionalFormatting>
  <conditionalFormatting sqref="J5:J200">
    <cfRule type="expression" priority="25" dxfId="12">
      <formula>AND(J5&lt;TODAY(),K5="")</formula>
    </cfRule>
  </conditionalFormatting>
  <conditionalFormatting sqref="M5:M200">
    <cfRule type="expression" priority="26" dxfId="12">
      <formula>AND(M5&lt;TODAY(),N5="")</formula>
    </cfRule>
  </conditionalFormatting>
  <conditionalFormatting sqref="O5:O200">
    <cfRule type="expression" priority="27" dxfId="12">
      <formula>AND(O5&lt;TODAY(),P5="")</formula>
    </cfRule>
  </conditionalFormatting>
  <conditionalFormatting sqref="Q5:Q200">
    <cfRule type="expression" priority="28" dxfId="12">
      <formula>AND(Q5&lt;TODAY(),R5="")</formula>
    </cfRule>
  </conditionalFormatting>
  <conditionalFormatting sqref="S5:S200">
    <cfRule type="expression" priority="29" dxfId="12">
      <formula>AND(S5&lt;TODAY(),T5="")</formula>
    </cfRule>
  </conditionalFormatting>
  <dataValidations count="5">
    <dataValidation sqref="B5:B200" showDropDown="0" showInputMessage="0" showErrorMessage="0" allowBlank="1" prompt="Select vehicle" type="list">
      <formula1>'Reference Data 기준데이터'!$A$3:$A$5</formula1>
    </dataValidation>
    <dataValidation sqref="D5:D200" showDropDown="0" showInputMessage="0" showErrorMessage="0" allowBlank="1" prompt="Select item" type="list">
      <formula1>'Reference Data 기준데이터'!$A$30:$A$41</formula1>
    </dataValidation>
    <dataValidation sqref="F5:F200" showDropDown="0" showInputMessage="0" showErrorMessage="0" allowBlank="1" prompt="Select test" type="list">
      <formula1>'Reference Data 기준데이터'!$A$9:$A$26</formula1>
    </dataValidation>
    <dataValidation sqref="L5:L200" showDropDown="0" showInputMessage="0" showErrorMessage="0" allowBlank="1" prompt="Select review result" type="list">
      <formula1>"Under Review,Approved,Revision Needed"</formula1>
    </dataValidation>
    <dataValidation sqref="U5:U200" showDropDown="0" showInputMessage="0" showErrorMessage="0" allowBlank="1" prompt="Select override status" type="list">
      <formula1>"06-BIW중단,07-미인수,12-조건부승인"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ESIR Dashboard V4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5" t="inlineStr"/>
      <c r="B3" s="21" t="inlineStr">
        <is>
          <t>Selected Vehicle:</t>
        </is>
      </c>
      <c r="C3" s="22" t="inlineStr">
        <is>
          <t>AE_PE</t>
        </is>
      </c>
      <c r="D3" s="23" t="inlineStr">
        <is>
          <t>T0:</t>
        </is>
      </c>
      <c r="E3" s="24">
        <f>IFERROR(VLOOKUP(C3,'Reference Data 기준데이터'!$A$3:$J$5,3,FALSE),"")</f>
        <v/>
      </c>
      <c r="F3" s="23" t="inlineStr">
        <is>
          <t>Proto:</t>
        </is>
      </c>
      <c r="G3" s="24">
        <f>IFERROR(VLOOKUP(C3,'Reference Data 기준데이터'!$A$3:$J$5,4,FALSE),"")</f>
        <v/>
      </c>
      <c r="H3" s="5" t="inlineStr"/>
    </row>
    <row r="4">
      <c r="A4" s="5" t="inlineStr"/>
      <c r="B4" s="25" t="inlineStr">
        <is>
          <t>D-Day:</t>
        </is>
      </c>
      <c r="C4" s="26">
        <f>IFERROR(VLOOKUP(C3,'Reference Data 기준데이터'!$A$3:$J$5,6,FALSE)-TODAY(),"")</f>
        <v/>
      </c>
      <c r="D4" s="23" t="inlineStr">
        <is>
          <t>MC:</t>
        </is>
      </c>
      <c r="E4" s="24">
        <f>IFERROR(VLOOKUP(C3,'Reference Data 기준데이터'!$A$3:$J$5,5,FALSE),"")</f>
        <v/>
      </c>
      <c r="F4" s="23" t="inlineStr">
        <is>
          <t>Deadline:</t>
        </is>
      </c>
      <c r="G4" s="24">
        <f>IFERROR(VLOOKUP(C3,'Reference Data 기준데이터'!$A$3:$J$5,6,FALSE),"")</f>
        <v/>
      </c>
      <c r="H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27" t="inlineStr">
        <is>
          <t>KPI Summary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8" t="inlineStr"/>
      <c r="B7" s="28" t="inlineStr">
        <is>
          <t>Total</t>
        </is>
      </c>
      <c r="C7" s="28" t="inlineStr">
        <is>
          <t>Complete</t>
        </is>
      </c>
      <c r="D7" s="28" t="inlineStr">
        <is>
          <t>In Progress</t>
        </is>
      </c>
      <c r="E7" s="28" t="inlineStr">
        <is>
          <t>At Risk</t>
        </is>
      </c>
      <c r="F7" s="28" t="inlineStr">
        <is>
          <t>Avg Progress</t>
        </is>
      </c>
      <c r="G7" s="28" t="inlineStr">
        <is>
          <t>Stagnant</t>
        </is>
      </c>
      <c r="H7" s="28" t="inlineStr"/>
    </row>
    <row r="8">
      <c r="A8" s="5" t="inlineStr"/>
      <c r="B8" s="29">
        <f>COUNTIF('Master Tracker 마스터추적표'!$B$5:$B$200,$C$3)</f>
        <v/>
      </c>
      <c r="C8" s="30">
        <f>COUNTIFS('Master Tracker 마스터추적표'!$B$5:$B$200,$C$3,'Master Tracker 마스터추적표'!$V$5:$V$200,"11-*")</f>
        <v/>
      </c>
      <c r="D8" s="31">
        <f>B8-C8-COUNTIFS('Master Tracker 마스터추적표'!$B$5:$B$200,$C$3,'Master Tracker 마스터추적표'!$V$5:$V$200,"01-*")</f>
        <v/>
      </c>
      <c r="E8" s="32">
        <f>COUNTIFS('Master Tracker 마스터추적표'!$B$5:$B$200,$C$3,'Master Tracker 마스터추적표'!$Y$5:$Y$200,"CRITICAL")+COUNTIFS('Master Tracker 마스터추적표'!$B$5:$B$200,$C$3,'Master Tracker 마스터추적표'!$Y$5:$Y$200,"OVERDUE")+COUNTIFS('Master Tracker 마스터추적표'!$B$5:$B$200,$C$3,'Master Tracker 마스터추적표'!$Y$5:$Y$200,"WARNING")</f>
        <v/>
      </c>
      <c r="F8" s="33">
        <f>IFERROR(AVERAGEIFS('Master Tracker 마스터추적표'!$W$5:$W$200,'Master Tracker 마스터추적표'!$B$5:$B$200,$C$3),0)</f>
        <v/>
      </c>
      <c r="G8" s="34">
        <f>SUMPRODUCT(('Master Tracker 마스터추적표'!$B$5:$B$200=$C$3)*ISNUMBER('Master Tracker 마스터추적표'!$Z$5:$Z$200)*('Master Tracker 마스터추적표'!$Z$5:$Z$200&gt;7)*('Master Tracker 마스터추적표'!$V$5:$V$200&lt;&gt;"11-결과등록완료"))</f>
        <v/>
      </c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27" t="inlineStr">
        <is>
          <t>Item Progress 아이템별 현황 (Selected Vehicle)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4" t="inlineStr"/>
      <c r="B11" s="4" t="inlineStr">
        <is>
          <t>아이템명</t>
        </is>
      </c>
      <c r="C11" s="4" t="inlineStr">
        <is>
          <t>시험수</t>
        </is>
      </c>
      <c r="D11" s="4" t="inlineStr">
        <is>
          <t>완료</t>
        </is>
      </c>
      <c r="E11" s="4" t="inlineStr">
        <is>
          <t>진행중</t>
        </is>
      </c>
      <c r="F11" s="4" t="inlineStr">
        <is>
          <t>지연</t>
        </is>
      </c>
      <c r="G11" s="4" t="inlineStr">
        <is>
          <t>진행률</t>
        </is>
      </c>
      <c r="H11" s="4" t="inlineStr">
        <is>
          <t>최소잔여일</t>
        </is>
      </c>
    </row>
    <row r="12">
      <c r="A12" s="5" t="n">
        <v>1</v>
      </c>
      <c r="B12" s="7" t="inlineStr">
        <is>
          <t>센터콘솔</t>
        </is>
      </c>
      <c r="C12" s="5">
        <f>COUNTIFS('Master Tracker 마스터추적표'!$B$5:$B$200,$C$3,'Master Tracker 마스터추적표'!$D$5:$D$200,B12)</f>
        <v/>
      </c>
      <c r="D12" s="35">
        <f>COUNTIFS('Master Tracker 마스터추적표'!$B$5:$B$200,$C$3,'Master Tracker 마스터추적표'!$D$5:$D$200,B12,'Master Tracker 마스터추적표'!$V$5:$V$200,"11-*")</f>
        <v/>
      </c>
      <c r="E12" s="5">
        <f>C12-D12-F12</f>
        <v/>
      </c>
      <c r="F12" s="5">
        <f>COUNTIFS('Master Tracker 마스터추적표'!$B$5:$B$200,$C$3,'Master Tracker 마스터추적표'!$D$5:$D$200,B12,'Master Tracker 마스터추적표'!$Y$5:$Y$200,"CRITICAL")+COUNTIFS('Master Tracker 마스터추적표'!$B$5:$B$200,$C$3,'Master Tracker 마스터추적표'!$D$5:$D$200,B12,'Master Tracker 마스터추적표'!$Y$5:$Y$200,"OVERDUE")+COUNTIFS('Master Tracker 마스터추적표'!$B$5:$B$200,$C$3,'Master Tracker 마스터추적표'!$D$5:$D$200,B12,'Master Tracker 마스터추적표'!$Y$5:$Y$200,"WARNING")</f>
        <v/>
      </c>
      <c r="G12" s="18">
        <f>IFERROR(AVERAGEIFS('Master Tracker 마스터추적표'!$W$5:$W$200,'Master Tracker 마스터추적표'!$B$5:$B$200,$C$3,'Master Tracker 마스터추적표'!$D$5:$D$200,B12),0)</f>
        <v/>
      </c>
      <c r="H12" s="5">
        <f>IF(COUNTIFS('Master Tracker 마스터추적표'!$B$5:$B$200,$C$3,'Master Tracker 마스터추적표'!$D$5:$D$200,B12,'Master Tracker 마스터추적표'!$Y$5:$Y$200,"&lt;&gt;DONE")=0,"—",IFERROR(MINIFS('Master Tracker 마스터추적표'!$X$5:$X$200,'Master Tracker 마스터추적표'!$B$5:$B$200,$C$3,'Master Tracker 마스터추적표'!$D$5:$D$200,B12,'Master Tracker 마스터추적표'!$Y$5:$Y$200,"&lt;&gt;DONE"),"—"))</f>
        <v/>
      </c>
    </row>
    <row r="13">
      <c r="A13" s="5" t="n">
        <v>2</v>
      </c>
      <c r="B13" s="7" t="inlineStr">
        <is>
          <t>콘솔리드</t>
        </is>
      </c>
      <c r="C13" s="5">
        <f>COUNTIFS('Master Tracker 마스터추적표'!$B$5:$B$200,$C$3,'Master Tracker 마스터추적표'!$D$5:$D$200,B13)</f>
        <v/>
      </c>
      <c r="D13" s="35">
        <f>COUNTIFS('Master Tracker 마스터추적표'!$B$5:$B$200,$C$3,'Master Tracker 마스터추적표'!$D$5:$D$200,B13,'Master Tracker 마스터추적표'!$V$5:$V$200,"11-*")</f>
        <v/>
      </c>
      <c r="E13" s="5">
        <f>C13-D13-F13</f>
        <v/>
      </c>
      <c r="F13" s="5">
        <f>COUNTIFS('Master Tracker 마스터추적표'!$B$5:$B$200,$C$3,'Master Tracker 마스터추적표'!$D$5:$D$200,B13,'Master Tracker 마스터추적표'!$Y$5:$Y$200,"CRITICAL")+COUNTIFS('Master Tracker 마스터추적표'!$B$5:$B$200,$C$3,'Master Tracker 마스터추적표'!$D$5:$D$200,B13,'Master Tracker 마스터추적표'!$Y$5:$Y$200,"OVERDUE")+COUNTIFS('Master Tracker 마스터추적표'!$B$5:$B$200,$C$3,'Master Tracker 마스터추적표'!$D$5:$D$200,B13,'Master Tracker 마스터추적표'!$Y$5:$Y$200,"WARNING")</f>
        <v/>
      </c>
      <c r="G13" s="18">
        <f>IFERROR(AVERAGEIFS('Master Tracker 마스터추적표'!$W$5:$W$200,'Master Tracker 마스터추적표'!$B$5:$B$200,$C$3,'Master Tracker 마스터추적표'!$D$5:$D$200,B13),0)</f>
        <v/>
      </c>
      <c r="H13" s="5">
        <f>IF(COUNTIFS('Master Tracker 마스터추적표'!$B$5:$B$200,$C$3,'Master Tracker 마스터추적표'!$D$5:$D$200,B13,'Master Tracker 마스터추적표'!$Y$5:$Y$200,"&lt;&gt;DONE")=0,"—",IFERROR(MINIFS('Master Tracker 마스터추적표'!$X$5:$X$200,'Master Tracker 마스터추적표'!$B$5:$B$200,$C$3,'Master Tracker 마스터추적표'!$D$5:$D$200,B13,'Master Tracker 마스터추적표'!$Y$5:$Y$200,"&lt;&gt;DONE"),"—"))</f>
        <v/>
      </c>
    </row>
    <row r="14">
      <c r="A14" s="5" t="n">
        <v>3</v>
      </c>
      <c r="B14" s="7" t="inlineStr">
        <is>
          <t>시트(앞)</t>
        </is>
      </c>
      <c r="C14" s="5">
        <f>COUNTIFS('Master Tracker 마스터추적표'!$B$5:$B$200,$C$3,'Master Tracker 마스터추적표'!$D$5:$D$200,B14)</f>
        <v/>
      </c>
      <c r="D14" s="35">
        <f>COUNTIFS('Master Tracker 마스터추적표'!$B$5:$B$200,$C$3,'Master Tracker 마스터추적표'!$D$5:$D$200,B14,'Master Tracker 마스터추적표'!$V$5:$V$200,"11-*")</f>
        <v/>
      </c>
      <c r="E14" s="5">
        <f>C14-D14-F14</f>
        <v/>
      </c>
      <c r="F14" s="5">
        <f>COUNTIFS('Master Tracker 마스터추적표'!$B$5:$B$200,$C$3,'Master Tracker 마스터추적표'!$D$5:$D$200,B14,'Master Tracker 마스터추적표'!$Y$5:$Y$200,"CRITICAL")+COUNTIFS('Master Tracker 마스터추적표'!$B$5:$B$200,$C$3,'Master Tracker 마스터추적표'!$D$5:$D$200,B14,'Master Tracker 마스터추적표'!$Y$5:$Y$200,"OVERDUE")+COUNTIFS('Master Tracker 마스터추적표'!$B$5:$B$200,$C$3,'Master Tracker 마스터추적표'!$D$5:$D$200,B14,'Master Tracker 마스터추적표'!$Y$5:$Y$200,"WARNING")</f>
        <v/>
      </c>
      <c r="G14" s="18">
        <f>IFERROR(AVERAGEIFS('Master Tracker 마스터추적표'!$W$5:$W$200,'Master Tracker 마스터추적표'!$B$5:$B$200,$C$3,'Master Tracker 마스터추적표'!$D$5:$D$200,B14),0)</f>
        <v/>
      </c>
      <c r="H14" s="5">
        <f>IF(COUNTIFS('Master Tracker 마스터추적표'!$B$5:$B$200,$C$3,'Master Tracker 마스터추적표'!$D$5:$D$200,B14,'Master Tracker 마스터추적표'!$Y$5:$Y$200,"&lt;&gt;DONE")=0,"—",IFERROR(MINIFS('Master Tracker 마스터추적표'!$X$5:$X$200,'Master Tracker 마스터추적표'!$B$5:$B$200,$C$3,'Master Tracker 마스터추적표'!$D$5:$D$200,B14,'Master Tracker 마스터추적표'!$Y$5:$Y$200,"&lt;&gt;DONE"),"—"))</f>
        <v/>
      </c>
    </row>
    <row r="15">
      <c r="A15" s="5" t="n">
        <v>4</v>
      </c>
      <c r="B15" s="7" t="inlineStr">
        <is>
          <t>시트(뒤)</t>
        </is>
      </c>
      <c r="C15" s="5">
        <f>COUNTIFS('Master Tracker 마스터추적표'!$B$5:$B$200,$C$3,'Master Tracker 마스터추적표'!$D$5:$D$200,B15)</f>
        <v/>
      </c>
      <c r="D15" s="35">
        <f>COUNTIFS('Master Tracker 마스터추적표'!$B$5:$B$200,$C$3,'Master Tracker 마스터추적표'!$D$5:$D$200,B15,'Master Tracker 마스터추적표'!$V$5:$V$200,"11-*")</f>
        <v/>
      </c>
      <c r="E15" s="5">
        <f>C15-D15-F15</f>
        <v/>
      </c>
      <c r="F15" s="5">
        <f>COUNTIFS('Master Tracker 마스터추적표'!$B$5:$B$200,$C$3,'Master Tracker 마스터추적표'!$D$5:$D$200,B15,'Master Tracker 마스터추적표'!$Y$5:$Y$200,"CRITICAL")+COUNTIFS('Master Tracker 마스터추적표'!$B$5:$B$200,$C$3,'Master Tracker 마스터추적표'!$D$5:$D$200,B15,'Master Tracker 마스터추적표'!$Y$5:$Y$200,"OVERDUE")+COUNTIFS('Master Tracker 마스터추적표'!$B$5:$B$200,$C$3,'Master Tracker 마스터추적표'!$D$5:$D$200,B15,'Master Tracker 마스터추적표'!$Y$5:$Y$200,"WARNING")</f>
        <v/>
      </c>
      <c r="G15" s="18">
        <f>IFERROR(AVERAGEIFS('Master Tracker 마스터추적표'!$W$5:$W$200,'Master Tracker 마스터추적표'!$B$5:$B$200,$C$3,'Master Tracker 마스터추적표'!$D$5:$D$200,B15),0)</f>
        <v/>
      </c>
      <c r="H15" s="5">
        <f>IF(COUNTIFS('Master Tracker 마스터추적표'!$B$5:$B$200,$C$3,'Master Tracker 마스터추적표'!$D$5:$D$200,B15,'Master Tracker 마스터추적표'!$Y$5:$Y$200,"&lt;&gt;DONE")=0,"—",IFERROR(MINIFS('Master Tracker 마스터추적표'!$X$5:$X$200,'Master Tracker 마스터추적표'!$B$5:$B$200,$C$3,'Master Tracker 마스터추적표'!$D$5:$D$200,B15,'Master Tracker 마스터추적표'!$Y$5:$Y$200,"&lt;&gt;DONE"),"—"))</f>
        <v/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27" t="inlineStr">
        <is>
          <t>Cross-Vehicle Comparison 차종간 비교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4" t="inlineStr"/>
      <c r="B18" s="4" t="inlineStr">
        <is>
          <t>차종</t>
        </is>
      </c>
      <c r="C18" s="4" t="inlineStr">
        <is>
          <t>시험수</t>
        </is>
      </c>
      <c r="D18" s="4" t="inlineStr">
        <is>
          <t>완료</t>
        </is>
      </c>
      <c r="E18" s="4" t="inlineStr">
        <is>
          <t>지연</t>
        </is>
      </c>
      <c r="F18" s="4" t="inlineStr">
        <is>
          <t>진행률</t>
        </is>
      </c>
      <c r="G18" s="4" t="inlineStr"/>
      <c r="H18" s="4" t="inlineStr"/>
    </row>
    <row r="19">
      <c r="A19" s="5" t="n">
        <v>1</v>
      </c>
      <c r="B19" s="17" t="inlineStr">
        <is>
          <t>AE_PE</t>
        </is>
      </c>
      <c r="C19" s="5">
        <f>COUNTIF('Master Tracker 마스터추적표'!$B$5:$B$200,B19)</f>
        <v/>
      </c>
      <c r="D19" s="35">
        <f>COUNTIFS('Master Tracker 마스터추적표'!$B$5:$B$200,B19,'Master Tracker 마스터추적표'!$V$5:$V$200,"11-*")</f>
        <v/>
      </c>
      <c r="E19" s="5">
        <f>COUNTIFS('Master Tracker 마스터추적표'!$B$5:$B$200,B19,'Master Tracker 마스터추적표'!$Y$5:$Y$200,"CRITICAL")+COUNTIFS('Master Tracker 마스터추적표'!$B$5:$B$200,B19,'Master Tracker 마스터추적표'!$Y$5:$Y$200,"OVERDUE")+COUNTIFS('Master Tracker 마스터추적표'!$B$5:$B$200,B19,'Master Tracker 마스터추적표'!$Y$5:$Y$200,"WARNING")</f>
        <v/>
      </c>
      <c r="F19" s="18">
        <f>IFERROR(AVERAGEIFS('Master Tracker 마스터추적표'!$W$5:$W$200,'Master Tracker 마스터추적표'!$B$5:$B$200,B19),0)</f>
        <v/>
      </c>
      <c r="G19" s="5" t="inlineStr"/>
      <c r="H19" s="5" t="inlineStr"/>
    </row>
    <row r="20">
      <c r="A20" s="5" t="n">
        <v>2</v>
      </c>
      <c r="B20" s="17" t="inlineStr">
        <is>
          <t>SU2i</t>
        </is>
      </c>
      <c r="C20" s="5">
        <f>COUNTIF('Master Tracker 마스터추적표'!$B$5:$B$200,B20)</f>
        <v/>
      </c>
      <c r="D20" s="35">
        <f>COUNTIFS('Master Tracker 마스터추적표'!$B$5:$B$200,B20,'Master Tracker 마스터추적표'!$V$5:$V$200,"11-*")</f>
        <v/>
      </c>
      <c r="E20" s="5">
        <f>COUNTIFS('Master Tracker 마스터추적표'!$B$5:$B$200,B20,'Master Tracker 마스터추적표'!$Y$5:$Y$200,"CRITICAL")+COUNTIFS('Master Tracker 마스터추적표'!$B$5:$B$200,B20,'Master Tracker 마스터추적표'!$Y$5:$Y$200,"OVERDUE")+COUNTIFS('Master Tracker 마스터추적표'!$B$5:$B$200,B20,'Master Tracker 마스터추적표'!$Y$5:$Y$200,"WARNING")</f>
        <v/>
      </c>
      <c r="F20" s="18">
        <f>IFERROR(AVERAGEIFS('Master Tracker 마스터추적표'!$W$5:$W$200,'Master Tracker 마스터추적표'!$B$5:$B$200,B20),0)</f>
        <v/>
      </c>
      <c r="G20" s="5" t="inlineStr"/>
      <c r="H20" s="5" t="inlineStr"/>
    </row>
    <row r="21">
      <c r="A21" s="5" t="n">
        <v>3</v>
      </c>
      <c r="B21" s="17" t="inlineStr">
        <is>
          <t>EN_SUV</t>
        </is>
      </c>
      <c r="C21" s="5">
        <f>COUNTIF('Master Tracker 마스터추적표'!$B$5:$B$200,B21)</f>
        <v/>
      </c>
      <c r="D21" s="35">
        <f>COUNTIFS('Master Tracker 마스터추적표'!$B$5:$B$200,B21,'Master Tracker 마스터추적표'!$V$5:$V$200,"11-*")</f>
        <v/>
      </c>
      <c r="E21" s="5">
        <f>COUNTIFS('Master Tracker 마스터추적표'!$B$5:$B$200,B21,'Master Tracker 마스터추적표'!$Y$5:$Y$200,"CRITICAL")+COUNTIFS('Master Tracker 마스터추적표'!$B$5:$B$200,B21,'Master Tracker 마스터추적표'!$Y$5:$Y$200,"OVERDUE")+COUNTIFS('Master Tracker 마스터추적표'!$B$5:$B$200,B21,'Master Tracker 마스터추적표'!$Y$5:$Y$200,"WARNING")</f>
        <v/>
      </c>
      <c r="F21" s="18">
        <f>IFERROR(AVERAGEIFS('Master Tracker 마스터추적표'!$W$5:$W$200,'Master Tracker 마스터추적표'!$B$5:$B$200,B21),0)</f>
        <v/>
      </c>
      <c r="G21" s="5" t="inlineStr"/>
      <c r="H21" s="5" t="inlineStr"/>
    </row>
    <row r="22">
      <c r="A22" s="1" t="inlineStr"/>
      <c r="B22" s="1" t="inlineStr">
        <is>
          <t>TOTAL</t>
        </is>
      </c>
      <c r="C22" s="1">
        <f>SUM(C19:C21)</f>
        <v/>
      </c>
      <c r="D22" s="1">
        <f>SUM(D19:D21)</f>
        <v/>
      </c>
      <c r="E22" s="1">
        <f>SUM(E19:E21)</f>
        <v/>
      </c>
      <c r="F22" s="36">
        <f>IFERROR(AVERAGEIFS('Master Tracker 마스터추적표'!$W$5:$W$200,'Master Tracker 마스터추적표'!$B$5:$B$200,"&lt;&gt;"),0)</f>
        <v/>
      </c>
      <c r="G22" s="1" t="inlineStr"/>
      <c r="H22" s="1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27" t="inlineStr">
        <is>
          <t>Status Distribution 상태 분포 (Selected Vehicle)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4" t="inlineStr"/>
      <c r="B25" s="4" t="inlineStr">
        <is>
          <t>상태</t>
        </is>
      </c>
      <c r="C25" s="4" t="inlineStr">
        <is>
          <t>건수</t>
        </is>
      </c>
      <c r="D25" s="4" t="inlineStr"/>
      <c r="E25" s="4" t="inlineStr"/>
      <c r="F25" s="4" t="inlineStr"/>
      <c r="G25" s="4" t="inlineStr"/>
      <c r="H25" s="4" t="inlineStr"/>
    </row>
    <row r="26">
      <c r="A26" s="5" t="n">
        <v>1</v>
      </c>
      <c r="B26" s="7" t="inlineStr">
        <is>
          <t>01-미제출</t>
        </is>
      </c>
      <c r="C26" s="5">
        <f>COUNTIFS('Master Tracker 마스터추적표'!$B$5:$B$200,$C$3,'Master Tracker 마스터추적표'!$V$5:$V$200,B26)</f>
        <v/>
      </c>
      <c r="D26" s="5" t="inlineStr"/>
      <c r="E26" s="5" t="inlineStr"/>
      <c r="F26" s="5" t="inlineStr"/>
      <c r="G26" s="5" t="inlineStr"/>
      <c r="H26" s="5" t="inlineStr"/>
    </row>
    <row r="27">
      <c r="A27" s="5" t="n">
        <v>2</v>
      </c>
      <c r="B27" s="7" t="inlineStr">
        <is>
          <t>02-제출_미검토</t>
        </is>
      </c>
      <c r="C27" s="5">
        <f>COUNTIFS('Master Tracker 마스터추적표'!$B$5:$B$200,$C$3,'Master Tracker 마스터추적표'!$V$5:$V$200,B27)</f>
        <v/>
      </c>
      <c r="D27" s="5" t="inlineStr"/>
      <c r="E27" s="5" t="inlineStr"/>
      <c r="F27" s="5" t="inlineStr"/>
      <c r="G27" s="5" t="inlineStr"/>
      <c r="H27" s="5" t="inlineStr"/>
    </row>
    <row r="28">
      <c r="A28" s="5" t="n">
        <v>3</v>
      </c>
      <c r="B28" s="7" t="inlineStr">
        <is>
          <t>03-검토중</t>
        </is>
      </c>
      <c r="C28" s="5">
        <f>COUNTIFS('Master Tracker 마스터추적표'!$B$5:$B$200,$C$3,'Master Tracker 마스터추적표'!$V$5:$V$200,B28)</f>
        <v/>
      </c>
      <c r="D28" s="5" t="inlineStr"/>
      <c r="E28" s="5" t="inlineStr"/>
      <c r="F28" s="5" t="inlineStr"/>
      <c r="G28" s="5" t="inlineStr"/>
      <c r="H28" s="5" t="inlineStr"/>
    </row>
    <row r="29">
      <c r="A29" s="5" t="n">
        <v>4</v>
      </c>
      <c r="B29" s="7" t="inlineStr">
        <is>
          <t>04-검토중_보완</t>
        </is>
      </c>
      <c r="C29" s="5">
        <f>COUNTIFS('Master Tracker 마스터추적표'!$B$5:$B$200,$C$3,'Master Tracker 마스터추적표'!$V$5:$V$200,B29)</f>
        <v/>
      </c>
      <c r="D29" s="5" t="inlineStr"/>
      <c r="E29" s="5" t="inlineStr"/>
      <c r="F29" s="5" t="inlineStr"/>
      <c r="G29" s="5" t="inlineStr"/>
      <c r="H29" s="5" t="inlineStr"/>
    </row>
    <row r="30">
      <c r="A30" s="5" t="n">
        <v>5</v>
      </c>
      <c r="B30" s="7" t="inlineStr">
        <is>
          <t>05-계획서승인</t>
        </is>
      </c>
      <c r="C30" s="5">
        <f>COUNTIFS('Master Tracker 마스터추적표'!$B$5:$B$200,$C$3,'Master Tracker 마스터추적표'!$V$5:$V$200,B30)</f>
        <v/>
      </c>
      <c r="D30" s="5" t="inlineStr"/>
      <c r="E30" s="5" t="inlineStr"/>
      <c r="F30" s="5" t="inlineStr"/>
      <c r="G30" s="5" t="inlineStr"/>
      <c r="H30" s="5" t="inlineStr"/>
    </row>
    <row r="31">
      <c r="A31" s="5" t="n">
        <v>6</v>
      </c>
      <c r="B31" s="7" t="inlineStr">
        <is>
          <t>06-BIW중단</t>
        </is>
      </c>
      <c r="C31" s="5">
        <f>COUNTIFS('Master Tracker 마스터추적표'!$B$5:$B$200,$C$3,'Master Tracker 마스터추적표'!$V$5:$V$200,B31)</f>
        <v/>
      </c>
      <c r="D31" s="5" t="inlineStr"/>
      <c r="E31" s="5" t="inlineStr"/>
      <c r="F31" s="5" t="inlineStr"/>
      <c r="G31" s="5" t="inlineStr"/>
      <c r="H31" s="5" t="inlineStr"/>
    </row>
    <row r="32">
      <c r="A32" s="5" t="n">
        <v>7</v>
      </c>
      <c r="B32" s="7" t="inlineStr">
        <is>
          <t>07-미인수</t>
        </is>
      </c>
      <c r="C32" s="5">
        <f>COUNTIFS('Master Tracker 마스터추적표'!$B$5:$B$200,$C$3,'Master Tracker 마스터추적표'!$V$5:$V$200,B32)</f>
        <v/>
      </c>
      <c r="D32" s="5" t="inlineStr"/>
      <c r="E32" s="5" t="inlineStr"/>
      <c r="F32" s="5" t="inlineStr"/>
      <c r="G32" s="5" t="inlineStr"/>
      <c r="H32" s="5" t="inlineStr"/>
    </row>
    <row r="33">
      <c r="A33" s="5" t="n">
        <v>8</v>
      </c>
      <c r="B33" s="7" t="inlineStr">
        <is>
          <t>08-단품준비완료</t>
        </is>
      </c>
      <c r="C33" s="5">
        <f>COUNTIFS('Master Tracker 마스터추적표'!$B$5:$B$200,$C$3,'Master Tracker 마스터추적표'!$V$5:$V$200,B33)</f>
        <v/>
      </c>
      <c r="D33" s="5" t="inlineStr"/>
      <c r="E33" s="5" t="inlineStr"/>
      <c r="F33" s="5" t="inlineStr"/>
      <c r="G33" s="5" t="inlineStr"/>
      <c r="H33" s="5" t="inlineStr"/>
    </row>
    <row r="34">
      <c r="A34" s="5" t="n">
        <v>9</v>
      </c>
      <c r="B34" s="7" t="inlineStr">
        <is>
          <t>09-시험준비중</t>
        </is>
      </c>
      <c r="C34" s="5">
        <f>COUNTIFS('Master Tracker 마스터추적표'!$B$5:$B$200,$C$3,'Master Tracker 마스터추적표'!$V$5:$V$200,B34)</f>
        <v/>
      </c>
      <c r="D34" s="5" t="inlineStr"/>
      <c r="E34" s="5" t="inlineStr"/>
      <c r="F34" s="5" t="inlineStr"/>
      <c r="G34" s="5" t="inlineStr"/>
      <c r="H34" s="5" t="inlineStr"/>
    </row>
    <row r="35">
      <c r="A35" s="5" t="n">
        <v>10</v>
      </c>
      <c r="B35" s="7" t="inlineStr">
        <is>
          <t>10-시험완료</t>
        </is>
      </c>
      <c r="C35" s="5">
        <f>COUNTIFS('Master Tracker 마스터추적표'!$B$5:$B$200,$C$3,'Master Tracker 마스터추적표'!$V$5:$V$200,B35)</f>
        <v/>
      </c>
      <c r="D35" s="5" t="inlineStr"/>
      <c r="E35" s="5" t="inlineStr"/>
      <c r="F35" s="5" t="inlineStr"/>
      <c r="G35" s="5" t="inlineStr"/>
      <c r="H35" s="5" t="inlineStr"/>
    </row>
    <row r="36">
      <c r="A36" s="5" t="n">
        <v>11</v>
      </c>
      <c r="B36" s="7" t="inlineStr">
        <is>
          <t>11-결과등록완료</t>
        </is>
      </c>
      <c r="C36" s="5">
        <f>COUNTIFS('Master Tracker 마스터추적표'!$B$5:$B$200,$C$3,'Master Tracker 마스터추적표'!$V$5:$V$200,B36)</f>
        <v/>
      </c>
      <c r="D36" s="5" t="inlineStr"/>
      <c r="E36" s="5" t="inlineStr"/>
      <c r="F36" s="5" t="inlineStr"/>
      <c r="G36" s="5" t="inlineStr"/>
      <c r="H36" s="5" t="inlineStr"/>
    </row>
    <row r="37">
      <c r="A37" s="5" t="n">
        <v>12</v>
      </c>
      <c r="B37" s="7" t="inlineStr">
        <is>
          <t>12-조건부승인</t>
        </is>
      </c>
      <c r="C37" s="5">
        <f>COUNTIFS('Master Tracker 마스터추적표'!$B$5:$B$200,$C$3,'Master Tracker 마스터추적표'!$V$5:$V$200,B37)</f>
        <v/>
      </c>
      <c r="D37" s="5" t="inlineStr"/>
      <c r="E37" s="5" t="inlineStr"/>
      <c r="F37" s="5" t="inlineStr"/>
      <c r="G37" s="5" t="inlineStr"/>
      <c r="H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>
      <c r="A39" s="27" t="inlineStr">
        <is>
          <t>Risk Distribution 리스크 분포 (Selected Vehicle)</t>
        </is>
      </c>
      <c r="B39" s="9" t="n"/>
      <c r="C39" s="9" t="n"/>
      <c r="D39" s="9" t="n"/>
      <c r="E39" s="9" t="n"/>
      <c r="F39" s="9" t="n"/>
      <c r="G39" s="9" t="n"/>
      <c r="H39" s="9" t="n"/>
    </row>
    <row r="40">
      <c r="A40" s="4" t="inlineStr"/>
      <c r="B40" s="4" t="inlineStr">
        <is>
          <t>리스크</t>
        </is>
      </c>
      <c r="C40" s="4" t="inlineStr">
        <is>
          <t>건수</t>
        </is>
      </c>
      <c r="D40" s="4" t="inlineStr"/>
      <c r="E40" s="4" t="inlineStr"/>
      <c r="F40" s="4" t="inlineStr"/>
      <c r="G40" s="4" t="inlineStr"/>
      <c r="H40" s="4" t="inlineStr"/>
    </row>
    <row r="41">
      <c r="A41" s="5" t="n">
        <v>1</v>
      </c>
      <c r="B41" s="7" t="inlineStr">
        <is>
          <t>DONE</t>
        </is>
      </c>
      <c r="C41" s="5">
        <f>COUNTIFS('Master Tracker 마스터추적표'!$B$5:$B$200,$C$3,'Master Tracker 마스터추적표'!$Y$5:$Y$200,B41)</f>
        <v/>
      </c>
      <c r="D41" s="5" t="inlineStr"/>
      <c r="E41" s="5" t="inlineStr"/>
      <c r="F41" s="5" t="inlineStr"/>
      <c r="G41" s="5" t="inlineStr"/>
      <c r="H41" s="5" t="inlineStr"/>
    </row>
    <row r="42">
      <c r="A42" s="5" t="n">
        <v>2</v>
      </c>
      <c r="B42" s="7" t="inlineStr">
        <is>
          <t>ON TRACK</t>
        </is>
      </c>
      <c r="C42" s="5">
        <f>COUNTIFS('Master Tracker 마스터추적표'!$B$5:$B$200,$C$3,'Master Tracker 마스터추적표'!$Y$5:$Y$200,B42)</f>
        <v/>
      </c>
      <c r="D42" s="5" t="inlineStr"/>
      <c r="E42" s="5" t="inlineStr"/>
      <c r="F42" s="5" t="inlineStr"/>
      <c r="G42" s="5" t="inlineStr"/>
      <c r="H42" s="5" t="inlineStr"/>
    </row>
    <row r="43">
      <c r="A43" s="5" t="n">
        <v>3</v>
      </c>
      <c r="B43" s="7" t="inlineStr">
        <is>
          <t>WARNING</t>
        </is>
      </c>
      <c r="C43" s="5">
        <f>COUNTIFS('Master Tracker 마스터추적표'!$B$5:$B$200,$C$3,'Master Tracker 마스터추적표'!$Y$5:$Y$200,B43)</f>
        <v/>
      </c>
      <c r="D43" s="5" t="inlineStr"/>
      <c r="E43" s="5" t="inlineStr"/>
      <c r="F43" s="5" t="inlineStr"/>
      <c r="G43" s="5" t="inlineStr"/>
      <c r="H43" s="5" t="inlineStr"/>
    </row>
    <row r="44">
      <c r="A44" s="5" t="n">
        <v>4</v>
      </c>
      <c r="B44" s="7" t="inlineStr">
        <is>
          <t>OVERDUE</t>
        </is>
      </c>
      <c r="C44" s="5">
        <f>COUNTIFS('Master Tracker 마스터추적표'!$B$5:$B$200,$C$3,'Master Tracker 마스터추적표'!$Y$5:$Y$200,B44)</f>
        <v/>
      </c>
      <c r="D44" s="5" t="inlineStr"/>
      <c r="E44" s="5" t="inlineStr"/>
      <c r="F44" s="5" t="inlineStr"/>
      <c r="G44" s="5" t="inlineStr"/>
      <c r="H44" s="5" t="inlineStr"/>
    </row>
    <row r="45">
      <c r="A45" s="5" t="n">
        <v>5</v>
      </c>
      <c r="B45" s="7" t="inlineStr">
        <is>
          <t>CRITICAL</t>
        </is>
      </c>
      <c r="C45" s="5">
        <f>COUNTIFS('Master Tracker 마스터추적표'!$B$5:$B$200,$C$3,'Master Tracker 마스터추적표'!$Y$5:$Y$200,B45)</f>
        <v/>
      </c>
      <c r="D45" s="5" t="inlineStr"/>
      <c r="E45" s="5" t="inlineStr"/>
      <c r="F45" s="5" t="inlineStr"/>
      <c r="G45" s="5" t="inlineStr"/>
      <c r="H45" s="5" t="inlineStr"/>
    </row>
    <row r="46">
      <c r="A46" s="5" t="n">
        <v>6</v>
      </c>
      <c r="B46" s="7" t="inlineStr">
        <is>
          <t>BLOCKED</t>
        </is>
      </c>
      <c r="C46" s="5">
        <f>COUNTIFS('Master Tracker 마스터추적표'!$B$5:$B$200,$C$3,'Master Tracker 마스터추적표'!$Y$5:$Y$200,B46)</f>
        <v/>
      </c>
      <c r="D46" s="5" t="inlineStr"/>
      <c r="E46" s="5" t="inlineStr"/>
      <c r="F46" s="5" t="inlineStr"/>
      <c r="G46" s="5" t="inlineStr"/>
      <c r="H46" s="5" t="inlineStr"/>
    </row>
    <row r="47">
      <c r="A47" s="5" t="n">
        <v>7</v>
      </c>
      <c r="B47" s="7" t="inlineStr">
        <is>
          <t>ACTION</t>
        </is>
      </c>
      <c r="C47" s="5">
        <f>COUNTIFS('Master Tracker 마스터추적표'!$B$5:$B$200,$C$3,'Master Tracker 마스터추적표'!$Y$5:$Y$200,B47)</f>
        <v/>
      </c>
      <c r="D47" s="5" t="inlineStr"/>
      <c r="E47" s="5" t="inlineStr"/>
      <c r="F47" s="5" t="inlineStr"/>
      <c r="G47" s="5" t="inlineStr"/>
      <c r="H47" s="5" t="inlineStr"/>
    </row>
  </sheetData>
  <mergeCells count="6">
    <mergeCell ref="A39:H39"/>
    <mergeCell ref="A24:H24"/>
    <mergeCell ref="A10:H10"/>
    <mergeCell ref="A1:H2"/>
    <mergeCell ref="A6:H6"/>
    <mergeCell ref="A17:H17"/>
  </mergeCells>
  <conditionalFormatting sqref="F12:F15">
    <cfRule type="cellIs" priority="1" operator="greaterThan" dxfId="5">
      <formula>0</formula>
    </cfRule>
  </conditionalFormatting>
  <conditionalFormatting sqref="H12:H15">
    <cfRule type="cellIs" priority="2" operator="lessThanOrEqual" dxfId="5">
      <formula>0</formula>
    </cfRule>
    <cfRule type="cellIs" priority="3" operator="lessThanOrEqual" dxfId="11">
      <formula>14</formula>
    </cfRule>
  </conditionalFormatting>
  <conditionalFormatting sqref="E19:E22">
    <cfRule type="cellIs" priority="4" operator="greaterThan" dxfId="5">
      <formula>0</formula>
    </cfRule>
  </conditionalFormatting>
  <conditionalFormatting sqref="C43">
    <cfRule type="cellIs" priority="5" operator="greaterThan" dxfId="5">
      <formula>0</formula>
    </cfRule>
  </conditionalFormatting>
  <conditionalFormatting sqref="C44">
    <cfRule type="cellIs" priority="6" operator="greaterThan" dxfId="5">
      <formula>0</formula>
    </cfRule>
  </conditionalFormatting>
  <conditionalFormatting sqref="C46">
    <cfRule type="cellIs" priority="7" operator="greaterThan" dxfId="5">
      <formula>0</formula>
    </cfRule>
  </conditionalFormatting>
  <dataValidations count="1">
    <dataValidation sqref="C3" showDropDown="0" showInputMessage="0" showErrorMessage="0" allowBlank="0" type="list">
      <formula1>'Reference Data 기준데이터'!$A$3:$A$5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20" customWidth="1" min="5" max="5"/>
    <col width="22" customWidth="1" min="6" max="6"/>
    <col width="14" customWidth="1" min="7" max="7"/>
    <col width="14" customWidth="1" min="8" max="8"/>
    <col width="30" customWidth="1" min="9" max="9"/>
  </cols>
  <sheetData>
    <row r="1">
      <c r="A1" s="8" t="inlineStr">
        <is>
          <t>Supplier Checklist 협력사 체크리스트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4" t="inlineStr">
        <is>
          <t>No.</t>
        </is>
      </c>
      <c r="B3" s="4" t="inlineStr">
        <is>
          <t>Supplier</t>
        </is>
      </c>
      <c r="C3" s="4" t="inlineStr">
        <is>
          <t>Item Name</t>
        </is>
      </c>
      <c r="D3" s="4" t="inlineStr">
        <is>
          <t>Vehicle</t>
        </is>
      </c>
      <c r="E3" s="4" t="inlineStr">
        <is>
          <t>Test Name</t>
        </is>
      </c>
      <c r="F3" s="4" t="inlineStr">
        <is>
          <t>Status</t>
        </is>
      </c>
      <c r="G3" s="4" t="inlineStr">
        <is>
          <t>Progress</t>
        </is>
      </c>
      <c r="H3" s="4" t="inlineStr">
        <is>
          <t>Risk</t>
        </is>
      </c>
      <c r="I3" s="4" t="inlineStr">
        <is>
          <t>Next Action</t>
        </is>
      </c>
    </row>
    <row r="4">
      <c r="A4" s="5" t="n">
        <v>1</v>
      </c>
      <c r="B4" s="5">
        <f>'Master Tracker 마스터추적표'!E5</f>
        <v/>
      </c>
      <c r="C4" s="7">
        <f>'Master Tracker 마스터추적표'!D5</f>
        <v/>
      </c>
      <c r="D4" s="5">
        <f>'Master Tracker 마스터추적표'!B5</f>
        <v/>
      </c>
      <c r="E4" s="7">
        <f>'Master Tracker 마스터추적표'!F5</f>
        <v/>
      </c>
      <c r="F4" s="5">
        <f>'Master Tracker 마스터추적표'!V5</f>
        <v/>
      </c>
      <c r="G4" s="18">
        <f>'Master Tracker 마스터추적표'!W5</f>
        <v/>
      </c>
      <c r="H4" s="5">
        <f>'Master Tracker 마스터추적표'!Y5</f>
        <v/>
      </c>
      <c r="I4" s="19">
        <f>'Master Tracker 마스터추적표'!AA5</f>
        <v/>
      </c>
    </row>
    <row r="5">
      <c r="A5" s="5" t="n">
        <v>2</v>
      </c>
      <c r="B5" s="5">
        <f>'Master Tracker 마스터추적표'!E6</f>
        <v/>
      </c>
      <c r="C5" s="7">
        <f>'Master Tracker 마스터추적표'!D6</f>
        <v/>
      </c>
      <c r="D5" s="5">
        <f>'Master Tracker 마스터추적표'!B6</f>
        <v/>
      </c>
      <c r="E5" s="7">
        <f>'Master Tracker 마스터추적표'!F6</f>
        <v/>
      </c>
      <c r="F5" s="5">
        <f>'Master Tracker 마스터추적표'!V6</f>
        <v/>
      </c>
      <c r="G5" s="18">
        <f>'Master Tracker 마스터추적표'!W6</f>
        <v/>
      </c>
      <c r="H5" s="5">
        <f>'Master Tracker 마스터추적표'!Y6</f>
        <v/>
      </c>
      <c r="I5" s="19">
        <f>'Master Tracker 마스터추적표'!AA6</f>
        <v/>
      </c>
    </row>
    <row r="6">
      <c r="A6" s="5" t="n">
        <v>3</v>
      </c>
      <c r="B6" s="5">
        <f>'Master Tracker 마스터추적표'!E7</f>
        <v/>
      </c>
      <c r="C6" s="7">
        <f>'Master Tracker 마스터추적표'!D7</f>
        <v/>
      </c>
      <c r="D6" s="5">
        <f>'Master Tracker 마스터추적표'!B7</f>
        <v/>
      </c>
      <c r="E6" s="7">
        <f>'Master Tracker 마스터추적표'!F7</f>
        <v/>
      </c>
      <c r="F6" s="5">
        <f>'Master Tracker 마스터추적표'!V7</f>
        <v/>
      </c>
      <c r="G6" s="18">
        <f>'Master Tracker 마스터추적표'!W7</f>
        <v/>
      </c>
      <c r="H6" s="5">
        <f>'Master Tracker 마스터추적표'!Y7</f>
        <v/>
      </c>
      <c r="I6" s="19">
        <f>'Master Tracker 마스터추적표'!AA7</f>
        <v/>
      </c>
    </row>
    <row r="7">
      <c r="A7" s="5" t="n">
        <v>4</v>
      </c>
      <c r="B7" s="5">
        <f>'Master Tracker 마스터추적표'!E8</f>
        <v/>
      </c>
      <c r="C7" s="7">
        <f>'Master Tracker 마스터추적표'!D8</f>
        <v/>
      </c>
      <c r="D7" s="5">
        <f>'Master Tracker 마스터추적표'!B8</f>
        <v/>
      </c>
      <c r="E7" s="7">
        <f>'Master Tracker 마스터추적표'!F8</f>
        <v/>
      </c>
      <c r="F7" s="5">
        <f>'Master Tracker 마스터추적표'!V8</f>
        <v/>
      </c>
      <c r="G7" s="18">
        <f>'Master Tracker 마스터추적표'!W8</f>
        <v/>
      </c>
      <c r="H7" s="5">
        <f>'Master Tracker 마스터추적표'!Y8</f>
        <v/>
      </c>
      <c r="I7" s="19">
        <f>'Master Tracker 마스터추적표'!AA8</f>
        <v/>
      </c>
    </row>
    <row r="8">
      <c r="A8" s="5" t="n">
        <v>5</v>
      </c>
      <c r="B8" s="5">
        <f>'Master Tracker 마스터추적표'!E9</f>
        <v/>
      </c>
      <c r="C8" s="7">
        <f>'Master Tracker 마스터추적표'!D9</f>
        <v/>
      </c>
      <c r="D8" s="5">
        <f>'Master Tracker 마스터추적표'!B9</f>
        <v/>
      </c>
      <c r="E8" s="7">
        <f>'Master Tracker 마스터추적표'!F9</f>
        <v/>
      </c>
      <c r="F8" s="5">
        <f>'Master Tracker 마스터추적표'!V9</f>
        <v/>
      </c>
      <c r="G8" s="18">
        <f>'Master Tracker 마스터추적표'!W9</f>
        <v/>
      </c>
      <c r="H8" s="5">
        <f>'Master Tracker 마스터추적표'!Y9</f>
        <v/>
      </c>
      <c r="I8" s="19">
        <f>'Master Tracker 마스터추적표'!AA9</f>
        <v/>
      </c>
    </row>
    <row r="9">
      <c r="A9" s="5" t="n">
        <v>6</v>
      </c>
      <c r="B9" s="5">
        <f>'Master Tracker 마스터추적표'!E10</f>
        <v/>
      </c>
      <c r="C9" s="7">
        <f>'Master Tracker 마스터추적표'!D10</f>
        <v/>
      </c>
      <c r="D9" s="5">
        <f>'Master Tracker 마스터추적표'!B10</f>
        <v/>
      </c>
      <c r="E9" s="7">
        <f>'Master Tracker 마스터추적표'!F10</f>
        <v/>
      </c>
      <c r="F9" s="5">
        <f>'Master Tracker 마스터추적표'!V10</f>
        <v/>
      </c>
      <c r="G9" s="18">
        <f>'Master Tracker 마스터추적표'!W10</f>
        <v/>
      </c>
      <c r="H9" s="5">
        <f>'Master Tracker 마스터추적표'!Y10</f>
        <v/>
      </c>
      <c r="I9" s="19">
        <f>'Master Tracker 마스터추적표'!AA10</f>
        <v/>
      </c>
    </row>
    <row r="10">
      <c r="A10" s="5" t="n">
        <v>7</v>
      </c>
      <c r="B10" s="5">
        <f>'Master Tracker 마스터추적표'!E11</f>
        <v/>
      </c>
      <c r="C10" s="7">
        <f>'Master Tracker 마스터추적표'!D11</f>
        <v/>
      </c>
      <c r="D10" s="5">
        <f>'Master Tracker 마스터추적표'!B11</f>
        <v/>
      </c>
      <c r="E10" s="7">
        <f>'Master Tracker 마스터추적표'!F11</f>
        <v/>
      </c>
      <c r="F10" s="5">
        <f>'Master Tracker 마스터추적표'!V11</f>
        <v/>
      </c>
      <c r="G10" s="18">
        <f>'Master Tracker 마스터추적표'!W11</f>
        <v/>
      </c>
      <c r="H10" s="5">
        <f>'Master Tracker 마스터추적표'!Y11</f>
        <v/>
      </c>
      <c r="I10" s="19">
        <f>'Master Tracker 마스터추적표'!AA11</f>
        <v/>
      </c>
    </row>
    <row r="11">
      <c r="A11" s="5" t="n">
        <v>8</v>
      </c>
      <c r="B11" s="5">
        <f>'Master Tracker 마스터추적표'!E12</f>
        <v/>
      </c>
      <c r="C11" s="7">
        <f>'Master Tracker 마스터추적표'!D12</f>
        <v/>
      </c>
      <c r="D11" s="5">
        <f>'Master Tracker 마스터추적표'!B12</f>
        <v/>
      </c>
      <c r="E11" s="7">
        <f>'Master Tracker 마스터추적표'!F12</f>
        <v/>
      </c>
      <c r="F11" s="5">
        <f>'Master Tracker 마스터추적표'!V12</f>
        <v/>
      </c>
      <c r="G11" s="18">
        <f>'Master Tracker 마스터추적표'!W12</f>
        <v/>
      </c>
      <c r="H11" s="5">
        <f>'Master Tracker 마스터추적표'!Y12</f>
        <v/>
      </c>
      <c r="I11" s="19">
        <f>'Master Tracker 마스터추적표'!AA12</f>
        <v/>
      </c>
    </row>
    <row r="12">
      <c r="A12" s="5" t="n">
        <v>9</v>
      </c>
      <c r="B12" s="5">
        <f>'Master Tracker 마스터추적표'!E13</f>
        <v/>
      </c>
      <c r="C12" s="7">
        <f>'Master Tracker 마스터추적표'!D13</f>
        <v/>
      </c>
      <c r="D12" s="5">
        <f>'Master Tracker 마스터추적표'!B13</f>
        <v/>
      </c>
      <c r="E12" s="7">
        <f>'Master Tracker 마스터추적표'!F13</f>
        <v/>
      </c>
      <c r="F12" s="5">
        <f>'Master Tracker 마스터추적표'!V13</f>
        <v/>
      </c>
      <c r="G12" s="18">
        <f>'Master Tracker 마스터추적표'!W13</f>
        <v/>
      </c>
      <c r="H12" s="5">
        <f>'Master Tracker 마스터추적표'!Y13</f>
        <v/>
      </c>
      <c r="I12" s="19">
        <f>'Master Tracker 마스터추적표'!AA13</f>
        <v/>
      </c>
    </row>
    <row r="13">
      <c r="A13" s="5" t="n">
        <v>10</v>
      </c>
      <c r="B13" s="5">
        <f>'Master Tracker 마스터추적표'!E14</f>
        <v/>
      </c>
      <c r="C13" s="7">
        <f>'Master Tracker 마스터추적표'!D14</f>
        <v/>
      </c>
      <c r="D13" s="5">
        <f>'Master Tracker 마스터추적표'!B14</f>
        <v/>
      </c>
      <c r="E13" s="7">
        <f>'Master Tracker 마스터추적표'!F14</f>
        <v/>
      </c>
      <c r="F13" s="5">
        <f>'Master Tracker 마스터추적표'!V14</f>
        <v/>
      </c>
      <c r="G13" s="18">
        <f>'Master Tracker 마스터추적표'!W14</f>
        <v/>
      </c>
      <c r="H13" s="5">
        <f>'Master Tracker 마스터추적표'!Y14</f>
        <v/>
      </c>
      <c r="I13" s="19">
        <f>'Master Tracker 마스터추적표'!AA14</f>
        <v/>
      </c>
    </row>
    <row r="14">
      <c r="A14" s="5" t="n">
        <v>11</v>
      </c>
      <c r="B14" s="5">
        <f>'Master Tracker 마스터추적표'!E15</f>
        <v/>
      </c>
      <c r="C14" s="7">
        <f>'Master Tracker 마스터추적표'!D15</f>
        <v/>
      </c>
      <c r="D14" s="5">
        <f>'Master Tracker 마스터추적표'!B15</f>
        <v/>
      </c>
      <c r="E14" s="7">
        <f>'Master Tracker 마스터추적표'!F15</f>
        <v/>
      </c>
      <c r="F14" s="5">
        <f>'Master Tracker 마스터추적표'!V15</f>
        <v/>
      </c>
      <c r="G14" s="18">
        <f>'Master Tracker 마스터추적표'!W15</f>
        <v/>
      </c>
      <c r="H14" s="5">
        <f>'Master Tracker 마스터추적표'!Y15</f>
        <v/>
      </c>
      <c r="I14" s="19">
        <f>'Master Tracker 마스터추적표'!AA15</f>
        <v/>
      </c>
    </row>
    <row r="15">
      <c r="A15" s="5" t="n">
        <v>12</v>
      </c>
      <c r="B15" s="5">
        <f>'Master Tracker 마스터추적표'!E16</f>
        <v/>
      </c>
      <c r="C15" s="7">
        <f>'Master Tracker 마스터추적표'!D16</f>
        <v/>
      </c>
      <c r="D15" s="5">
        <f>'Master Tracker 마스터추적표'!B16</f>
        <v/>
      </c>
      <c r="E15" s="7">
        <f>'Master Tracker 마스터추적표'!F16</f>
        <v/>
      </c>
      <c r="F15" s="5">
        <f>'Master Tracker 마스터추적표'!V16</f>
        <v/>
      </c>
      <c r="G15" s="18">
        <f>'Master Tracker 마스터추적표'!W16</f>
        <v/>
      </c>
      <c r="H15" s="5">
        <f>'Master Tracker 마스터추적표'!Y16</f>
        <v/>
      </c>
      <c r="I15" s="19">
        <f>'Master Tracker 마스터추적표'!AA16</f>
        <v/>
      </c>
    </row>
    <row r="16">
      <c r="A16" s="5" t="n">
        <v>13</v>
      </c>
      <c r="B16" s="5">
        <f>'Master Tracker 마스터추적표'!E17</f>
        <v/>
      </c>
      <c r="C16" s="7">
        <f>'Master Tracker 마스터추적표'!D17</f>
        <v/>
      </c>
      <c r="D16" s="5">
        <f>'Master Tracker 마스터추적표'!B17</f>
        <v/>
      </c>
      <c r="E16" s="7">
        <f>'Master Tracker 마스터추적표'!F17</f>
        <v/>
      </c>
      <c r="F16" s="5">
        <f>'Master Tracker 마스터추적표'!V17</f>
        <v/>
      </c>
      <c r="G16" s="18">
        <f>'Master Tracker 마스터추적표'!W17</f>
        <v/>
      </c>
      <c r="H16" s="5">
        <f>'Master Tracker 마스터추적표'!Y17</f>
        <v/>
      </c>
      <c r="I16" s="19">
        <f>'Master Tracker 마스터추적표'!AA17</f>
        <v/>
      </c>
    </row>
    <row r="17">
      <c r="A17" s="5" t="n">
        <v>14</v>
      </c>
      <c r="B17" s="5">
        <f>'Master Tracker 마스터추적표'!E18</f>
        <v/>
      </c>
      <c r="C17" s="7">
        <f>'Master Tracker 마스터추적표'!D18</f>
        <v/>
      </c>
      <c r="D17" s="5">
        <f>'Master Tracker 마스터추적표'!B18</f>
        <v/>
      </c>
      <c r="E17" s="7">
        <f>'Master Tracker 마스터추적표'!F18</f>
        <v/>
      </c>
      <c r="F17" s="5">
        <f>'Master Tracker 마스터추적표'!V18</f>
        <v/>
      </c>
      <c r="G17" s="18">
        <f>'Master Tracker 마스터추적표'!W18</f>
        <v/>
      </c>
      <c r="H17" s="5">
        <f>'Master Tracker 마스터추적표'!Y18</f>
        <v/>
      </c>
      <c r="I17" s="19">
        <f>'Master Tracker 마스터추적표'!AA18</f>
        <v/>
      </c>
    </row>
    <row r="18">
      <c r="A18" s="5" t="n">
        <v>15</v>
      </c>
      <c r="B18" s="5">
        <f>'Master Tracker 마스터추적표'!E19</f>
        <v/>
      </c>
      <c r="C18" s="7">
        <f>'Master Tracker 마스터추적표'!D19</f>
        <v/>
      </c>
      <c r="D18" s="5">
        <f>'Master Tracker 마스터추적표'!B19</f>
        <v/>
      </c>
      <c r="E18" s="7">
        <f>'Master Tracker 마스터추적표'!F19</f>
        <v/>
      </c>
      <c r="F18" s="5">
        <f>'Master Tracker 마스터추적표'!V19</f>
        <v/>
      </c>
      <c r="G18" s="18">
        <f>'Master Tracker 마스터추적표'!W19</f>
        <v/>
      </c>
      <c r="H18" s="5">
        <f>'Master Tracker 마스터추적표'!Y19</f>
        <v/>
      </c>
      <c r="I18" s="19">
        <f>'Master Tracker 마스터추적표'!AA19</f>
        <v/>
      </c>
    </row>
    <row r="19">
      <c r="A19" s="5" t="n">
        <v>16</v>
      </c>
      <c r="B19" s="5">
        <f>'Master Tracker 마스터추적표'!E20</f>
        <v/>
      </c>
      <c r="C19" s="7">
        <f>'Master Tracker 마스터추적표'!D20</f>
        <v/>
      </c>
      <c r="D19" s="5">
        <f>'Master Tracker 마스터추적표'!B20</f>
        <v/>
      </c>
      <c r="E19" s="7">
        <f>'Master Tracker 마스터추적표'!F20</f>
        <v/>
      </c>
      <c r="F19" s="5">
        <f>'Master Tracker 마스터추적표'!V20</f>
        <v/>
      </c>
      <c r="G19" s="18">
        <f>'Master Tracker 마스터추적표'!W20</f>
        <v/>
      </c>
      <c r="H19" s="5">
        <f>'Master Tracker 마스터추적표'!Y20</f>
        <v/>
      </c>
      <c r="I19" s="19">
        <f>'Master Tracker 마스터추적표'!AA20</f>
        <v/>
      </c>
    </row>
    <row r="20">
      <c r="A20" s="5" t="n">
        <v>17</v>
      </c>
      <c r="B20" s="5">
        <f>'Master Tracker 마스터추적표'!E21</f>
        <v/>
      </c>
      <c r="C20" s="7">
        <f>'Master Tracker 마스터추적표'!D21</f>
        <v/>
      </c>
      <c r="D20" s="5">
        <f>'Master Tracker 마스터추적표'!B21</f>
        <v/>
      </c>
      <c r="E20" s="7">
        <f>'Master Tracker 마스터추적표'!F21</f>
        <v/>
      </c>
      <c r="F20" s="5">
        <f>'Master Tracker 마스터추적표'!V21</f>
        <v/>
      </c>
      <c r="G20" s="18">
        <f>'Master Tracker 마스터추적표'!W21</f>
        <v/>
      </c>
      <c r="H20" s="5">
        <f>'Master Tracker 마스터추적표'!Y21</f>
        <v/>
      </c>
      <c r="I20" s="19">
        <f>'Master Tracker 마스터추적표'!AA21</f>
        <v/>
      </c>
    </row>
    <row r="21">
      <c r="A21" s="5" t="n">
        <v>18</v>
      </c>
      <c r="B21" s="5">
        <f>'Master Tracker 마스터추적표'!E22</f>
        <v/>
      </c>
      <c r="C21" s="7">
        <f>'Master Tracker 마스터추적표'!D22</f>
        <v/>
      </c>
      <c r="D21" s="5">
        <f>'Master Tracker 마스터추적표'!B22</f>
        <v/>
      </c>
      <c r="E21" s="7">
        <f>'Master Tracker 마스터추적표'!F22</f>
        <v/>
      </c>
      <c r="F21" s="5">
        <f>'Master Tracker 마스터추적표'!V22</f>
        <v/>
      </c>
      <c r="G21" s="18">
        <f>'Master Tracker 마스터추적표'!W22</f>
        <v/>
      </c>
      <c r="H21" s="5">
        <f>'Master Tracker 마스터추적표'!Y22</f>
        <v/>
      </c>
      <c r="I21" s="19">
        <f>'Master Tracker 마스터추적표'!AA22</f>
        <v/>
      </c>
    </row>
    <row r="22">
      <c r="A22" s="5" t="n">
        <v>19</v>
      </c>
      <c r="B22" s="5">
        <f>'Master Tracker 마스터추적표'!E23</f>
        <v/>
      </c>
      <c r="C22" s="7">
        <f>'Master Tracker 마스터추적표'!D23</f>
        <v/>
      </c>
      <c r="D22" s="5">
        <f>'Master Tracker 마스터추적표'!B23</f>
        <v/>
      </c>
      <c r="E22" s="7">
        <f>'Master Tracker 마스터추적표'!F23</f>
        <v/>
      </c>
      <c r="F22" s="5">
        <f>'Master Tracker 마스터추적표'!V23</f>
        <v/>
      </c>
      <c r="G22" s="18">
        <f>'Master Tracker 마스터추적표'!W23</f>
        <v/>
      </c>
      <c r="H22" s="5">
        <f>'Master Tracker 마스터추적표'!Y23</f>
        <v/>
      </c>
      <c r="I22" s="19">
        <f>'Master Tracker 마스터추적표'!AA23</f>
        <v/>
      </c>
    </row>
    <row r="23">
      <c r="A23" s="5" t="n">
        <v>20</v>
      </c>
      <c r="B23" s="5">
        <f>'Master Tracker 마스터추적표'!E24</f>
        <v/>
      </c>
      <c r="C23" s="7">
        <f>'Master Tracker 마스터추적표'!D24</f>
        <v/>
      </c>
      <c r="D23" s="5">
        <f>'Master Tracker 마스터추적표'!B24</f>
        <v/>
      </c>
      <c r="E23" s="7">
        <f>'Master Tracker 마스터추적표'!F24</f>
        <v/>
      </c>
      <c r="F23" s="5">
        <f>'Master Tracker 마스터추적표'!V24</f>
        <v/>
      </c>
      <c r="G23" s="18">
        <f>'Master Tracker 마스터추적표'!W24</f>
        <v/>
      </c>
      <c r="H23" s="5">
        <f>'Master Tracker 마스터추적표'!Y24</f>
        <v/>
      </c>
      <c r="I23" s="19">
        <f>'Master Tracker 마스터추적표'!AA24</f>
        <v/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2026-02-27T08:30:02Z</dcterms:created>
  <dcterms:modified xmlns:dcterms="http://purl.org/dc/terms/" xmlns:xsi="http://www.w3.org/2001/XMLSchema-instance" xsi:type="dcterms:W3CDTF">2026-02-27T08:30:02Z</dcterms:modified>
</cp:coreProperties>
</file>